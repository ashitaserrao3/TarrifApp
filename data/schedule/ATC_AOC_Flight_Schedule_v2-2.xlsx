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H_66782\Downloads\"/>
    </mc:Choice>
  </mc:AlternateContent>
  <xr:revisionPtr revIDLastSave="0" documentId="8_{666413E7-3E82-4A85-B6AB-F300AA8DBBE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Dashboard" sheetId="1" r:id="rId1"/>
    <sheet name="Add-on Rates" sheetId="2" r:id="rId2"/>
    <sheet name="Raw Data" sheetId="3" r:id="rId3"/>
    <sheet name="OD Pair Summary" sheetId="4" r:id="rId4"/>
    <sheet name="Progress" sheetId="5" r:id="rId5"/>
    <sheet name="Lists" sheetId="6" state="hidden" r:id="rId6"/>
    <sheet name="Network Surcharges" sheetId="7" r:id="rId7"/>
    <sheet name="Flight Rates" sheetId="8" r:id="rId8"/>
    <sheet name="Rate Exceptions" sheetId="9" r:id="rId9"/>
  </sheets>
  <definedNames>
    <definedName name="_xlnm._FilterDatabase" localSheetId="7" hidden="1">'Flight Rates'!$A$1:$U$1631</definedName>
    <definedName name="_xlnm._FilterDatabase" localSheetId="8" hidden="1">'Rate Exceptions'!$A$1:$H$2</definedName>
    <definedName name="_xlnm.Print_Area" localSheetId="0">Dashboard!$A$1:$K$103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8" i="4" l="1"/>
  <c r="C475" i="4"/>
  <c r="C470" i="4"/>
  <c r="C467" i="4"/>
  <c r="C459" i="4"/>
  <c r="C448" i="4"/>
  <c r="C436" i="4"/>
  <c r="C402" i="4"/>
  <c r="C392" i="4"/>
  <c r="C387" i="4"/>
  <c r="C383" i="4"/>
  <c r="C380" i="4"/>
  <c r="C373" i="4"/>
  <c r="C365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O1680" i="3"/>
  <c r="N1680" i="3"/>
  <c r="C481" i="4" s="1"/>
  <c r="O1679" i="3"/>
  <c r="N1679" i="3"/>
  <c r="C480" i="4" s="1"/>
  <c r="O1678" i="3"/>
  <c r="N1678" i="3"/>
  <c r="C479" i="4" s="1"/>
  <c r="O1677" i="3"/>
  <c r="N1677" i="3"/>
  <c r="O1676" i="3"/>
  <c r="N1676" i="3"/>
  <c r="O1675" i="3"/>
  <c r="N1675" i="3"/>
  <c r="O1674" i="3"/>
  <c r="N1674" i="3"/>
  <c r="O1673" i="3"/>
  <c r="N1673" i="3"/>
  <c r="O1672" i="3"/>
  <c r="N1672" i="3"/>
  <c r="C477" i="4" s="1"/>
  <c r="O1671" i="3"/>
  <c r="N1671" i="3"/>
  <c r="C476" i="4" s="1"/>
  <c r="O1670" i="3"/>
  <c r="N1670" i="3"/>
  <c r="O1669" i="3"/>
  <c r="N1669" i="3"/>
  <c r="O1668" i="3"/>
  <c r="N1668" i="3"/>
  <c r="O1667" i="3"/>
  <c r="N1667" i="3"/>
  <c r="O1666" i="3"/>
  <c r="N1666" i="3"/>
  <c r="O1665" i="3"/>
  <c r="N1665" i="3"/>
  <c r="O1664" i="3"/>
  <c r="N1664" i="3"/>
  <c r="C474" i="4" s="1"/>
  <c r="O1663" i="3"/>
  <c r="N1663" i="3"/>
  <c r="O1662" i="3"/>
  <c r="N1662" i="3"/>
  <c r="O1661" i="3"/>
  <c r="N1661" i="3"/>
  <c r="O1660" i="3"/>
  <c r="N1660" i="3"/>
  <c r="O1659" i="3"/>
  <c r="N1659" i="3"/>
  <c r="O1658" i="3"/>
  <c r="N1658" i="3"/>
  <c r="C473" i="4" s="1"/>
  <c r="O1657" i="3"/>
  <c r="N1657" i="3"/>
  <c r="O1656" i="3"/>
  <c r="N1656" i="3"/>
  <c r="O1655" i="3"/>
  <c r="N1655" i="3"/>
  <c r="O1654" i="3"/>
  <c r="N1654" i="3"/>
  <c r="O1653" i="3"/>
  <c r="N1653" i="3"/>
  <c r="O1652" i="3"/>
  <c r="N1652" i="3"/>
  <c r="O1651" i="3"/>
  <c r="N1651" i="3"/>
  <c r="O1650" i="3"/>
  <c r="N1650" i="3"/>
  <c r="O1649" i="3"/>
  <c r="N1649" i="3"/>
  <c r="C472" i="4" s="1"/>
  <c r="O1648" i="3"/>
  <c r="N1648" i="3"/>
  <c r="O1647" i="3"/>
  <c r="N1647" i="3"/>
  <c r="C471" i="4" s="1"/>
  <c r="O1646" i="3"/>
  <c r="N1646" i="3"/>
  <c r="O1645" i="3"/>
  <c r="N1645" i="3"/>
  <c r="O1644" i="3"/>
  <c r="N1644" i="3"/>
  <c r="O1643" i="3"/>
  <c r="N1643" i="3"/>
  <c r="O1642" i="3"/>
  <c r="N1642" i="3"/>
  <c r="C469" i="4" s="1"/>
  <c r="O1641" i="3"/>
  <c r="N1641" i="3"/>
  <c r="O1640" i="3"/>
  <c r="N1640" i="3"/>
  <c r="O1639" i="3"/>
  <c r="N1639" i="3"/>
  <c r="O1638" i="3"/>
  <c r="N1638" i="3"/>
  <c r="O1637" i="3"/>
  <c r="N1637" i="3"/>
  <c r="O1636" i="3"/>
  <c r="N1636" i="3"/>
  <c r="O1635" i="3"/>
  <c r="N1635" i="3"/>
  <c r="O1634" i="3"/>
  <c r="N1634" i="3"/>
  <c r="C468" i="4" s="1"/>
  <c r="O1633" i="3"/>
  <c r="N1633" i="3"/>
  <c r="O1632" i="3"/>
  <c r="N1632" i="3"/>
  <c r="O1631" i="3"/>
  <c r="N1631" i="3"/>
  <c r="O1630" i="3"/>
  <c r="N1630" i="3"/>
  <c r="O1629" i="3"/>
  <c r="N1629" i="3"/>
  <c r="O1628" i="3"/>
  <c r="N1628" i="3"/>
  <c r="O1627" i="3"/>
  <c r="N1627" i="3"/>
  <c r="O1626" i="3"/>
  <c r="N1626" i="3"/>
  <c r="C466" i="4" s="1"/>
  <c r="O1625" i="3"/>
  <c r="N1625" i="3"/>
  <c r="C465" i="4" s="1"/>
  <c r="O1624" i="3"/>
  <c r="N1624" i="3"/>
  <c r="O1623" i="3"/>
  <c r="N1623" i="3"/>
  <c r="O1622" i="3"/>
  <c r="N1622" i="3"/>
  <c r="O1621" i="3"/>
  <c r="N1621" i="3"/>
  <c r="O1620" i="3"/>
  <c r="N1620" i="3"/>
  <c r="O1619" i="3"/>
  <c r="N1619" i="3"/>
  <c r="O1618" i="3"/>
  <c r="N1618" i="3"/>
  <c r="C464" i="4" s="1"/>
  <c r="O1617" i="3"/>
  <c r="N1617" i="3"/>
  <c r="O1616" i="3"/>
  <c r="N1616" i="3"/>
  <c r="O1615" i="3"/>
  <c r="N1615" i="3"/>
  <c r="O1614" i="3"/>
  <c r="N1614" i="3"/>
  <c r="O1613" i="3"/>
  <c r="N1613" i="3"/>
  <c r="O1612" i="3"/>
  <c r="N1612" i="3"/>
  <c r="O1611" i="3"/>
  <c r="N1611" i="3"/>
  <c r="O1610" i="3"/>
  <c r="N1610" i="3"/>
  <c r="O1609" i="3"/>
  <c r="N1609" i="3"/>
  <c r="O1608" i="3"/>
  <c r="N1608" i="3"/>
  <c r="O1607" i="3"/>
  <c r="N1607" i="3"/>
  <c r="C463" i="4" s="1"/>
  <c r="O1606" i="3"/>
  <c r="N1606" i="3"/>
  <c r="C462" i="4" s="1"/>
  <c r="O1605" i="3"/>
  <c r="N1605" i="3"/>
  <c r="O1604" i="3"/>
  <c r="N1604" i="3"/>
  <c r="O1603" i="3"/>
  <c r="N1603" i="3"/>
  <c r="C461" i="4" s="1"/>
  <c r="O1602" i="3"/>
  <c r="N1602" i="3"/>
  <c r="C460" i="4" s="1"/>
  <c r="O1601" i="3"/>
  <c r="N1601" i="3"/>
  <c r="O1600" i="3"/>
  <c r="N1600" i="3"/>
  <c r="O1599" i="3"/>
  <c r="N1599" i="3"/>
  <c r="O1598" i="3"/>
  <c r="N1598" i="3"/>
  <c r="O1597" i="3"/>
  <c r="N1597" i="3"/>
  <c r="C458" i="4" s="1"/>
  <c r="O1596" i="3"/>
  <c r="N1596" i="3"/>
  <c r="O1595" i="3"/>
  <c r="N1595" i="3"/>
  <c r="O1594" i="3"/>
  <c r="N1594" i="3"/>
  <c r="O1593" i="3"/>
  <c r="N1593" i="3"/>
  <c r="O1592" i="3"/>
  <c r="N1592" i="3"/>
  <c r="O1591" i="3"/>
  <c r="N1591" i="3"/>
  <c r="O1590" i="3"/>
  <c r="N1590" i="3"/>
  <c r="O1589" i="3"/>
  <c r="N1589" i="3"/>
  <c r="C457" i="4" s="1"/>
  <c r="O1588" i="3"/>
  <c r="N1588" i="3"/>
  <c r="O1587" i="3"/>
  <c r="N1587" i="3"/>
  <c r="O1586" i="3"/>
  <c r="N1586" i="3"/>
  <c r="C456" i="4" s="1"/>
  <c r="O1585" i="3"/>
  <c r="N1585" i="3"/>
  <c r="O1584" i="3"/>
  <c r="N1584" i="3"/>
  <c r="O1583" i="3"/>
  <c r="N1583" i="3"/>
  <c r="C455" i="4" s="1"/>
  <c r="O1582" i="3"/>
  <c r="N1582" i="3"/>
  <c r="O1581" i="3"/>
  <c r="N1581" i="3"/>
  <c r="C454" i="4" s="1"/>
  <c r="O1580" i="3"/>
  <c r="N1580" i="3"/>
  <c r="O1579" i="3"/>
  <c r="N1579" i="3"/>
  <c r="O1578" i="3"/>
  <c r="N1578" i="3"/>
  <c r="O1577" i="3"/>
  <c r="N1577" i="3"/>
  <c r="O1576" i="3"/>
  <c r="N1576" i="3"/>
  <c r="O1575" i="3"/>
  <c r="N1575" i="3"/>
  <c r="O1574" i="3"/>
  <c r="N1574" i="3"/>
  <c r="O1573" i="3"/>
  <c r="N1573" i="3"/>
  <c r="O1572" i="3"/>
  <c r="N1572" i="3"/>
  <c r="C453" i="4" s="1"/>
  <c r="O1571" i="3"/>
  <c r="N1571" i="3"/>
  <c r="O1570" i="3"/>
  <c r="N1570" i="3"/>
  <c r="O1569" i="3"/>
  <c r="N1569" i="3"/>
  <c r="O1568" i="3"/>
  <c r="N1568" i="3"/>
  <c r="O1567" i="3"/>
  <c r="N1567" i="3"/>
  <c r="O1566" i="3"/>
  <c r="N1566" i="3"/>
  <c r="O1565" i="3"/>
  <c r="N1565" i="3"/>
  <c r="O1564" i="3"/>
  <c r="N1564" i="3"/>
  <c r="O1563" i="3"/>
  <c r="N1563" i="3"/>
  <c r="O1562" i="3"/>
  <c r="N1562" i="3"/>
  <c r="C452" i="4" s="1"/>
  <c r="O1561" i="3"/>
  <c r="N1561" i="3"/>
  <c r="C451" i="4" s="1"/>
  <c r="O1560" i="3"/>
  <c r="N1560" i="3"/>
  <c r="O1559" i="3"/>
  <c r="N1559" i="3"/>
  <c r="O1558" i="3"/>
  <c r="N1558" i="3"/>
  <c r="O1557" i="3"/>
  <c r="N1557" i="3"/>
  <c r="C450" i="4" s="1"/>
  <c r="O1556" i="3"/>
  <c r="N1556" i="3"/>
  <c r="O1555" i="3"/>
  <c r="N1555" i="3"/>
  <c r="O1554" i="3"/>
  <c r="N1554" i="3"/>
  <c r="O1553" i="3"/>
  <c r="N1553" i="3"/>
  <c r="O1552" i="3"/>
  <c r="N1552" i="3"/>
  <c r="C449" i="4" s="1"/>
  <c r="O1551" i="3"/>
  <c r="N1551" i="3"/>
  <c r="O1550" i="3"/>
  <c r="N1550" i="3"/>
  <c r="O1549" i="3"/>
  <c r="N1549" i="3"/>
  <c r="O1548" i="3"/>
  <c r="N1548" i="3"/>
  <c r="O1547" i="3"/>
  <c r="N1547" i="3"/>
  <c r="O1546" i="3"/>
  <c r="N1546" i="3"/>
  <c r="C447" i="4" s="1"/>
  <c r="O1545" i="3"/>
  <c r="N1545" i="3"/>
  <c r="O1544" i="3"/>
  <c r="N1544" i="3"/>
  <c r="O1543" i="3"/>
  <c r="N1543" i="3"/>
  <c r="O1542" i="3"/>
  <c r="N1542" i="3"/>
  <c r="O1541" i="3"/>
  <c r="N1541" i="3"/>
  <c r="O1540" i="3"/>
  <c r="N1540" i="3"/>
  <c r="O1539" i="3"/>
  <c r="N1539" i="3"/>
  <c r="O1538" i="3"/>
  <c r="N1538" i="3"/>
  <c r="O1537" i="3"/>
  <c r="N1537" i="3"/>
  <c r="O1536" i="3"/>
  <c r="N1536" i="3"/>
  <c r="O1535" i="3"/>
  <c r="N1535" i="3"/>
  <c r="O1534" i="3"/>
  <c r="N1534" i="3"/>
  <c r="C446" i="4" s="1"/>
  <c r="O1533" i="3"/>
  <c r="N1533" i="3"/>
  <c r="O1532" i="3"/>
  <c r="N1532" i="3"/>
  <c r="C445" i="4" s="1"/>
  <c r="O1531" i="3"/>
  <c r="N1531" i="3"/>
  <c r="O1530" i="3"/>
  <c r="N1530" i="3"/>
  <c r="O1529" i="3"/>
  <c r="N1529" i="3"/>
  <c r="O1528" i="3"/>
  <c r="N1528" i="3"/>
  <c r="C444" i="4" s="1"/>
  <c r="O1527" i="3"/>
  <c r="N1527" i="3"/>
  <c r="O1526" i="3"/>
  <c r="N1526" i="3"/>
  <c r="O1525" i="3"/>
  <c r="N1525" i="3"/>
  <c r="O1524" i="3"/>
  <c r="N1524" i="3"/>
  <c r="O1523" i="3"/>
  <c r="N1523" i="3"/>
  <c r="O1522" i="3"/>
  <c r="N1522" i="3"/>
  <c r="O1521" i="3"/>
  <c r="N1521" i="3"/>
  <c r="O1520" i="3"/>
  <c r="N1520" i="3"/>
  <c r="O1519" i="3"/>
  <c r="N1519" i="3"/>
  <c r="C443" i="4" s="1"/>
  <c r="O1518" i="3"/>
  <c r="N1518" i="3"/>
  <c r="O1517" i="3"/>
  <c r="N1517" i="3"/>
  <c r="O1516" i="3"/>
  <c r="N1516" i="3"/>
  <c r="O1515" i="3"/>
  <c r="N1515" i="3"/>
  <c r="O1514" i="3"/>
  <c r="N1514" i="3"/>
  <c r="O1513" i="3"/>
  <c r="N1513" i="3"/>
  <c r="O1512" i="3"/>
  <c r="N1512" i="3"/>
  <c r="C442" i="4" s="1"/>
  <c r="O1511" i="3"/>
  <c r="N1511" i="3"/>
  <c r="O1510" i="3"/>
  <c r="N1510" i="3"/>
  <c r="C441" i="4" s="1"/>
  <c r="O1509" i="3"/>
  <c r="N1509" i="3"/>
  <c r="O1508" i="3"/>
  <c r="N1508" i="3"/>
  <c r="O1507" i="3"/>
  <c r="N1507" i="3"/>
  <c r="O1506" i="3"/>
  <c r="N1506" i="3"/>
  <c r="O1505" i="3"/>
  <c r="N1505" i="3"/>
  <c r="O1504" i="3"/>
  <c r="N1504" i="3"/>
  <c r="O1503" i="3"/>
  <c r="N1503" i="3"/>
  <c r="O1502" i="3"/>
  <c r="N1502" i="3"/>
  <c r="O1501" i="3"/>
  <c r="N1501" i="3"/>
  <c r="O1500" i="3"/>
  <c r="N1500" i="3"/>
  <c r="O1499" i="3"/>
  <c r="N1499" i="3"/>
  <c r="O1498" i="3"/>
  <c r="N1498" i="3"/>
  <c r="O1497" i="3"/>
  <c r="N1497" i="3"/>
  <c r="O1496" i="3"/>
  <c r="N1496" i="3"/>
  <c r="C440" i="4" s="1"/>
  <c r="O1495" i="3"/>
  <c r="N1495" i="3"/>
  <c r="O1494" i="3"/>
  <c r="N1494" i="3"/>
  <c r="O1493" i="3"/>
  <c r="N1493" i="3"/>
  <c r="O1492" i="3"/>
  <c r="N1492" i="3"/>
  <c r="O1491" i="3"/>
  <c r="N1491" i="3"/>
  <c r="O1490" i="3"/>
  <c r="N1490" i="3"/>
  <c r="O1489" i="3"/>
  <c r="N1489" i="3"/>
  <c r="O1488" i="3"/>
  <c r="N1488" i="3"/>
  <c r="O1487" i="3"/>
  <c r="N1487" i="3"/>
  <c r="O1486" i="3"/>
  <c r="N1486" i="3"/>
  <c r="O1485" i="3"/>
  <c r="N1485" i="3"/>
  <c r="O1484" i="3"/>
  <c r="N1484" i="3"/>
  <c r="C439" i="4" s="1"/>
  <c r="O1483" i="3"/>
  <c r="N1483" i="3"/>
  <c r="O1482" i="3"/>
  <c r="N1482" i="3"/>
  <c r="O1481" i="3"/>
  <c r="N1481" i="3"/>
  <c r="O1480" i="3"/>
  <c r="N1480" i="3"/>
  <c r="O1479" i="3"/>
  <c r="N1479" i="3"/>
  <c r="O1478" i="3"/>
  <c r="N1478" i="3"/>
  <c r="C438" i="4" s="1"/>
  <c r="O1477" i="3"/>
  <c r="N1477" i="3"/>
  <c r="O1476" i="3"/>
  <c r="N1476" i="3"/>
  <c r="O1475" i="3"/>
  <c r="N1475" i="3"/>
  <c r="O1474" i="3"/>
  <c r="N1474" i="3"/>
  <c r="O1473" i="3"/>
  <c r="N1473" i="3"/>
  <c r="O1472" i="3"/>
  <c r="N1472" i="3"/>
  <c r="O1471" i="3"/>
  <c r="N1471" i="3"/>
  <c r="C437" i="4" s="1"/>
  <c r="O1470" i="3"/>
  <c r="N1470" i="3"/>
  <c r="O1469" i="3"/>
  <c r="N1469" i="3"/>
  <c r="O1468" i="3"/>
  <c r="N1468" i="3"/>
  <c r="O1467" i="3"/>
  <c r="N1467" i="3"/>
  <c r="O1466" i="3"/>
  <c r="N1466" i="3"/>
  <c r="O1465" i="3"/>
  <c r="N1465" i="3"/>
  <c r="O1464" i="3"/>
  <c r="N1464" i="3"/>
  <c r="O1463" i="3"/>
  <c r="N1463" i="3"/>
  <c r="O1462" i="3"/>
  <c r="N1462" i="3"/>
  <c r="O1461" i="3"/>
  <c r="N1461" i="3"/>
  <c r="C435" i="4" s="1"/>
  <c r="O1460" i="3"/>
  <c r="N1460" i="3"/>
  <c r="O1459" i="3"/>
  <c r="N1459" i="3"/>
  <c r="O1458" i="3"/>
  <c r="N1458" i="3"/>
  <c r="O1457" i="3"/>
  <c r="N1457" i="3"/>
  <c r="O1456" i="3"/>
  <c r="N1456" i="3"/>
  <c r="O1455" i="3"/>
  <c r="N1455" i="3"/>
  <c r="C434" i="4" s="1"/>
  <c r="O1454" i="3"/>
  <c r="N1454" i="3"/>
  <c r="O1453" i="3"/>
  <c r="N1453" i="3"/>
  <c r="O1452" i="3"/>
  <c r="N1452" i="3"/>
  <c r="O1451" i="3"/>
  <c r="N1451" i="3"/>
  <c r="O1450" i="3"/>
  <c r="N1450" i="3"/>
  <c r="O1449" i="3"/>
  <c r="N1449" i="3"/>
  <c r="O1448" i="3"/>
  <c r="N1448" i="3"/>
  <c r="O1447" i="3"/>
  <c r="N1447" i="3"/>
  <c r="O1446" i="3"/>
  <c r="N1446" i="3"/>
  <c r="O1445" i="3"/>
  <c r="N1445" i="3"/>
  <c r="O1444" i="3"/>
  <c r="N1444" i="3"/>
  <c r="C433" i="4" s="1"/>
  <c r="O1443" i="3"/>
  <c r="N1443" i="3"/>
  <c r="O1442" i="3"/>
  <c r="N1442" i="3"/>
  <c r="O1441" i="3"/>
  <c r="N1441" i="3"/>
  <c r="O1440" i="3"/>
  <c r="N1440" i="3"/>
  <c r="C432" i="4" s="1"/>
  <c r="O1439" i="3"/>
  <c r="N1439" i="3"/>
  <c r="O1438" i="3"/>
  <c r="N1438" i="3"/>
  <c r="O1437" i="3"/>
  <c r="N1437" i="3"/>
  <c r="C431" i="4" s="1"/>
  <c r="O1436" i="3"/>
  <c r="N1436" i="3"/>
  <c r="O1435" i="3"/>
  <c r="N1435" i="3"/>
  <c r="O1434" i="3"/>
  <c r="N1434" i="3"/>
  <c r="C430" i="4" s="1"/>
  <c r="O1433" i="3"/>
  <c r="N1433" i="3"/>
  <c r="O1432" i="3"/>
  <c r="N1432" i="3"/>
  <c r="C429" i="4" s="1"/>
  <c r="O1431" i="3"/>
  <c r="N1431" i="3"/>
  <c r="O1430" i="3"/>
  <c r="N1430" i="3"/>
  <c r="O1429" i="3"/>
  <c r="N1429" i="3"/>
  <c r="O1428" i="3"/>
  <c r="N1428" i="3"/>
  <c r="O1427" i="3"/>
  <c r="N1427" i="3"/>
  <c r="O1426" i="3"/>
  <c r="N1426" i="3"/>
  <c r="O1425" i="3"/>
  <c r="N1425" i="3"/>
  <c r="O1424" i="3"/>
  <c r="N1424" i="3"/>
  <c r="O1423" i="3"/>
  <c r="N1423" i="3"/>
  <c r="O1422" i="3"/>
  <c r="N1422" i="3"/>
  <c r="O1421" i="3"/>
  <c r="N1421" i="3"/>
  <c r="O1420" i="3"/>
  <c r="N1420" i="3"/>
  <c r="C428" i="4" s="1"/>
  <c r="O1419" i="3"/>
  <c r="N1419" i="3"/>
  <c r="O1418" i="3"/>
  <c r="N1418" i="3"/>
  <c r="O1417" i="3"/>
  <c r="N1417" i="3"/>
  <c r="O1416" i="3"/>
  <c r="N1416" i="3"/>
  <c r="O1415" i="3"/>
  <c r="N1415" i="3"/>
  <c r="O1414" i="3"/>
  <c r="N1414" i="3"/>
  <c r="O1413" i="3"/>
  <c r="N1413" i="3"/>
  <c r="O1412" i="3"/>
  <c r="N1412" i="3"/>
  <c r="O1411" i="3"/>
  <c r="N1411" i="3"/>
  <c r="C427" i="4" s="1"/>
  <c r="O1410" i="3"/>
  <c r="N1410" i="3"/>
  <c r="O1409" i="3"/>
  <c r="N1409" i="3"/>
  <c r="O1408" i="3"/>
  <c r="N1408" i="3"/>
  <c r="O1407" i="3"/>
  <c r="N1407" i="3"/>
  <c r="O1406" i="3"/>
  <c r="N1406" i="3"/>
  <c r="O1405" i="3"/>
  <c r="N1405" i="3"/>
  <c r="O1404" i="3"/>
  <c r="N1404" i="3"/>
  <c r="O1403" i="3"/>
  <c r="N1403" i="3"/>
  <c r="O1402" i="3"/>
  <c r="N1402" i="3"/>
  <c r="O1401" i="3"/>
  <c r="N1401" i="3"/>
  <c r="C426" i="4" s="1"/>
  <c r="O1400" i="3"/>
  <c r="N1400" i="3"/>
  <c r="O1399" i="3"/>
  <c r="N1399" i="3"/>
  <c r="O1398" i="3"/>
  <c r="N1398" i="3"/>
  <c r="O1397" i="3"/>
  <c r="N1397" i="3"/>
  <c r="O1396" i="3"/>
  <c r="N1396" i="3"/>
  <c r="O1395" i="3"/>
  <c r="N1395" i="3"/>
  <c r="O1394" i="3"/>
  <c r="N1394" i="3"/>
  <c r="O1393" i="3"/>
  <c r="N1393" i="3"/>
  <c r="O1392" i="3"/>
  <c r="N1392" i="3"/>
  <c r="C425" i="4" s="1"/>
  <c r="O1391" i="3"/>
  <c r="N1391" i="3"/>
  <c r="O1390" i="3"/>
  <c r="N1390" i="3"/>
  <c r="C424" i="4" s="1"/>
  <c r="O1389" i="3"/>
  <c r="N1389" i="3"/>
  <c r="O1388" i="3"/>
  <c r="N1388" i="3"/>
  <c r="O1387" i="3"/>
  <c r="N1387" i="3"/>
  <c r="O1386" i="3"/>
  <c r="N1386" i="3"/>
  <c r="O1385" i="3"/>
  <c r="N1385" i="3"/>
  <c r="O1384" i="3"/>
  <c r="N1384" i="3"/>
  <c r="O1383" i="3"/>
  <c r="N1383" i="3"/>
  <c r="O1382" i="3"/>
  <c r="N1382" i="3"/>
  <c r="O1381" i="3"/>
  <c r="N1381" i="3"/>
  <c r="O1380" i="3"/>
  <c r="N1380" i="3"/>
  <c r="O1379" i="3"/>
  <c r="N1379" i="3"/>
  <c r="O1378" i="3"/>
  <c r="N1378" i="3"/>
  <c r="O1377" i="3"/>
  <c r="N1377" i="3"/>
  <c r="O1376" i="3"/>
  <c r="N1376" i="3"/>
  <c r="C423" i="4" s="1"/>
  <c r="O1375" i="3"/>
  <c r="N1375" i="3"/>
  <c r="O1374" i="3"/>
  <c r="N1374" i="3"/>
  <c r="O1373" i="3"/>
  <c r="N1373" i="3"/>
  <c r="O1372" i="3"/>
  <c r="N1372" i="3"/>
  <c r="O1371" i="3"/>
  <c r="N1371" i="3"/>
  <c r="O1370" i="3"/>
  <c r="N1370" i="3"/>
  <c r="O1369" i="3"/>
  <c r="N1369" i="3"/>
  <c r="O1368" i="3"/>
  <c r="N1368" i="3"/>
  <c r="O1367" i="3"/>
  <c r="N1367" i="3"/>
  <c r="O1366" i="3"/>
  <c r="N1366" i="3"/>
  <c r="O1365" i="3"/>
  <c r="N1365" i="3"/>
  <c r="O1364" i="3"/>
  <c r="N1364" i="3"/>
  <c r="C422" i="4" s="1"/>
  <c r="O1363" i="3"/>
  <c r="N1363" i="3"/>
  <c r="O1362" i="3"/>
  <c r="N1362" i="3"/>
  <c r="O1361" i="3"/>
  <c r="N1361" i="3"/>
  <c r="C421" i="4" s="1"/>
  <c r="O1360" i="3"/>
  <c r="N1360" i="3"/>
  <c r="C420" i="4" s="1"/>
  <c r="O1359" i="3"/>
  <c r="N1359" i="3"/>
  <c r="O1358" i="3"/>
  <c r="N1358" i="3"/>
  <c r="O1357" i="3"/>
  <c r="N1357" i="3"/>
  <c r="O1356" i="3"/>
  <c r="N1356" i="3"/>
  <c r="O1355" i="3"/>
  <c r="N1355" i="3"/>
  <c r="O1354" i="3"/>
  <c r="N1354" i="3"/>
  <c r="O1353" i="3"/>
  <c r="N1353" i="3"/>
  <c r="O1352" i="3"/>
  <c r="N1352" i="3"/>
  <c r="O1351" i="3"/>
  <c r="N1351" i="3"/>
  <c r="O1350" i="3"/>
  <c r="N1350" i="3"/>
  <c r="O1349" i="3"/>
  <c r="N1349" i="3"/>
  <c r="O1348" i="3"/>
  <c r="N1348" i="3"/>
  <c r="O1347" i="3"/>
  <c r="N1347" i="3"/>
  <c r="O1346" i="3"/>
  <c r="N1346" i="3"/>
  <c r="O1345" i="3"/>
  <c r="N1345" i="3"/>
  <c r="O1344" i="3"/>
  <c r="N1344" i="3"/>
  <c r="O1343" i="3"/>
  <c r="N1343" i="3"/>
  <c r="C419" i="4" s="1"/>
  <c r="O1342" i="3"/>
  <c r="N1342" i="3"/>
  <c r="O1341" i="3"/>
  <c r="N1341" i="3"/>
  <c r="O1340" i="3"/>
  <c r="N1340" i="3"/>
  <c r="O1339" i="3"/>
  <c r="N1339" i="3"/>
  <c r="O1338" i="3"/>
  <c r="N1338" i="3"/>
  <c r="O1337" i="3"/>
  <c r="N1337" i="3"/>
  <c r="O1336" i="3"/>
  <c r="N1336" i="3"/>
  <c r="O1335" i="3"/>
  <c r="N1335" i="3"/>
  <c r="O1334" i="3"/>
  <c r="N1334" i="3"/>
  <c r="O1333" i="3"/>
  <c r="N1333" i="3"/>
  <c r="O1332" i="3"/>
  <c r="N1332" i="3"/>
  <c r="O1331" i="3"/>
  <c r="N1331" i="3"/>
  <c r="C418" i="4" s="1"/>
  <c r="O1330" i="3"/>
  <c r="N1330" i="3"/>
  <c r="O1329" i="3"/>
  <c r="N1329" i="3"/>
  <c r="O1328" i="3"/>
  <c r="N1328" i="3"/>
  <c r="C417" i="4" s="1"/>
  <c r="O1327" i="3"/>
  <c r="N1327" i="3"/>
  <c r="O1326" i="3"/>
  <c r="N1326" i="3"/>
  <c r="O1325" i="3"/>
  <c r="N1325" i="3"/>
  <c r="O1324" i="3"/>
  <c r="N1324" i="3"/>
  <c r="O1323" i="3"/>
  <c r="N1323" i="3"/>
  <c r="O1322" i="3"/>
  <c r="N1322" i="3"/>
  <c r="C416" i="4" s="1"/>
  <c r="O1321" i="3"/>
  <c r="N1321" i="3"/>
  <c r="O1320" i="3"/>
  <c r="N1320" i="3"/>
  <c r="O1319" i="3"/>
  <c r="N1319" i="3"/>
  <c r="O1318" i="3"/>
  <c r="N1318" i="3"/>
  <c r="O1317" i="3"/>
  <c r="N1317" i="3"/>
  <c r="O1316" i="3"/>
  <c r="N1316" i="3"/>
  <c r="O1315" i="3"/>
  <c r="N1315" i="3"/>
  <c r="O1314" i="3"/>
  <c r="N1314" i="3"/>
  <c r="O1313" i="3"/>
  <c r="N1313" i="3"/>
  <c r="O1312" i="3"/>
  <c r="N1312" i="3"/>
  <c r="O1311" i="3"/>
  <c r="N1311" i="3"/>
  <c r="O1310" i="3"/>
  <c r="N1310" i="3"/>
  <c r="O1309" i="3"/>
  <c r="N1309" i="3"/>
  <c r="O1308" i="3"/>
  <c r="N1308" i="3"/>
  <c r="O1307" i="3"/>
  <c r="N1307" i="3"/>
  <c r="O1306" i="3"/>
  <c r="N1306" i="3"/>
  <c r="O1305" i="3"/>
  <c r="N1305" i="3"/>
  <c r="O1304" i="3"/>
  <c r="N1304" i="3"/>
  <c r="O1303" i="3"/>
  <c r="N1303" i="3"/>
  <c r="C415" i="4" s="1"/>
  <c r="O1302" i="3"/>
  <c r="N1302" i="3"/>
  <c r="O1301" i="3"/>
  <c r="N1301" i="3"/>
  <c r="O1300" i="3"/>
  <c r="N1300" i="3"/>
  <c r="O1299" i="3"/>
  <c r="N1299" i="3"/>
  <c r="O1298" i="3"/>
  <c r="N1298" i="3"/>
  <c r="O1297" i="3"/>
  <c r="N1297" i="3"/>
  <c r="O1296" i="3"/>
  <c r="N1296" i="3"/>
  <c r="O1295" i="3"/>
  <c r="N1295" i="3"/>
  <c r="O1294" i="3"/>
  <c r="N1294" i="3"/>
  <c r="O1293" i="3"/>
  <c r="N1293" i="3"/>
  <c r="O1292" i="3"/>
  <c r="N1292" i="3"/>
  <c r="O1291" i="3"/>
  <c r="N1291" i="3"/>
  <c r="O1290" i="3"/>
  <c r="N1290" i="3"/>
  <c r="O1289" i="3"/>
  <c r="N1289" i="3"/>
  <c r="O1288" i="3"/>
  <c r="N1288" i="3"/>
  <c r="O1287" i="3"/>
  <c r="N1287" i="3"/>
  <c r="C414" i="4" s="1"/>
  <c r="O1286" i="3"/>
  <c r="N1286" i="3"/>
  <c r="O1285" i="3"/>
  <c r="N1285" i="3"/>
  <c r="C413" i="4" s="1"/>
  <c r="O1284" i="3"/>
  <c r="N1284" i="3"/>
  <c r="O1283" i="3"/>
  <c r="N1283" i="3"/>
  <c r="O1282" i="3"/>
  <c r="N1282" i="3"/>
  <c r="O1281" i="3"/>
  <c r="N1281" i="3"/>
  <c r="O1280" i="3"/>
  <c r="N1280" i="3"/>
  <c r="O1279" i="3"/>
  <c r="N1279" i="3"/>
  <c r="O1278" i="3"/>
  <c r="N1278" i="3"/>
  <c r="O1277" i="3"/>
  <c r="N1277" i="3"/>
  <c r="O1276" i="3"/>
  <c r="N1276" i="3"/>
  <c r="C412" i="4" s="1"/>
  <c r="O1275" i="3"/>
  <c r="N1275" i="3"/>
  <c r="O1274" i="3"/>
  <c r="N1274" i="3"/>
  <c r="O1273" i="3"/>
  <c r="N1273" i="3"/>
  <c r="O1272" i="3"/>
  <c r="N1272" i="3"/>
  <c r="O1271" i="3"/>
  <c r="N1271" i="3"/>
  <c r="O1270" i="3"/>
  <c r="N1270" i="3"/>
  <c r="C411" i="4" s="1"/>
  <c r="O1269" i="3"/>
  <c r="N1269" i="3"/>
  <c r="O1268" i="3"/>
  <c r="N1268" i="3"/>
  <c r="O1267" i="3"/>
  <c r="N1267" i="3"/>
  <c r="O1266" i="3"/>
  <c r="N1266" i="3"/>
  <c r="O1265" i="3"/>
  <c r="N1265" i="3"/>
  <c r="O1264" i="3"/>
  <c r="N1264" i="3"/>
  <c r="O1263" i="3"/>
  <c r="N1263" i="3"/>
  <c r="O1262" i="3"/>
  <c r="N1262" i="3"/>
  <c r="O1261" i="3"/>
  <c r="N1261" i="3"/>
  <c r="O1260" i="3"/>
  <c r="N1260" i="3"/>
  <c r="O1259" i="3"/>
  <c r="N1259" i="3"/>
  <c r="O1258" i="3"/>
  <c r="N1258" i="3"/>
  <c r="O1257" i="3"/>
  <c r="N1257" i="3"/>
  <c r="O1256" i="3"/>
  <c r="N1256" i="3"/>
  <c r="O1255" i="3"/>
  <c r="N1255" i="3"/>
  <c r="O1254" i="3"/>
  <c r="N1254" i="3"/>
  <c r="O1253" i="3"/>
  <c r="N1253" i="3"/>
  <c r="O1252" i="3"/>
  <c r="N1252" i="3"/>
  <c r="O1251" i="3"/>
  <c r="N1251" i="3"/>
  <c r="O1250" i="3"/>
  <c r="N1250" i="3"/>
  <c r="O1249" i="3"/>
  <c r="N1249" i="3"/>
  <c r="O1248" i="3"/>
  <c r="N1248" i="3"/>
  <c r="O1247" i="3"/>
  <c r="N1247" i="3"/>
  <c r="O1246" i="3"/>
  <c r="N1246" i="3"/>
  <c r="O1245" i="3"/>
  <c r="N1245" i="3"/>
  <c r="O1244" i="3"/>
  <c r="N1244" i="3"/>
  <c r="O1243" i="3"/>
  <c r="N1243" i="3"/>
  <c r="O1242" i="3"/>
  <c r="N1242" i="3"/>
  <c r="O1241" i="3"/>
  <c r="N1241" i="3"/>
  <c r="O1240" i="3"/>
  <c r="N1240" i="3"/>
  <c r="C410" i="4" s="1"/>
  <c r="O1239" i="3"/>
  <c r="N1239" i="3"/>
  <c r="O1238" i="3"/>
  <c r="N1238" i="3"/>
  <c r="O1237" i="3"/>
  <c r="N1237" i="3"/>
  <c r="O1236" i="3"/>
  <c r="N1236" i="3"/>
  <c r="O1235" i="3"/>
  <c r="N1235" i="3"/>
  <c r="O1234" i="3"/>
  <c r="N1234" i="3"/>
  <c r="O1233" i="3"/>
  <c r="N1233" i="3"/>
  <c r="O1232" i="3"/>
  <c r="N1232" i="3"/>
  <c r="O1231" i="3"/>
  <c r="N1231" i="3"/>
  <c r="O1230" i="3"/>
  <c r="N1230" i="3"/>
  <c r="O1229" i="3"/>
  <c r="N1229" i="3"/>
  <c r="O1228" i="3"/>
  <c r="N1228" i="3"/>
  <c r="O1227" i="3"/>
  <c r="N1227" i="3"/>
  <c r="O1226" i="3"/>
  <c r="N1226" i="3"/>
  <c r="O1225" i="3"/>
  <c r="N1225" i="3"/>
  <c r="O1224" i="3"/>
  <c r="N1224" i="3"/>
  <c r="O1223" i="3"/>
  <c r="N1223" i="3"/>
  <c r="O1222" i="3"/>
  <c r="N1222" i="3"/>
  <c r="O1221" i="3"/>
  <c r="N1221" i="3"/>
  <c r="O1220" i="3"/>
  <c r="N1220" i="3"/>
  <c r="O1219" i="3"/>
  <c r="N1219" i="3"/>
  <c r="O1218" i="3"/>
  <c r="N1218" i="3"/>
  <c r="C409" i="4" s="1"/>
  <c r="O1217" i="3"/>
  <c r="N1217" i="3"/>
  <c r="O1216" i="3"/>
  <c r="N1216" i="3"/>
  <c r="O1215" i="3"/>
  <c r="N1215" i="3"/>
  <c r="O1214" i="3"/>
  <c r="N1214" i="3"/>
  <c r="O1213" i="3"/>
  <c r="N1213" i="3"/>
  <c r="O1212" i="3"/>
  <c r="N1212" i="3"/>
  <c r="O1211" i="3"/>
  <c r="N1211" i="3"/>
  <c r="O1210" i="3"/>
  <c r="N1210" i="3"/>
  <c r="C408" i="4" s="1"/>
  <c r="O1209" i="3"/>
  <c r="N1209" i="3"/>
  <c r="O1208" i="3"/>
  <c r="N1208" i="3"/>
  <c r="O1207" i="3"/>
  <c r="N1207" i="3"/>
  <c r="O1206" i="3"/>
  <c r="N1206" i="3"/>
  <c r="O1205" i="3"/>
  <c r="N1205" i="3"/>
  <c r="O1204" i="3"/>
  <c r="N1204" i="3"/>
  <c r="O1203" i="3"/>
  <c r="N1203" i="3"/>
  <c r="O1202" i="3"/>
  <c r="N1202" i="3"/>
  <c r="O1201" i="3"/>
  <c r="N1201" i="3"/>
  <c r="O1200" i="3"/>
  <c r="N1200" i="3"/>
  <c r="C407" i="4" s="1"/>
  <c r="O1199" i="3"/>
  <c r="N1199" i="3"/>
  <c r="O1198" i="3"/>
  <c r="N1198" i="3"/>
  <c r="O1197" i="3"/>
  <c r="N1197" i="3"/>
  <c r="O1196" i="3"/>
  <c r="N1196" i="3"/>
  <c r="C406" i="4" s="1"/>
  <c r="O1195" i="3"/>
  <c r="N1195" i="3"/>
  <c r="O1194" i="3"/>
  <c r="N1194" i="3"/>
  <c r="O1193" i="3"/>
  <c r="N1193" i="3"/>
  <c r="O1192" i="3"/>
  <c r="N1192" i="3"/>
  <c r="O1191" i="3"/>
  <c r="N1191" i="3"/>
  <c r="O1190" i="3"/>
  <c r="N1190" i="3"/>
  <c r="O1189" i="3"/>
  <c r="N1189" i="3"/>
  <c r="C405" i="4" s="1"/>
  <c r="O1188" i="3"/>
  <c r="N1188" i="3"/>
  <c r="O1187" i="3"/>
  <c r="N1187" i="3"/>
  <c r="O1186" i="3"/>
  <c r="N1186" i="3"/>
  <c r="O1185" i="3"/>
  <c r="N1185" i="3"/>
  <c r="O1184" i="3"/>
  <c r="N1184" i="3"/>
  <c r="O1183" i="3"/>
  <c r="N1183" i="3"/>
  <c r="O1182" i="3"/>
  <c r="N1182" i="3"/>
  <c r="C404" i="4" s="1"/>
  <c r="O1181" i="3"/>
  <c r="N1181" i="3"/>
  <c r="O1180" i="3"/>
  <c r="N1180" i="3"/>
  <c r="C403" i="4" s="1"/>
  <c r="O1179" i="3"/>
  <c r="N1179" i="3"/>
  <c r="O1178" i="3"/>
  <c r="N1178" i="3"/>
  <c r="O1177" i="3"/>
  <c r="N1177" i="3"/>
  <c r="O1176" i="3"/>
  <c r="N1176" i="3"/>
  <c r="O1175" i="3"/>
  <c r="N1175" i="3"/>
  <c r="C401" i="4" s="1"/>
  <c r="O1174" i="3"/>
  <c r="N1174" i="3"/>
  <c r="C400" i="4" s="1"/>
  <c r="O1173" i="3"/>
  <c r="N1173" i="3"/>
  <c r="O1172" i="3"/>
  <c r="N1172" i="3"/>
  <c r="O1171" i="3"/>
  <c r="N1171" i="3"/>
  <c r="O1170" i="3"/>
  <c r="N1170" i="3"/>
  <c r="C399" i="4" s="1"/>
  <c r="O1169" i="3"/>
  <c r="N1169" i="3"/>
  <c r="O1168" i="3"/>
  <c r="N1168" i="3"/>
  <c r="O1167" i="3"/>
  <c r="N1167" i="3"/>
  <c r="O1166" i="3"/>
  <c r="N1166" i="3"/>
  <c r="O1165" i="3"/>
  <c r="N1165" i="3"/>
  <c r="O1164" i="3"/>
  <c r="N1164" i="3"/>
  <c r="C398" i="4" s="1"/>
  <c r="O1163" i="3"/>
  <c r="N1163" i="3"/>
  <c r="O1162" i="3"/>
  <c r="N1162" i="3"/>
  <c r="C397" i="4" s="1"/>
  <c r="O1161" i="3"/>
  <c r="N1161" i="3"/>
  <c r="O1160" i="3"/>
  <c r="N1160" i="3"/>
  <c r="C396" i="4" s="1"/>
  <c r="O1159" i="3"/>
  <c r="N1159" i="3"/>
  <c r="O1158" i="3"/>
  <c r="N1158" i="3"/>
  <c r="O1157" i="3"/>
  <c r="N1157" i="3"/>
  <c r="O1156" i="3"/>
  <c r="N1156" i="3"/>
  <c r="O1155" i="3"/>
  <c r="N1155" i="3"/>
  <c r="O1154" i="3"/>
  <c r="N1154" i="3"/>
  <c r="O1153" i="3"/>
  <c r="N1153" i="3"/>
  <c r="O1152" i="3"/>
  <c r="N1152" i="3"/>
  <c r="O1151" i="3"/>
  <c r="N1151" i="3"/>
  <c r="O1150" i="3"/>
  <c r="N1150" i="3"/>
  <c r="O1149" i="3"/>
  <c r="N1149" i="3"/>
  <c r="C395" i="4" s="1"/>
  <c r="O1148" i="3"/>
  <c r="N1148" i="3"/>
  <c r="O1147" i="3"/>
  <c r="N1147" i="3"/>
  <c r="O1146" i="3"/>
  <c r="N1146" i="3"/>
  <c r="O1145" i="3"/>
  <c r="N1145" i="3"/>
  <c r="O1144" i="3"/>
  <c r="N1144" i="3"/>
  <c r="O1143" i="3"/>
  <c r="N1143" i="3"/>
  <c r="O1142" i="3"/>
  <c r="N1142" i="3"/>
  <c r="O1141" i="3"/>
  <c r="N1141" i="3"/>
  <c r="O1140" i="3"/>
  <c r="N1140" i="3"/>
  <c r="O1139" i="3"/>
  <c r="N1139" i="3"/>
  <c r="O1138" i="3"/>
  <c r="N1138" i="3"/>
  <c r="O1137" i="3"/>
  <c r="N1137" i="3"/>
  <c r="C394" i="4" s="1"/>
  <c r="O1136" i="3"/>
  <c r="N1136" i="3"/>
  <c r="O1135" i="3"/>
  <c r="N1135" i="3"/>
  <c r="O1134" i="3"/>
  <c r="N1134" i="3"/>
  <c r="C393" i="4" s="1"/>
  <c r="O1133" i="3"/>
  <c r="N1133" i="3"/>
  <c r="C391" i="4" s="1"/>
  <c r="O1132" i="3"/>
  <c r="N1132" i="3"/>
  <c r="O1131" i="3"/>
  <c r="N1131" i="3"/>
  <c r="O1130" i="3"/>
  <c r="N1130" i="3"/>
  <c r="O1129" i="3"/>
  <c r="N1129" i="3"/>
  <c r="O1128" i="3"/>
  <c r="N1128" i="3"/>
  <c r="O1127" i="3"/>
  <c r="N1127" i="3"/>
  <c r="O1126" i="3"/>
  <c r="N1126" i="3"/>
  <c r="O1125" i="3"/>
  <c r="N1125" i="3"/>
  <c r="O1124" i="3"/>
  <c r="N1124" i="3"/>
  <c r="C390" i="4" s="1"/>
  <c r="O1123" i="3"/>
  <c r="N1123" i="3"/>
  <c r="O1122" i="3"/>
  <c r="N1122" i="3"/>
  <c r="O1121" i="3"/>
  <c r="N1121" i="3"/>
  <c r="O1120" i="3"/>
  <c r="N1120" i="3"/>
  <c r="C389" i="4" s="1"/>
  <c r="O1119" i="3"/>
  <c r="N1119" i="3"/>
  <c r="O1118" i="3"/>
  <c r="N1118" i="3"/>
  <c r="O1117" i="3"/>
  <c r="N1117" i="3"/>
  <c r="O1116" i="3"/>
  <c r="N1116" i="3"/>
  <c r="O1115" i="3"/>
  <c r="N1115" i="3"/>
  <c r="C388" i="4" s="1"/>
  <c r="O1114" i="3"/>
  <c r="N1114" i="3"/>
  <c r="O1113" i="3"/>
  <c r="N1113" i="3"/>
  <c r="O1112" i="3"/>
  <c r="N1112" i="3"/>
  <c r="O1111" i="3"/>
  <c r="N1111" i="3"/>
  <c r="O1110" i="3"/>
  <c r="N1110" i="3"/>
  <c r="O1109" i="3"/>
  <c r="N1109" i="3"/>
  <c r="O1108" i="3"/>
  <c r="N1108" i="3"/>
  <c r="C386" i="4" s="1"/>
  <c r="O1107" i="3"/>
  <c r="N1107" i="3"/>
  <c r="O1106" i="3"/>
  <c r="N1106" i="3"/>
  <c r="O1105" i="3"/>
  <c r="N1105" i="3"/>
  <c r="O1104" i="3"/>
  <c r="N1104" i="3"/>
  <c r="O1103" i="3"/>
  <c r="N1103" i="3"/>
  <c r="O1102" i="3"/>
  <c r="N1102" i="3"/>
  <c r="O1101" i="3"/>
  <c r="N1101" i="3"/>
  <c r="O1100" i="3"/>
  <c r="N1100" i="3"/>
  <c r="O1099" i="3"/>
  <c r="N1099" i="3"/>
  <c r="O1098" i="3"/>
  <c r="N1098" i="3"/>
  <c r="O1097" i="3"/>
  <c r="N1097" i="3"/>
  <c r="O1096" i="3"/>
  <c r="N1096" i="3"/>
  <c r="C385" i="4" s="1"/>
  <c r="O1095" i="3"/>
  <c r="N1095" i="3"/>
  <c r="O1094" i="3"/>
  <c r="N1094" i="3"/>
  <c r="O1093" i="3"/>
  <c r="N1093" i="3"/>
  <c r="O1092" i="3"/>
  <c r="N1092" i="3"/>
  <c r="O1091" i="3"/>
  <c r="N1091" i="3"/>
  <c r="C384" i="4" s="1"/>
  <c r="O1090" i="3"/>
  <c r="N1090" i="3"/>
  <c r="O1089" i="3"/>
  <c r="N1089" i="3"/>
  <c r="O1088" i="3"/>
  <c r="N1088" i="3"/>
  <c r="O1087" i="3"/>
  <c r="N1087" i="3"/>
  <c r="O1086" i="3"/>
  <c r="N1086" i="3"/>
  <c r="O1085" i="3"/>
  <c r="N1085" i="3"/>
  <c r="O1084" i="3"/>
  <c r="N1084" i="3"/>
  <c r="O1083" i="3"/>
  <c r="N1083" i="3"/>
  <c r="O1082" i="3"/>
  <c r="N1082" i="3"/>
  <c r="O1081" i="3"/>
  <c r="N1081" i="3"/>
  <c r="O1080" i="3"/>
  <c r="N1080" i="3"/>
  <c r="C382" i="4" s="1"/>
  <c r="O1079" i="3"/>
  <c r="N1079" i="3"/>
  <c r="O1078" i="3"/>
  <c r="N1078" i="3"/>
  <c r="O1077" i="3"/>
  <c r="N1077" i="3"/>
  <c r="O1076" i="3"/>
  <c r="N1076" i="3"/>
  <c r="O1075" i="3"/>
  <c r="N1075" i="3"/>
  <c r="O1074" i="3"/>
  <c r="N1074" i="3"/>
  <c r="O1073" i="3"/>
  <c r="N1073" i="3"/>
  <c r="C381" i="4" s="1"/>
  <c r="O1072" i="3"/>
  <c r="N1072" i="3"/>
  <c r="O1071" i="3"/>
  <c r="N1071" i="3"/>
  <c r="O1070" i="3"/>
  <c r="N1070" i="3"/>
  <c r="O1069" i="3"/>
  <c r="N1069" i="3"/>
  <c r="O1068" i="3"/>
  <c r="N1068" i="3"/>
  <c r="O1067" i="3"/>
  <c r="N1067" i="3"/>
  <c r="O1066" i="3"/>
  <c r="N1066" i="3"/>
  <c r="O1065" i="3"/>
  <c r="N1065" i="3"/>
  <c r="O1064" i="3"/>
  <c r="N1064" i="3"/>
  <c r="O1063" i="3"/>
  <c r="N1063" i="3"/>
  <c r="C379" i="4" s="1"/>
  <c r="O1062" i="3"/>
  <c r="N1062" i="3"/>
  <c r="O1061" i="3"/>
  <c r="N1061" i="3"/>
  <c r="C378" i="4" s="1"/>
  <c r="O1060" i="3"/>
  <c r="N1060" i="3"/>
  <c r="O1059" i="3"/>
  <c r="N1059" i="3"/>
  <c r="O1058" i="3"/>
  <c r="N1058" i="3"/>
  <c r="O1057" i="3"/>
  <c r="N1057" i="3"/>
  <c r="O1056" i="3"/>
  <c r="N1056" i="3"/>
  <c r="O1055" i="3"/>
  <c r="N1055" i="3"/>
  <c r="C377" i="4" s="1"/>
  <c r="O1054" i="3"/>
  <c r="N1054" i="3"/>
  <c r="O1053" i="3"/>
  <c r="N1053" i="3"/>
  <c r="O1052" i="3"/>
  <c r="N1052" i="3"/>
  <c r="O1051" i="3"/>
  <c r="N1051" i="3"/>
  <c r="O1050" i="3"/>
  <c r="N1050" i="3"/>
  <c r="O1049" i="3"/>
  <c r="N1049" i="3"/>
  <c r="O1048" i="3"/>
  <c r="N1048" i="3"/>
  <c r="O1047" i="3"/>
  <c r="N1047" i="3"/>
  <c r="O1046" i="3"/>
  <c r="N1046" i="3"/>
  <c r="O1045" i="3"/>
  <c r="N1045" i="3"/>
  <c r="O1044" i="3"/>
  <c r="N1044" i="3"/>
  <c r="O1043" i="3"/>
  <c r="N1043" i="3"/>
  <c r="O1042" i="3"/>
  <c r="N1042" i="3"/>
  <c r="O1041" i="3"/>
  <c r="N1041" i="3"/>
  <c r="O1040" i="3"/>
  <c r="N1040" i="3"/>
  <c r="O1039" i="3"/>
  <c r="N1039" i="3"/>
  <c r="O1038" i="3"/>
  <c r="N1038" i="3"/>
  <c r="O1037" i="3"/>
  <c r="N1037" i="3"/>
  <c r="O1036" i="3"/>
  <c r="N1036" i="3"/>
  <c r="O1035" i="3"/>
  <c r="N1035" i="3"/>
  <c r="C376" i="4" s="1"/>
  <c r="O1034" i="3"/>
  <c r="N1034" i="3"/>
  <c r="O1033" i="3"/>
  <c r="N1033" i="3"/>
  <c r="O1032" i="3"/>
  <c r="N1032" i="3"/>
  <c r="O1031" i="3"/>
  <c r="N1031" i="3"/>
  <c r="O1030" i="3"/>
  <c r="N1030" i="3"/>
  <c r="O1029" i="3"/>
  <c r="N1029" i="3"/>
  <c r="O1028" i="3"/>
  <c r="N1028" i="3"/>
  <c r="O1027" i="3"/>
  <c r="N1027" i="3"/>
  <c r="O1026" i="3"/>
  <c r="N1026" i="3"/>
  <c r="O1025" i="3"/>
  <c r="N1025" i="3"/>
  <c r="O1024" i="3"/>
  <c r="N1024" i="3"/>
  <c r="O1023" i="3"/>
  <c r="N1023" i="3"/>
  <c r="O1022" i="3"/>
  <c r="N1022" i="3"/>
  <c r="O1021" i="3"/>
  <c r="N1021" i="3"/>
  <c r="O1020" i="3"/>
  <c r="N1020" i="3"/>
  <c r="O1019" i="3"/>
  <c r="N1019" i="3"/>
  <c r="C375" i="4" s="1"/>
  <c r="O1018" i="3"/>
  <c r="N1018" i="3"/>
  <c r="O1017" i="3"/>
  <c r="N1017" i="3"/>
  <c r="O1016" i="3"/>
  <c r="N1016" i="3"/>
  <c r="C374" i="4" s="1"/>
  <c r="O1015" i="3"/>
  <c r="N1015" i="3"/>
  <c r="C372" i="4" s="1"/>
  <c r="O1014" i="3"/>
  <c r="N1014" i="3"/>
  <c r="O1013" i="3"/>
  <c r="N1013" i="3"/>
  <c r="O1012" i="3"/>
  <c r="N1012" i="3"/>
  <c r="O1011" i="3"/>
  <c r="N1011" i="3"/>
  <c r="O1010" i="3"/>
  <c r="N1010" i="3"/>
  <c r="O1009" i="3"/>
  <c r="N1009" i="3"/>
  <c r="O1008" i="3"/>
  <c r="N1008" i="3"/>
  <c r="O1007" i="3"/>
  <c r="N1007" i="3"/>
  <c r="O1006" i="3"/>
  <c r="N1006" i="3"/>
  <c r="O1005" i="3"/>
  <c r="N1005" i="3"/>
  <c r="C371" i="4" s="1"/>
  <c r="O1004" i="3"/>
  <c r="N1004" i="3"/>
  <c r="O1003" i="3"/>
  <c r="N1003" i="3"/>
  <c r="O1002" i="3"/>
  <c r="N1002" i="3"/>
  <c r="O1001" i="3"/>
  <c r="N1001" i="3"/>
  <c r="O1000" i="3"/>
  <c r="N1000" i="3"/>
  <c r="O999" i="3"/>
  <c r="N999" i="3"/>
  <c r="O998" i="3"/>
  <c r="N998" i="3"/>
  <c r="O997" i="3"/>
  <c r="N997" i="3"/>
  <c r="O996" i="3"/>
  <c r="N996" i="3"/>
  <c r="C370" i="4" s="1"/>
  <c r="O995" i="3"/>
  <c r="N995" i="3"/>
  <c r="O994" i="3"/>
  <c r="N994" i="3"/>
  <c r="C369" i="4" s="1"/>
  <c r="O993" i="3"/>
  <c r="N993" i="3"/>
  <c r="O992" i="3"/>
  <c r="N992" i="3"/>
  <c r="O991" i="3"/>
  <c r="N991" i="3"/>
  <c r="O990" i="3"/>
  <c r="N990" i="3"/>
  <c r="O989" i="3"/>
  <c r="N989" i="3"/>
  <c r="O988" i="3"/>
  <c r="N988" i="3"/>
  <c r="O987" i="3"/>
  <c r="N987" i="3"/>
  <c r="O986" i="3"/>
  <c r="N986" i="3"/>
  <c r="O985" i="3"/>
  <c r="N985" i="3"/>
  <c r="O984" i="3"/>
  <c r="N984" i="3"/>
  <c r="C368" i="4" s="1"/>
  <c r="O983" i="3"/>
  <c r="N983" i="3"/>
  <c r="O982" i="3"/>
  <c r="N982" i="3"/>
  <c r="O981" i="3"/>
  <c r="N981" i="3"/>
  <c r="O980" i="3"/>
  <c r="N980" i="3"/>
  <c r="O979" i="3"/>
  <c r="N979" i="3"/>
  <c r="O978" i="3"/>
  <c r="N978" i="3"/>
  <c r="O977" i="3"/>
  <c r="N977" i="3"/>
  <c r="O976" i="3"/>
  <c r="N976" i="3"/>
  <c r="O975" i="3"/>
  <c r="N975" i="3"/>
  <c r="O974" i="3"/>
  <c r="N974" i="3"/>
  <c r="O973" i="3"/>
  <c r="N973" i="3"/>
  <c r="O972" i="3"/>
  <c r="N972" i="3"/>
  <c r="O971" i="3"/>
  <c r="N971" i="3"/>
  <c r="O970" i="3"/>
  <c r="N970" i="3"/>
  <c r="O969" i="3"/>
  <c r="N969" i="3"/>
  <c r="C367" i="4" s="1"/>
  <c r="O968" i="3"/>
  <c r="N968" i="3"/>
  <c r="O967" i="3"/>
  <c r="N967" i="3"/>
  <c r="C366" i="4" s="1"/>
  <c r="O966" i="3"/>
  <c r="N966" i="3"/>
  <c r="O965" i="3"/>
  <c r="N965" i="3"/>
  <c r="C364" i="4" s="1"/>
  <c r="O964" i="3"/>
  <c r="N964" i="3"/>
  <c r="O963" i="3"/>
  <c r="N963" i="3"/>
  <c r="O962" i="3"/>
  <c r="N962" i="3"/>
  <c r="O961" i="3"/>
  <c r="N961" i="3"/>
  <c r="C363" i="4" s="1"/>
  <c r="O960" i="3"/>
  <c r="N960" i="3"/>
  <c r="O959" i="3"/>
  <c r="N959" i="3"/>
  <c r="C362" i="4" s="1"/>
  <c r="O958" i="3"/>
  <c r="N958" i="3"/>
  <c r="O957" i="3"/>
  <c r="N957" i="3"/>
  <c r="O956" i="3"/>
  <c r="N956" i="3"/>
  <c r="O955" i="3"/>
  <c r="N955" i="3"/>
  <c r="O954" i="3"/>
  <c r="N954" i="3"/>
  <c r="O953" i="3"/>
  <c r="N953" i="3"/>
  <c r="O952" i="3"/>
  <c r="N952" i="3"/>
  <c r="O951" i="3"/>
  <c r="N951" i="3"/>
  <c r="C361" i="4" s="1"/>
  <c r="O950" i="3"/>
  <c r="N950" i="3"/>
  <c r="O949" i="3"/>
  <c r="N949" i="3"/>
  <c r="O948" i="3"/>
  <c r="N948" i="3"/>
  <c r="O947" i="3"/>
  <c r="N947" i="3"/>
  <c r="O946" i="3"/>
  <c r="N946" i="3"/>
  <c r="O945" i="3"/>
  <c r="N945" i="3"/>
  <c r="O944" i="3"/>
  <c r="N944" i="3"/>
  <c r="O943" i="3"/>
  <c r="N943" i="3"/>
  <c r="O942" i="3"/>
  <c r="N942" i="3"/>
  <c r="O941" i="3"/>
  <c r="N941" i="3"/>
  <c r="O940" i="3"/>
  <c r="N940" i="3"/>
  <c r="C360" i="4" s="1"/>
  <c r="O939" i="3"/>
  <c r="N939" i="3"/>
  <c r="O938" i="3"/>
  <c r="N938" i="3"/>
  <c r="O937" i="3"/>
  <c r="N937" i="3"/>
  <c r="O936" i="3"/>
  <c r="N936" i="3"/>
  <c r="O935" i="3"/>
  <c r="N935" i="3"/>
  <c r="O934" i="3"/>
  <c r="N934" i="3"/>
  <c r="O933" i="3"/>
  <c r="N933" i="3"/>
  <c r="O932" i="3"/>
  <c r="N932" i="3"/>
  <c r="O931" i="3"/>
  <c r="N931" i="3"/>
  <c r="C359" i="4" s="1"/>
  <c r="O930" i="3"/>
  <c r="N930" i="3"/>
  <c r="O929" i="3"/>
  <c r="N929" i="3"/>
  <c r="O928" i="3"/>
  <c r="N928" i="3"/>
  <c r="O927" i="3"/>
  <c r="N927" i="3"/>
  <c r="O926" i="3"/>
  <c r="N926" i="3"/>
  <c r="O925" i="3"/>
  <c r="N925" i="3"/>
  <c r="O924" i="3"/>
  <c r="N924" i="3"/>
  <c r="O923" i="3"/>
  <c r="N923" i="3"/>
  <c r="O922" i="3"/>
  <c r="N922" i="3"/>
  <c r="O921" i="3"/>
  <c r="N921" i="3"/>
  <c r="O920" i="3"/>
  <c r="N920" i="3"/>
  <c r="C358" i="4" s="1"/>
  <c r="O919" i="3"/>
  <c r="N919" i="3"/>
  <c r="O918" i="3"/>
  <c r="N918" i="3"/>
  <c r="O917" i="3"/>
  <c r="N917" i="3"/>
  <c r="C357" i="4" s="1"/>
  <c r="O916" i="3"/>
  <c r="N916" i="3"/>
  <c r="O915" i="3"/>
  <c r="N915" i="3"/>
  <c r="O914" i="3"/>
  <c r="N914" i="3"/>
  <c r="O913" i="3"/>
  <c r="N913" i="3"/>
  <c r="O912" i="3"/>
  <c r="N912" i="3"/>
  <c r="O911" i="3"/>
  <c r="N911" i="3"/>
  <c r="O910" i="3"/>
  <c r="N910" i="3"/>
  <c r="O909" i="3"/>
  <c r="N909" i="3"/>
  <c r="O908" i="3"/>
  <c r="N908" i="3"/>
  <c r="O907" i="3"/>
  <c r="N907" i="3"/>
  <c r="O906" i="3"/>
  <c r="N906" i="3"/>
  <c r="O905" i="3"/>
  <c r="N905" i="3"/>
  <c r="O904" i="3"/>
  <c r="N904" i="3"/>
  <c r="C356" i="4" s="1"/>
  <c r="O903" i="3"/>
  <c r="N903" i="3"/>
  <c r="O902" i="3"/>
  <c r="N902" i="3"/>
  <c r="O901" i="3"/>
  <c r="N901" i="3"/>
  <c r="O900" i="3"/>
  <c r="N900" i="3"/>
  <c r="O899" i="3"/>
  <c r="N899" i="3"/>
  <c r="O898" i="3"/>
  <c r="N898" i="3"/>
  <c r="O897" i="3"/>
  <c r="N897" i="3"/>
  <c r="O896" i="3"/>
  <c r="N896" i="3"/>
  <c r="O895" i="3"/>
  <c r="N895" i="3"/>
  <c r="O894" i="3"/>
  <c r="N894" i="3"/>
  <c r="O893" i="3"/>
  <c r="N893" i="3"/>
  <c r="O892" i="3"/>
  <c r="N892" i="3"/>
  <c r="O891" i="3"/>
  <c r="N891" i="3"/>
  <c r="O890" i="3"/>
  <c r="N890" i="3"/>
  <c r="O889" i="3"/>
  <c r="N889" i="3"/>
  <c r="O888" i="3"/>
  <c r="N888" i="3"/>
  <c r="O887" i="3"/>
  <c r="N887" i="3"/>
  <c r="O886" i="3"/>
  <c r="N886" i="3"/>
  <c r="O885" i="3"/>
  <c r="N885" i="3"/>
  <c r="O884" i="3"/>
  <c r="N884" i="3"/>
  <c r="O883" i="3"/>
  <c r="N883" i="3"/>
  <c r="O882" i="3"/>
  <c r="N882" i="3"/>
  <c r="O881" i="3"/>
  <c r="N881" i="3"/>
  <c r="O880" i="3"/>
  <c r="N880" i="3"/>
  <c r="O879" i="3"/>
  <c r="N879" i="3"/>
  <c r="O878" i="3"/>
  <c r="N878" i="3"/>
  <c r="O877" i="3"/>
  <c r="N877" i="3"/>
  <c r="O876" i="3"/>
  <c r="N876" i="3"/>
  <c r="O875" i="3"/>
  <c r="N875" i="3"/>
  <c r="O874" i="3"/>
  <c r="N874" i="3"/>
  <c r="O873" i="3"/>
  <c r="N873" i="3"/>
  <c r="O872" i="3"/>
  <c r="N872" i="3"/>
  <c r="O871" i="3"/>
  <c r="N871" i="3"/>
  <c r="O870" i="3"/>
  <c r="N870" i="3"/>
  <c r="O869" i="3"/>
  <c r="N869" i="3"/>
  <c r="O868" i="3"/>
  <c r="N868" i="3"/>
  <c r="O867" i="3"/>
  <c r="N867" i="3"/>
  <c r="O866" i="3"/>
  <c r="N866" i="3"/>
  <c r="O865" i="3"/>
  <c r="N865" i="3"/>
  <c r="O864" i="3"/>
  <c r="N864" i="3"/>
  <c r="O863" i="3"/>
  <c r="N863" i="3"/>
  <c r="O862" i="3"/>
  <c r="N862" i="3"/>
  <c r="O861" i="3"/>
  <c r="N861" i="3"/>
  <c r="O860" i="3"/>
  <c r="N860" i="3"/>
  <c r="O859" i="3"/>
  <c r="N859" i="3"/>
  <c r="O858" i="3"/>
  <c r="N858" i="3"/>
  <c r="O857" i="3"/>
  <c r="N857" i="3"/>
  <c r="O856" i="3"/>
  <c r="N856" i="3"/>
  <c r="O855" i="3"/>
  <c r="N855" i="3"/>
  <c r="O854" i="3"/>
  <c r="N854" i="3"/>
  <c r="O853" i="3"/>
  <c r="N853" i="3"/>
  <c r="O852" i="3"/>
  <c r="N852" i="3"/>
  <c r="O851" i="3"/>
  <c r="N851" i="3"/>
  <c r="O850" i="3"/>
  <c r="N850" i="3"/>
  <c r="O849" i="3"/>
  <c r="N849" i="3"/>
  <c r="O848" i="3"/>
  <c r="N848" i="3"/>
  <c r="O847" i="3"/>
  <c r="N847" i="3"/>
  <c r="O846" i="3"/>
  <c r="N846" i="3"/>
  <c r="O845" i="3"/>
  <c r="N845" i="3"/>
  <c r="O844" i="3"/>
  <c r="N844" i="3"/>
  <c r="O843" i="3"/>
  <c r="N843" i="3"/>
  <c r="O842" i="3"/>
  <c r="N842" i="3"/>
  <c r="O841" i="3"/>
  <c r="N841" i="3"/>
  <c r="O840" i="3"/>
  <c r="N840" i="3"/>
  <c r="O839" i="3"/>
  <c r="N839" i="3"/>
  <c r="O838" i="3"/>
  <c r="N838" i="3"/>
  <c r="O837" i="3"/>
  <c r="N837" i="3"/>
  <c r="O836" i="3"/>
  <c r="N836" i="3"/>
  <c r="O835" i="3"/>
  <c r="N835" i="3"/>
  <c r="O834" i="3"/>
  <c r="N834" i="3"/>
  <c r="O833" i="3"/>
  <c r="N833" i="3"/>
  <c r="O832" i="3"/>
  <c r="N832" i="3"/>
  <c r="O831" i="3"/>
  <c r="N831" i="3"/>
  <c r="O830" i="3"/>
  <c r="N830" i="3"/>
  <c r="O829" i="3"/>
  <c r="N829" i="3"/>
  <c r="O828" i="3"/>
  <c r="N828" i="3"/>
  <c r="O827" i="3"/>
  <c r="N827" i="3"/>
  <c r="O826" i="3"/>
  <c r="N826" i="3"/>
  <c r="O825" i="3"/>
  <c r="N825" i="3"/>
  <c r="O824" i="3"/>
  <c r="N824" i="3"/>
  <c r="O823" i="3"/>
  <c r="N823" i="3"/>
  <c r="O822" i="3"/>
  <c r="N822" i="3"/>
  <c r="O821" i="3"/>
  <c r="N821" i="3"/>
  <c r="O820" i="3"/>
  <c r="N820" i="3"/>
  <c r="O819" i="3"/>
  <c r="N819" i="3"/>
  <c r="O818" i="3"/>
  <c r="N818" i="3"/>
  <c r="O817" i="3"/>
  <c r="N817" i="3"/>
  <c r="O816" i="3"/>
  <c r="N816" i="3"/>
  <c r="O815" i="3"/>
  <c r="N815" i="3"/>
  <c r="O814" i="3"/>
  <c r="N814" i="3"/>
  <c r="O813" i="3"/>
  <c r="N813" i="3"/>
  <c r="O812" i="3"/>
  <c r="N812" i="3"/>
  <c r="O811" i="3"/>
  <c r="N811" i="3"/>
  <c r="O810" i="3"/>
  <c r="N810" i="3"/>
  <c r="O809" i="3"/>
  <c r="N809" i="3"/>
  <c r="O808" i="3"/>
  <c r="N808" i="3"/>
  <c r="O807" i="3"/>
  <c r="N807" i="3"/>
  <c r="O806" i="3"/>
  <c r="N806" i="3"/>
  <c r="O805" i="3"/>
  <c r="N805" i="3"/>
  <c r="O804" i="3"/>
  <c r="N804" i="3"/>
  <c r="O803" i="3"/>
  <c r="N803" i="3"/>
  <c r="O802" i="3"/>
  <c r="N802" i="3"/>
  <c r="O801" i="3"/>
  <c r="N801" i="3"/>
  <c r="O800" i="3"/>
  <c r="N800" i="3"/>
  <c r="O799" i="3"/>
  <c r="N799" i="3"/>
  <c r="O798" i="3"/>
  <c r="N798" i="3"/>
  <c r="O797" i="3"/>
  <c r="N797" i="3"/>
  <c r="O796" i="3"/>
  <c r="N796" i="3"/>
  <c r="O795" i="3"/>
  <c r="N795" i="3"/>
  <c r="O794" i="3"/>
  <c r="N794" i="3"/>
  <c r="O793" i="3"/>
  <c r="N793" i="3"/>
  <c r="O792" i="3"/>
  <c r="N792" i="3"/>
  <c r="O791" i="3"/>
  <c r="N791" i="3"/>
  <c r="O790" i="3"/>
  <c r="N790" i="3"/>
  <c r="O789" i="3"/>
  <c r="N789" i="3"/>
  <c r="O788" i="3"/>
  <c r="N788" i="3"/>
  <c r="O787" i="3"/>
  <c r="N787" i="3"/>
  <c r="O786" i="3"/>
  <c r="N786" i="3"/>
  <c r="O785" i="3"/>
  <c r="N785" i="3"/>
  <c r="O784" i="3"/>
  <c r="N784" i="3"/>
  <c r="O783" i="3"/>
  <c r="N783" i="3"/>
  <c r="O782" i="3"/>
  <c r="N782" i="3"/>
  <c r="O781" i="3"/>
  <c r="N781" i="3"/>
  <c r="O780" i="3"/>
  <c r="N780" i="3"/>
  <c r="O779" i="3"/>
  <c r="N779" i="3"/>
  <c r="O778" i="3"/>
  <c r="N778" i="3"/>
  <c r="O777" i="3"/>
  <c r="N777" i="3"/>
  <c r="O776" i="3"/>
  <c r="N776" i="3"/>
  <c r="O775" i="3"/>
  <c r="N775" i="3"/>
  <c r="O774" i="3"/>
  <c r="N774" i="3"/>
  <c r="O773" i="3"/>
  <c r="N773" i="3"/>
  <c r="O772" i="3"/>
  <c r="N772" i="3"/>
  <c r="O771" i="3"/>
  <c r="N771" i="3"/>
  <c r="O770" i="3"/>
  <c r="N770" i="3"/>
  <c r="O769" i="3"/>
  <c r="N769" i="3"/>
  <c r="O768" i="3"/>
  <c r="N768" i="3"/>
  <c r="O767" i="3"/>
  <c r="N767" i="3"/>
  <c r="O766" i="3"/>
  <c r="N766" i="3"/>
  <c r="O765" i="3"/>
  <c r="N765" i="3"/>
  <c r="O764" i="3"/>
  <c r="N764" i="3"/>
  <c r="O763" i="3"/>
  <c r="N763" i="3"/>
  <c r="O762" i="3"/>
  <c r="N762" i="3"/>
  <c r="O761" i="3"/>
  <c r="N761" i="3"/>
  <c r="O760" i="3"/>
  <c r="N760" i="3"/>
  <c r="O759" i="3"/>
  <c r="N759" i="3"/>
  <c r="O758" i="3"/>
  <c r="N758" i="3"/>
  <c r="O757" i="3"/>
  <c r="N757" i="3"/>
  <c r="O756" i="3"/>
  <c r="N756" i="3"/>
  <c r="O755" i="3"/>
  <c r="N755" i="3"/>
  <c r="O754" i="3"/>
  <c r="N754" i="3"/>
  <c r="O753" i="3"/>
  <c r="N753" i="3"/>
  <c r="O752" i="3"/>
  <c r="N752" i="3"/>
  <c r="O751" i="3"/>
  <c r="N751" i="3"/>
  <c r="O750" i="3"/>
  <c r="N750" i="3"/>
  <c r="O749" i="3"/>
  <c r="N749" i="3"/>
  <c r="O748" i="3"/>
  <c r="N748" i="3"/>
  <c r="O747" i="3"/>
  <c r="N747" i="3"/>
  <c r="O746" i="3"/>
  <c r="N746" i="3"/>
  <c r="O745" i="3"/>
  <c r="N745" i="3"/>
  <c r="O744" i="3"/>
  <c r="N744" i="3"/>
  <c r="O743" i="3"/>
  <c r="N743" i="3"/>
  <c r="O742" i="3"/>
  <c r="N742" i="3"/>
  <c r="O741" i="3"/>
  <c r="N741" i="3"/>
  <c r="O740" i="3"/>
  <c r="N740" i="3"/>
  <c r="O739" i="3"/>
  <c r="N739" i="3"/>
  <c r="O738" i="3"/>
  <c r="N738" i="3"/>
  <c r="O737" i="3"/>
  <c r="N737" i="3"/>
  <c r="O736" i="3"/>
  <c r="N736" i="3"/>
  <c r="O735" i="3"/>
  <c r="N735" i="3"/>
  <c r="O734" i="3"/>
  <c r="N734" i="3"/>
  <c r="O733" i="3"/>
  <c r="N733" i="3"/>
  <c r="O732" i="3"/>
  <c r="N732" i="3"/>
  <c r="O731" i="3"/>
  <c r="N731" i="3"/>
  <c r="O730" i="3"/>
  <c r="N730" i="3"/>
  <c r="O729" i="3"/>
  <c r="N729" i="3"/>
  <c r="O728" i="3"/>
  <c r="N728" i="3"/>
  <c r="O727" i="3"/>
  <c r="N727" i="3"/>
  <c r="O726" i="3"/>
  <c r="N726" i="3"/>
  <c r="O725" i="3"/>
  <c r="N725" i="3"/>
  <c r="E6" i="1" s="1"/>
  <c r="I6" i="1" s="1"/>
  <c r="A8" i="1" s="1"/>
  <c r="O724" i="3"/>
  <c r="N724" i="3"/>
  <c r="O723" i="3"/>
  <c r="N723" i="3"/>
  <c r="O722" i="3"/>
  <c r="N722" i="3"/>
  <c r="O721" i="3"/>
  <c r="N721" i="3"/>
  <c r="O720" i="3"/>
  <c r="N720" i="3"/>
  <c r="O719" i="3"/>
  <c r="N719" i="3"/>
  <c r="O718" i="3"/>
  <c r="N718" i="3"/>
  <c r="O717" i="3"/>
  <c r="N717" i="3"/>
  <c r="O716" i="3"/>
  <c r="N716" i="3"/>
  <c r="O715" i="3"/>
  <c r="N715" i="3"/>
  <c r="O714" i="3"/>
  <c r="N714" i="3"/>
  <c r="O713" i="3"/>
  <c r="N713" i="3"/>
  <c r="O712" i="3"/>
  <c r="N712" i="3"/>
  <c r="O711" i="3"/>
  <c r="N711" i="3"/>
  <c r="O710" i="3"/>
  <c r="N710" i="3"/>
  <c r="O709" i="3"/>
  <c r="N709" i="3"/>
  <c r="O708" i="3"/>
  <c r="N708" i="3"/>
  <c r="O707" i="3"/>
  <c r="N707" i="3"/>
  <c r="O706" i="3"/>
  <c r="N706" i="3"/>
  <c r="O705" i="3"/>
  <c r="N705" i="3"/>
  <c r="O704" i="3"/>
  <c r="N704" i="3"/>
  <c r="O703" i="3"/>
  <c r="N703" i="3"/>
  <c r="O702" i="3"/>
  <c r="N702" i="3"/>
  <c r="O701" i="3"/>
  <c r="N701" i="3"/>
  <c r="O700" i="3"/>
  <c r="N700" i="3"/>
  <c r="O699" i="3"/>
  <c r="N699" i="3"/>
  <c r="O698" i="3"/>
  <c r="N698" i="3"/>
  <c r="O697" i="3"/>
  <c r="N697" i="3"/>
  <c r="O696" i="3"/>
  <c r="N696" i="3"/>
  <c r="O695" i="3"/>
  <c r="N695" i="3"/>
  <c r="O694" i="3"/>
  <c r="N694" i="3"/>
  <c r="O693" i="3"/>
  <c r="N693" i="3"/>
  <c r="O692" i="3"/>
  <c r="N692" i="3"/>
  <c r="O691" i="3"/>
  <c r="N691" i="3"/>
  <c r="O690" i="3"/>
  <c r="N690" i="3"/>
  <c r="O689" i="3"/>
  <c r="N689" i="3"/>
  <c r="O688" i="3"/>
  <c r="N688" i="3"/>
  <c r="O687" i="3"/>
  <c r="N687" i="3"/>
  <c r="O686" i="3"/>
  <c r="N686" i="3"/>
  <c r="O685" i="3"/>
  <c r="N685" i="3"/>
  <c r="O684" i="3"/>
  <c r="N684" i="3"/>
  <c r="O683" i="3"/>
  <c r="N683" i="3"/>
  <c r="O682" i="3"/>
  <c r="N682" i="3"/>
  <c r="O681" i="3"/>
  <c r="N681" i="3"/>
  <c r="O680" i="3"/>
  <c r="N680" i="3"/>
  <c r="O679" i="3"/>
  <c r="N679" i="3"/>
  <c r="O678" i="3"/>
  <c r="N678" i="3"/>
  <c r="O677" i="3"/>
  <c r="N677" i="3"/>
  <c r="O676" i="3"/>
  <c r="N676" i="3"/>
  <c r="O675" i="3"/>
  <c r="N675" i="3"/>
  <c r="O674" i="3"/>
  <c r="N674" i="3"/>
  <c r="O673" i="3"/>
  <c r="N673" i="3"/>
  <c r="O672" i="3"/>
  <c r="N672" i="3"/>
  <c r="O671" i="3"/>
  <c r="N671" i="3"/>
  <c r="O670" i="3"/>
  <c r="N670" i="3"/>
  <c r="O669" i="3"/>
  <c r="N669" i="3"/>
  <c r="O668" i="3"/>
  <c r="N668" i="3"/>
  <c r="O667" i="3"/>
  <c r="N667" i="3"/>
  <c r="O666" i="3"/>
  <c r="N666" i="3"/>
  <c r="O665" i="3"/>
  <c r="N665" i="3"/>
  <c r="O664" i="3"/>
  <c r="N664" i="3"/>
  <c r="O663" i="3"/>
  <c r="N663" i="3"/>
  <c r="O662" i="3"/>
  <c r="N662" i="3"/>
  <c r="O661" i="3"/>
  <c r="N661" i="3"/>
  <c r="O660" i="3"/>
  <c r="N660" i="3"/>
  <c r="O659" i="3"/>
  <c r="N659" i="3"/>
  <c r="O658" i="3"/>
  <c r="N658" i="3"/>
  <c r="O657" i="3"/>
  <c r="N657" i="3"/>
  <c r="O656" i="3"/>
  <c r="N656" i="3"/>
  <c r="O655" i="3"/>
  <c r="N655" i="3"/>
  <c r="O654" i="3"/>
  <c r="N654" i="3"/>
  <c r="O653" i="3"/>
  <c r="N653" i="3"/>
  <c r="O652" i="3"/>
  <c r="N652" i="3"/>
  <c r="O651" i="3"/>
  <c r="N651" i="3"/>
  <c r="O650" i="3"/>
  <c r="N650" i="3"/>
  <c r="O649" i="3"/>
  <c r="N649" i="3"/>
  <c r="O648" i="3"/>
  <c r="N648" i="3"/>
  <c r="O647" i="3"/>
  <c r="N647" i="3"/>
  <c r="O646" i="3"/>
  <c r="N646" i="3"/>
  <c r="O645" i="3"/>
  <c r="N645" i="3"/>
  <c r="O644" i="3"/>
  <c r="N644" i="3"/>
  <c r="O643" i="3"/>
  <c r="N643" i="3"/>
  <c r="O642" i="3"/>
  <c r="N642" i="3"/>
  <c r="O641" i="3"/>
  <c r="N641" i="3"/>
  <c r="O640" i="3"/>
  <c r="N640" i="3"/>
  <c r="O639" i="3"/>
  <c r="N639" i="3"/>
  <c r="O638" i="3"/>
  <c r="N638" i="3"/>
  <c r="O637" i="3"/>
  <c r="N637" i="3"/>
  <c r="O636" i="3"/>
  <c r="N636" i="3"/>
  <c r="O635" i="3"/>
  <c r="N635" i="3"/>
  <c r="O634" i="3"/>
  <c r="N634" i="3"/>
  <c r="O633" i="3"/>
  <c r="N633" i="3"/>
  <c r="O632" i="3"/>
  <c r="N632" i="3"/>
  <c r="O631" i="3"/>
  <c r="N631" i="3"/>
  <c r="O630" i="3"/>
  <c r="N630" i="3"/>
  <c r="O629" i="3"/>
  <c r="N629" i="3"/>
  <c r="O628" i="3"/>
  <c r="N628" i="3"/>
  <c r="O627" i="3"/>
  <c r="N627" i="3"/>
  <c r="O626" i="3"/>
  <c r="N626" i="3"/>
  <c r="O625" i="3"/>
  <c r="N625" i="3"/>
  <c r="O624" i="3"/>
  <c r="N624" i="3"/>
  <c r="O623" i="3"/>
  <c r="N623" i="3"/>
  <c r="O622" i="3"/>
  <c r="N622" i="3"/>
  <c r="O621" i="3"/>
  <c r="N621" i="3"/>
  <c r="O620" i="3"/>
  <c r="N620" i="3"/>
  <c r="O619" i="3"/>
  <c r="N619" i="3"/>
  <c r="O618" i="3"/>
  <c r="N618" i="3"/>
  <c r="O617" i="3"/>
  <c r="N617" i="3"/>
  <c r="O616" i="3"/>
  <c r="N616" i="3"/>
  <c r="O615" i="3"/>
  <c r="N615" i="3"/>
  <c r="O614" i="3"/>
  <c r="N614" i="3"/>
  <c r="O613" i="3"/>
  <c r="N613" i="3"/>
  <c r="O612" i="3"/>
  <c r="N612" i="3"/>
  <c r="O611" i="3"/>
  <c r="N611" i="3"/>
  <c r="O610" i="3"/>
  <c r="N610" i="3"/>
  <c r="O609" i="3"/>
  <c r="N609" i="3"/>
  <c r="O608" i="3"/>
  <c r="N608" i="3"/>
  <c r="O607" i="3"/>
  <c r="N607" i="3"/>
  <c r="O606" i="3"/>
  <c r="N606" i="3"/>
  <c r="O605" i="3"/>
  <c r="N605" i="3"/>
  <c r="O604" i="3"/>
  <c r="N604" i="3"/>
  <c r="O603" i="3"/>
  <c r="N603" i="3"/>
  <c r="O602" i="3"/>
  <c r="N602" i="3"/>
  <c r="O601" i="3"/>
  <c r="N601" i="3"/>
  <c r="O600" i="3"/>
  <c r="N600" i="3"/>
  <c r="O599" i="3"/>
  <c r="N599" i="3"/>
  <c r="O598" i="3"/>
  <c r="N598" i="3"/>
  <c r="O597" i="3"/>
  <c r="N597" i="3"/>
  <c r="O596" i="3"/>
  <c r="N596" i="3"/>
  <c r="O595" i="3"/>
  <c r="N595" i="3"/>
  <c r="O594" i="3"/>
  <c r="N594" i="3"/>
  <c r="O593" i="3"/>
  <c r="N593" i="3"/>
  <c r="O592" i="3"/>
  <c r="N592" i="3"/>
  <c r="O591" i="3"/>
  <c r="N591" i="3"/>
  <c r="O590" i="3"/>
  <c r="N590" i="3"/>
  <c r="O589" i="3"/>
  <c r="N589" i="3"/>
  <c r="O588" i="3"/>
  <c r="N588" i="3"/>
  <c r="O587" i="3"/>
  <c r="N587" i="3"/>
  <c r="O586" i="3"/>
  <c r="N586" i="3"/>
  <c r="O585" i="3"/>
  <c r="N585" i="3"/>
  <c r="O584" i="3"/>
  <c r="N584" i="3"/>
  <c r="O583" i="3"/>
  <c r="N583" i="3"/>
  <c r="O582" i="3"/>
  <c r="N582" i="3"/>
  <c r="O581" i="3"/>
  <c r="N581" i="3"/>
  <c r="O580" i="3"/>
  <c r="N580" i="3"/>
  <c r="O579" i="3"/>
  <c r="N579" i="3"/>
  <c r="O578" i="3"/>
  <c r="N578" i="3"/>
  <c r="O577" i="3"/>
  <c r="N577" i="3"/>
  <c r="O576" i="3"/>
  <c r="N576" i="3"/>
  <c r="O575" i="3"/>
  <c r="N575" i="3"/>
  <c r="O574" i="3"/>
  <c r="N574" i="3"/>
  <c r="O573" i="3"/>
  <c r="N573" i="3"/>
  <c r="O572" i="3"/>
  <c r="N572" i="3"/>
  <c r="O571" i="3"/>
  <c r="N571" i="3"/>
  <c r="O570" i="3"/>
  <c r="N570" i="3"/>
  <c r="O569" i="3"/>
  <c r="N569" i="3"/>
  <c r="O568" i="3"/>
  <c r="N568" i="3"/>
  <c r="O567" i="3"/>
  <c r="N567" i="3"/>
  <c r="O566" i="3"/>
  <c r="N566" i="3"/>
  <c r="O565" i="3"/>
  <c r="N565" i="3"/>
  <c r="O564" i="3"/>
  <c r="N564" i="3"/>
  <c r="O563" i="3"/>
  <c r="N563" i="3"/>
  <c r="O562" i="3"/>
  <c r="N562" i="3"/>
  <c r="O561" i="3"/>
  <c r="N561" i="3"/>
  <c r="O560" i="3"/>
  <c r="N560" i="3"/>
  <c r="O559" i="3"/>
  <c r="N559" i="3"/>
  <c r="O558" i="3"/>
  <c r="N558" i="3"/>
  <c r="O557" i="3"/>
  <c r="N557" i="3"/>
  <c r="O556" i="3"/>
  <c r="N556" i="3"/>
  <c r="O555" i="3"/>
  <c r="N555" i="3"/>
  <c r="O554" i="3"/>
  <c r="N554" i="3"/>
  <c r="O553" i="3"/>
  <c r="N553" i="3"/>
  <c r="O552" i="3"/>
  <c r="N552" i="3"/>
  <c r="O551" i="3"/>
  <c r="N551" i="3"/>
  <c r="O550" i="3"/>
  <c r="N550" i="3"/>
  <c r="O549" i="3"/>
  <c r="N549" i="3"/>
  <c r="O548" i="3"/>
  <c r="N548" i="3"/>
  <c r="O547" i="3"/>
  <c r="N547" i="3"/>
  <c r="O546" i="3"/>
  <c r="N546" i="3"/>
  <c r="O545" i="3"/>
  <c r="N545" i="3"/>
  <c r="O544" i="3"/>
  <c r="N544" i="3"/>
  <c r="O543" i="3"/>
  <c r="N543" i="3"/>
  <c r="O542" i="3"/>
  <c r="N542" i="3"/>
  <c r="O541" i="3"/>
  <c r="N541" i="3"/>
  <c r="O540" i="3"/>
  <c r="N540" i="3"/>
  <c r="O539" i="3"/>
  <c r="N539" i="3"/>
  <c r="O538" i="3"/>
  <c r="N538" i="3"/>
  <c r="O537" i="3"/>
  <c r="N537" i="3"/>
  <c r="O536" i="3"/>
  <c r="N536" i="3"/>
  <c r="O535" i="3"/>
  <c r="N535" i="3"/>
  <c r="O534" i="3"/>
  <c r="N534" i="3"/>
  <c r="O533" i="3"/>
  <c r="N533" i="3"/>
  <c r="O532" i="3"/>
  <c r="N532" i="3"/>
  <c r="O531" i="3"/>
  <c r="N531" i="3"/>
  <c r="O530" i="3"/>
  <c r="N530" i="3"/>
  <c r="O529" i="3"/>
  <c r="N529" i="3"/>
  <c r="O528" i="3"/>
  <c r="N528" i="3"/>
  <c r="O527" i="3"/>
  <c r="N527" i="3"/>
  <c r="O526" i="3"/>
  <c r="N526" i="3"/>
  <c r="O525" i="3"/>
  <c r="N525" i="3"/>
  <c r="O524" i="3"/>
  <c r="N524" i="3"/>
  <c r="O523" i="3"/>
  <c r="N523" i="3"/>
  <c r="O522" i="3"/>
  <c r="N522" i="3"/>
  <c r="O521" i="3"/>
  <c r="N521" i="3"/>
  <c r="O520" i="3"/>
  <c r="N520" i="3"/>
  <c r="O519" i="3"/>
  <c r="N519" i="3"/>
  <c r="O518" i="3"/>
  <c r="N518" i="3"/>
  <c r="O517" i="3"/>
  <c r="N517" i="3"/>
  <c r="O516" i="3"/>
  <c r="N516" i="3"/>
  <c r="O515" i="3"/>
  <c r="N515" i="3"/>
  <c r="O514" i="3"/>
  <c r="N514" i="3"/>
  <c r="O513" i="3"/>
  <c r="N513" i="3"/>
  <c r="O512" i="3"/>
  <c r="N512" i="3"/>
  <c r="O511" i="3"/>
  <c r="N511" i="3"/>
  <c r="O510" i="3"/>
  <c r="N510" i="3"/>
  <c r="O509" i="3"/>
  <c r="N509" i="3"/>
  <c r="O508" i="3"/>
  <c r="N508" i="3"/>
  <c r="O507" i="3"/>
  <c r="N507" i="3"/>
  <c r="O506" i="3"/>
  <c r="N506" i="3"/>
  <c r="O505" i="3"/>
  <c r="N505" i="3"/>
  <c r="O504" i="3"/>
  <c r="N504" i="3"/>
  <c r="O503" i="3"/>
  <c r="N503" i="3"/>
  <c r="O502" i="3"/>
  <c r="N502" i="3"/>
  <c r="O501" i="3"/>
  <c r="N501" i="3"/>
  <c r="O500" i="3"/>
  <c r="N500" i="3"/>
  <c r="O499" i="3"/>
  <c r="N499" i="3"/>
  <c r="O498" i="3"/>
  <c r="N498" i="3"/>
  <c r="O497" i="3"/>
  <c r="N497" i="3"/>
  <c r="O496" i="3"/>
  <c r="N496" i="3"/>
  <c r="O495" i="3"/>
  <c r="N495" i="3"/>
  <c r="O494" i="3"/>
  <c r="N494" i="3"/>
  <c r="O493" i="3"/>
  <c r="N493" i="3"/>
  <c r="O492" i="3"/>
  <c r="N492" i="3"/>
  <c r="O491" i="3"/>
  <c r="N491" i="3"/>
  <c r="O490" i="3"/>
  <c r="N490" i="3"/>
  <c r="O489" i="3"/>
  <c r="N489" i="3"/>
  <c r="O488" i="3"/>
  <c r="N488" i="3"/>
  <c r="O487" i="3"/>
  <c r="N487" i="3"/>
  <c r="O486" i="3"/>
  <c r="N486" i="3"/>
  <c r="O485" i="3"/>
  <c r="N485" i="3"/>
  <c r="O484" i="3"/>
  <c r="N484" i="3"/>
  <c r="O483" i="3"/>
  <c r="N483" i="3"/>
  <c r="O482" i="3"/>
  <c r="N482" i="3"/>
  <c r="O481" i="3"/>
  <c r="N481" i="3"/>
  <c r="O480" i="3"/>
  <c r="N480" i="3"/>
  <c r="O479" i="3"/>
  <c r="N479" i="3"/>
  <c r="O478" i="3"/>
  <c r="N478" i="3"/>
  <c r="O477" i="3"/>
  <c r="N477" i="3"/>
  <c r="O476" i="3"/>
  <c r="N476" i="3"/>
  <c r="O475" i="3"/>
  <c r="N475" i="3"/>
  <c r="O474" i="3"/>
  <c r="N474" i="3"/>
  <c r="O473" i="3"/>
  <c r="N473" i="3"/>
  <c r="O472" i="3"/>
  <c r="N472" i="3"/>
  <c r="O471" i="3"/>
  <c r="N471" i="3"/>
  <c r="O470" i="3"/>
  <c r="N470" i="3"/>
  <c r="O469" i="3"/>
  <c r="N469" i="3"/>
  <c r="O468" i="3"/>
  <c r="N468" i="3"/>
  <c r="O467" i="3"/>
  <c r="N467" i="3"/>
  <c r="O466" i="3"/>
  <c r="N466" i="3"/>
  <c r="O465" i="3"/>
  <c r="N465" i="3"/>
  <c r="O464" i="3"/>
  <c r="N464" i="3"/>
  <c r="O463" i="3"/>
  <c r="N463" i="3"/>
  <c r="O462" i="3"/>
  <c r="N462" i="3"/>
  <c r="O461" i="3"/>
  <c r="N461" i="3"/>
  <c r="O460" i="3"/>
  <c r="N460" i="3"/>
  <c r="O459" i="3"/>
  <c r="N459" i="3"/>
  <c r="O458" i="3"/>
  <c r="N458" i="3"/>
  <c r="O457" i="3"/>
  <c r="N457" i="3"/>
  <c r="O456" i="3"/>
  <c r="N456" i="3"/>
  <c r="O455" i="3"/>
  <c r="N455" i="3"/>
  <c r="O454" i="3"/>
  <c r="N454" i="3"/>
  <c r="O453" i="3"/>
  <c r="N453" i="3"/>
  <c r="O452" i="3"/>
  <c r="N452" i="3"/>
  <c r="O451" i="3"/>
  <c r="N451" i="3"/>
  <c r="O450" i="3"/>
  <c r="N450" i="3"/>
  <c r="O449" i="3"/>
  <c r="N449" i="3"/>
  <c r="O448" i="3"/>
  <c r="N448" i="3"/>
  <c r="O447" i="3"/>
  <c r="N447" i="3"/>
  <c r="O446" i="3"/>
  <c r="N446" i="3"/>
  <c r="O445" i="3"/>
  <c r="N445" i="3"/>
  <c r="O444" i="3"/>
  <c r="N444" i="3"/>
  <c r="O443" i="3"/>
  <c r="N443" i="3"/>
  <c r="O442" i="3"/>
  <c r="N442" i="3"/>
  <c r="O441" i="3"/>
  <c r="N441" i="3"/>
  <c r="O440" i="3"/>
  <c r="N440" i="3"/>
  <c r="O439" i="3"/>
  <c r="N439" i="3"/>
  <c r="O438" i="3"/>
  <c r="N438" i="3"/>
  <c r="O437" i="3"/>
  <c r="N437" i="3"/>
  <c r="O436" i="3"/>
  <c r="N436" i="3"/>
  <c r="O435" i="3"/>
  <c r="N435" i="3"/>
  <c r="O434" i="3"/>
  <c r="N434" i="3"/>
  <c r="O433" i="3"/>
  <c r="N433" i="3"/>
  <c r="O432" i="3"/>
  <c r="N432" i="3"/>
  <c r="O431" i="3"/>
  <c r="N431" i="3"/>
  <c r="O430" i="3"/>
  <c r="N430" i="3"/>
  <c r="O429" i="3"/>
  <c r="N429" i="3"/>
  <c r="O428" i="3"/>
  <c r="N428" i="3"/>
  <c r="O427" i="3"/>
  <c r="N427" i="3"/>
  <c r="O426" i="3"/>
  <c r="N426" i="3"/>
  <c r="O425" i="3"/>
  <c r="N425" i="3"/>
  <c r="O424" i="3"/>
  <c r="N424" i="3"/>
  <c r="O423" i="3"/>
  <c r="N423" i="3"/>
  <c r="O422" i="3"/>
  <c r="N422" i="3"/>
  <c r="O421" i="3"/>
  <c r="N421" i="3"/>
  <c r="O420" i="3"/>
  <c r="N420" i="3"/>
  <c r="O419" i="3"/>
  <c r="N419" i="3"/>
  <c r="O418" i="3"/>
  <c r="N418" i="3"/>
  <c r="O417" i="3"/>
  <c r="N417" i="3"/>
  <c r="O416" i="3"/>
  <c r="N416" i="3"/>
  <c r="O415" i="3"/>
  <c r="N415" i="3"/>
  <c r="O414" i="3"/>
  <c r="N414" i="3"/>
  <c r="O413" i="3"/>
  <c r="N413" i="3"/>
  <c r="O412" i="3"/>
  <c r="N412" i="3"/>
  <c r="O411" i="3"/>
  <c r="N411" i="3"/>
  <c r="O410" i="3"/>
  <c r="N410" i="3"/>
  <c r="O409" i="3"/>
  <c r="N409" i="3"/>
  <c r="O408" i="3"/>
  <c r="N408" i="3"/>
  <c r="O407" i="3"/>
  <c r="N407" i="3"/>
  <c r="O406" i="3"/>
  <c r="N406" i="3"/>
  <c r="O405" i="3"/>
  <c r="N405" i="3"/>
  <c r="O404" i="3"/>
  <c r="N404" i="3"/>
  <c r="O403" i="3"/>
  <c r="N403" i="3"/>
  <c r="O402" i="3"/>
  <c r="N402" i="3"/>
  <c r="O401" i="3"/>
  <c r="N401" i="3"/>
  <c r="O400" i="3"/>
  <c r="N400" i="3"/>
  <c r="O399" i="3"/>
  <c r="N399" i="3"/>
  <c r="O398" i="3"/>
  <c r="N398" i="3"/>
  <c r="O397" i="3"/>
  <c r="N397" i="3"/>
  <c r="O396" i="3"/>
  <c r="N396" i="3"/>
  <c r="O395" i="3"/>
  <c r="N395" i="3"/>
  <c r="O394" i="3"/>
  <c r="N394" i="3"/>
  <c r="O393" i="3"/>
  <c r="N393" i="3"/>
  <c r="O392" i="3"/>
  <c r="N392" i="3"/>
  <c r="O391" i="3"/>
  <c r="N391" i="3"/>
  <c r="O390" i="3"/>
  <c r="N390" i="3"/>
  <c r="O389" i="3"/>
  <c r="N389" i="3"/>
  <c r="O388" i="3"/>
  <c r="N388" i="3"/>
  <c r="O387" i="3"/>
  <c r="N387" i="3"/>
  <c r="O386" i="3"/>
  <c r="N386" i="3"/>
  <c r="O385" i="3"/>
  <c r="N385" i="3"/>
  <c r="O384" i="3"/>
  <c r="N384" i="3"/>
  <c r="O383" i="3"/>
  <c r="N383" i="3"/>
  <c r="O382" i="3"/>
  <c r="N382" i="3"/>
  <c r="O381" i="3"/>
  <c r="N381" i="3"/>
  <c r="O380" i="3"/>
  <c r="N380" i="3"/>
  <c r="O379" i="3"/>
  <c r="N379" i="3"/>
  <c r="O378" i="3"/>
  <c r="N378" i="3"/>
  <c r="O377" i="3"/>
  <c r="N377" i="3"/>
  <c r="O376" i="3"/>
  <c r="N376" i="3"/>
  <c r="O375" i="3"/>
  <c r="N375" i="3"/>
  <c r="O374" i="3"/>
  <c r="N374" i="3"/>
  <c r="O373" i="3"/>
  <c r="N373" i="3"/>
  <c r="O372" i="3"/>
  <c r="N372" i="3"/>
  <c r="O371" i="3"/>
  <c r="N371" i="3"/>
  <c r="O370" i="3"/>
  <c r="N370" i="3"/>
  <c r="O369" i="3"/>
  <c r="N369" i="3"/>
  <c r="O368" i="3"/>
  <c r="N368" i="3"/>
  <c r="O367" i="3"/>
  <c r="N367" i="3"/>
  <c r="O366" i="3"/>
  <c r="N366" i="3"/>
  <c r="O365" i="3"/>
  <c r="N365" i="3"/>
  <c r="O364" i="3"/>
  <c r="N364" i="3"/>
  <c r="O363" i="3"/>
  <c r="N363" i="3"/>
  <c r="O362" i="3"/>
  <c r="N362" i="3"/>
  <c r="O361" i="3"/>
  <c r="N361" i="3"/>
  <c r="O360" i="3"/>
  <c r="N360" i="3"/>
  <c r="O359" i="3"/>
  <c r="N359" i="3"/>
  <c r="O358" i="3"/>
  <c r="N358" i="3"/>
  <c r="O357" i="3"/>
  <c r="N357" i="3"/>
  <c r="O356" i="3"/>
  <c r="N356" i="3"/>
  <c r="O355" i="3"/>
  <c r="N355" i="3"/>
  <c r="O354" i="3"/>
  <c r="N354" i="3"/>
  <c r="O353" i="3"/>
  <c r="N353" i="3"/>
  <c r="O352" i="3"/>
  <c r="N352" i="3"/>
  <c r="O351" i="3"/>
  <c r="N351" i="3"/>
  <c r="O350" i="3"/>
  <c r="N350" i="3"/>
  <c r="O349" i="3"/>
  <c r="N349" i="3"/>
  <c r="O348" i="3"/>
  <c r="N348" i="3"/>
  <c r="O347" i="3"/>
  <c r="N347" i="3"/>
  <c r="O346" i="3"/>
  <c r="N346" i="3"/>
  <c r="O345" i="3"/>
  <c r="N345" i="3"/>
  <c r="O344" i="3"/>
  <c r="N344" i="3"/>
  <c r="O343" i="3"/>
  <c r="N343" i="3"/>
  <c r="O342" i="3"/>
  <c r="N342" i="3"/>
  <c r="O341" i="3"/>
  <c r="N341" i="3"/>
  <c r="O340" i="3"/>
  <c r="N340" i="3"/>
  <c r="O339" i="3"/>
  <c r="N339" i="3"/>
  <c r="O338" i="3"/>
  <c r="N338" i="3"/>
  <c r="O337" i="3"/>
  <c r="N337" i="3"/>
  <c r="O336" i="3"/>
  <c r="N336" i="3"/>
  <c r="O335" i="3"/>
  <c r="N335" i="3"/>
  <c r="O334" i="3"/>
  <c r="N334" i="3"/>
  <c r="O333" i="3"/>
  <c r="N333" i="3"/>
  <c r="O332" i="3"/>
  <c r="N332" i="3"/>
  <c r="O331" i="3"/>
  <c r="N331" i="3"/>
  <c r="O330" i="3"/>
  <c r="N330" i="3"/>
  <c r="O329" i="3"/>
  <c r="N329" i="3"/>
  <c r="O328" i="3"/>
  <c r="N328" i="3"/>
  <c r="O327" i="3"/>
  <c r="N327" i="3"/>
  <c r="O326" i="3"/>
  <c r="N326" i="3"/>
  <c r="O325" i="3"/>
  <c r="N325" i="3"/>
  <c r="O324" i="3"/>
  <c r="N324" i="3"/>
  <c r="O323" i="3"/>
  <c r="N323" i="3"/>
  <c r="O322" i="3"/>
  <c r="N322" i="3"/>
  <c r="O321" i="3"/>
  <c r="N321" i="3"/>
  <c r="O320" i="3"/>
  <c r="N320" i="3"/>
  <c r="O319" i="3"/>
  <c r="N319" i="3"/>
  <c r="O318" i="3"/>
  <c r="N318" i="3"/>
  <c r="O317" i="3"/>
  <c r="N317" i="3"/>
  <c r="O316" i="3"/>
  <c r="N316" i="3"/>
  <c r="O315" i="3"/>
  <c r="N315" i="3"/>
  <c r="O314" i="3"/>
  <c r="N314" i="3"/>
  <c r="O313" i="3"/>
  <c r="N313" i="3"/>
  <c r="O312" i="3"/>
  <c r="N312" i="3"/>
  <c r="O311" i="3"/>
  <c r="N311" i="3"/>
  <c r="O310" i="3"/>
  <c r="N310" i="3"/>
  <c r="O309" i="3"/>
  <c r="N309" i="3"/>
  <c r="O308" i="3"/>
  <c r="N308" i="3"/>
  <c r="O307" i="3"/>
  <c r="N307" i="3"/>
  <c r="O306" i="3"/>
  <c r="N306" i="3"/>
  <c r="O305" i="3"/>
  <c r="N305" i="3"/>
  <c r="O304" i="3"/>
  <c r="N304" i="3"/>
  <c r="O303" i="3"/>
  <c r="N303" i="3"/>
  <c r="O302" i="3"/>
  <c r="N302" i="3"/>
  <c r="O301" i="3"/>
  <c r="N301" i="3"/>
  <c r="O300" i="3"/>
  <c r="N300" i="3"/>
  <c r="O299" i="3"/>
  <c r="N299" i="3"/>
  <c r="O298" i="3"/>
  <c r="N298" i="3"/>
  <c r="O297" i="3"/>
  <c r="N297" i="3"/>
  <c r="O296" i="3"/>
  <c r="N296" i="3"/>
  <c r="O295" i="3"/>
  <c r="N295" i="3"/>
  <c r="O294" i="3"/>
  <c r="N294" i="3"/>
  <c r="O293" i="3"/>
  <c r="N293" i="3"/>
  <c r="O292" i="3"/>
  <c r="N292" i="3"/>
  <c r="O291" i="3"/>
  <c r="N291" i="3"/>
  <c r="O290" i="3"/>
  <c r="N290" i="3"/>
  <c r="O289" i="3"/>
  <c r="N289" i="3"/>
  <c r="O288" i="3"/>
  <c r="N288" i="3"/>
  <c r="O287" i="3"/>
  <c r="N287" i="3"/>
  <c r="O286" i="3"/>
  <c r="N286" i="3"/>
  <c r="O285" i="3"/>
  <c r="N285" i="3"/>
  <c r="O284" i="3"/>
  <c r="N284" i="3"/>
  <c r="O283" i="3"/>
  <c r="N283" i="3"/>
  <c r="O282" i="3"/>
  <c r="N282" i="3"/>
  <c r="O281" i="3"/>
  <c r="N281" i="3"/>
  <c r="O280" i="3"/>
  <c r="N280" i="3"/>
  <c r="O279" i="3"/>
  <c r="N279" i="3"/>
  <c r="O278" i="3"/>
  <c r="N278" i="3"/>
  <c r="O277" i="3"/>
  <c r="N277" i="3"/>
  <c r="O276" i="3"/>
  <c r="N276" i="3"/>
  <c r="O275" i="3"/>
  <c r="N275" i="3"/>
  <c r="O274" i="3"/>
  <c r="N274" i="3"/>
  <c r="O273" i="3"/>
  <c r="N273" i="3"/>
  <c r="O272" i="3"/>
  <c r="N272" i="3"/>
  <c r="O271" i="3"/>
  <c r="N271" i="3"/>
  <c r="O270" i="3"/>
  <c r="N270" i="3"/>
  <c r="O269" i="3"/>
  <c r="N269" i="3"/>
  <c r="O268" i="3"/>
  <c r="N268" i="3"/>
  <c r="O267" i="3"/>
  <c r="N267" i="3"/>
  <c r="O266" i="3"/>
  <c r="N266" i="3"/>
  <c r="O265" i="3"/>
  <c r="N265" i="3"/>
  <c r="O264" i="3"/>
  <c r="N264" i="3"/>
  <c r="O263" i="3"/>
  <c r="N263" i="3"/>
  <c r="O262" i="3"/>
  <c r="N262" i="3"/>
  <c r="O261" i="3"/>
  <c r="N261" i="3"/>
  <c r="O260" i="3"/>
  <c r="N260" i="3"/>
  <c r="O259" i="3"/>
  <c r="N259" i="3"/>
  <c r="O258" i="3"/>
  <c r="N258" i="3"/>
  <c r="O257" i="3"/>
  <c r="N257" i="3"/>
  <c r="O256" i="3"/>
  <c r="N256" i="3"/>
  <c r="O255" i="3"/>
  <c r="N255" i="3"/>
  <c r="O254" i="3"/>
  <c r="N254" i="3"/>
  <c r="O253" i="3"/>
  <c r="N253" i="3"/>
  <c r="O252" i="3"/>
  <c r="N252" i="3"/>
  <c r="O251" i="3"/>
  <c r="N251" i="3"/>
  <c r="O250" i="3"/>
  <c r="N250" i="3"/>
  <c r="O249" i="3"/>
  <c r="N249" i="3"/>
  <c r="O248" i="3"/>
  <c r="N248" i="3"/>
  <c r="O247" i="3"/>
  <c r="N247" i="3"/>
  <c r="O246" i="3"/>
  <c r="N246" i="3"/>
  <c r="O245" i="3"/>
  <c r="N245" i="3"/>
  <c r="O244" i="3"/>
  <c r="N244" i="3"/>
  <c r="O243" i="3"/>
  <c r="N243" i="3"/>
  <c r="O242" i="3"/>
  <c r="N242" i="3"/>
  <c r="O241" i="3"/>
  <c r="N241" i="3"/>
  <c r="O240" i="3"/>
  <c r="N240" i="3"/>
  <c r="O239" i="3"/>
  <c r="N239" i="3"/>
  <c r="O238" i="3"/>
  <c r="N238" i="3"/>
  <c r="O237" i="3"/>
  <c r="N237" i="3"/>
  <c r="O236" i="3"/>
  <c r="N236" i="3"/>
  <c r="O235" i="3"/>
  <c r="N235" i="3"/>
  <c r="O234" i="3"/>
  <c r="N234" i="3"/>
  <c r="O233" i="3"/>
  <c r="N233" i="3"/>
  <c r="O232" i="3"/>
  <c r="N232" i="3"/>
  <c r="O231" i="3"/>
  <c r="N231" i="3"/>
  <c r="O230" i="3"/>
  <c r="N230" i="3"/>
  <c r="O229" i="3"/>
  <c r="N229" i="3"/>
  <c r="O228" i="3"/>
  <c r="N228" i="3"/>
  <c r="O227" i="3"/>
  <c r="N227" i="3"/>
  <c r="O226" i="3"/>
  <c r="N226" i="3"/>
  <c r="O225" i="3"/>
  <c r="N225" i="3"/>
  <c r="O224" i="3"/>
  <c r="N224" i="3"/>
  <c r="O223" i="3"/>
  <c r="N223" i="3"/>
  <c r="O222" i="3"/>
  <c r="N222" i="3"/>
  <c r="O221" i="3"/>
  <c r="N221" i="3"/>
  <c r="O220" i="3"/>
  <c r="N220" i="3"/>
  <c r="O219" i="3"/>
  <c r="N219" i="3"/>
  <c r="O218" i="3"/>
  <c r="N218" i="3"/>
  <c r="O217" i="3"/>
  <c r="N217" i="3"/>
  <c r="O216" i="3"/>
  <c r="N216" i="3"/>
  <c r="O215" i="3"/>
  <c r="N215" i="3"/>
  <c r="O214" i="3"/>
  <c r="N214" i="3"/>
  <c r="O213" i="3"/>
  <c r="N213" i="3"/>
  <c r="O212" i="3"/>
  <c r="N212" i="3"/>
  <c r="O211" i="3"/>
  <c r="N211" i="3"/>
  <c r="O210" i="3"/>
  <c r="N210" i="3"/>
  <c r="O209" i="3"/>
  <c r="N209" i="3"/>
  <c r="O208" i="3"/>
  <c r="N208" i="3"/>
  <c r="O207" i="3"/>
  <c r="N207" i="3"/>
  <c r="O206" i="3"/>
  <c r="N206" i="3"/>
  <c r="O205" i="3"/>
  <c r="N205" i="3"/>
  <c r="O204" i="3"/>
  <c r="N204" i="3"/>
  <c r="O203" i="3"/>
  <c r="N203" i="3"/>
  <c r="O202" i="3"/>
  <c r="N202" i="3"/>
  <c r="O201" i="3"/>
  <c r="N201" i="3"/>
  <c r="O200" i="3"/>
  <c r="N200" i="3"/>
  <c r="O199" i="3"/>
  <c r="N199" i="3"/>
  <c r="O198" i="3"/>
  <c r="N198" i="3"/>
  <c r="O197" i="3"/>
  <c r="N197" i="3"/>
  <c r="O196" i="3"/>
  <c r="N196" i="3"/>
  <c r="O195" i="3"/>
  <c r="N195" i="3"/>
  <c r="O194" i="3"/>
  <c r="N194" i="3"/>
  <c r="O193" i="3"/>
  <c r="N193" i="3"/>
  <c r="O192" i="3"/>
  <c r="N192" i="3"/>
  <c r="O191" i="3"/>
  <c r="N191" i="3"/>
  <c r="O190" i="3"/>
  <c r="N190" i="3"/>
  <c r="O189" i="3"/>
  <c r="N189" i="3"/>
  <c r="O188" i="3"/>
  <c r="N188" i="3"/>
  <c r="O187" i="3"/>
  <c r="N187" i="3"/>
  <c r="O186" i="3"/>
  <c r="N186" i="3"/>
  <c r="O185" i="3"/>
  <c r="N185" i="3"/>
  <c r="O184" i="3"/>
  <c r="N184" i="3"/>
  <c r="O183" i="3"/>
  <c r="N183" i="3"/>
  <c r="O182" i="3"/>
  <c r="N182" i="3"/>
  <c r="O181" i="3"/>
  <c r="N181" i="3"/>
  <c r="O180" i="3"/>
  <c r="N180" i="3"/>
  <c r="O179" i="3"/>
  <c r="N179" i="3"/>
  <c r="O178" i="3"/>
  <c r="N178" i="3"/>
  <c r="O177" i="3"/>
  <c r="N177" i="3"/>
  <c r="O176" i="3"/>
  <c r="N176" i="3"/>
  <c r="O175" i="3"/>
  <c r="N175" i="3"/>
  <c r="O174" i="3"/>
  <c r="N174" i="3"/>
  <c r="O173" i="3"/>
  <c r="N173" i="3"/>
  <c r="O172" i="3"/>
  <c r="N172" i="3"/>
  <c r="O171" i="3"/>
  <c r="N171" i="3"/>
  <c r="O170" i="3"/>
  <c r="N170" i="3"/>
  <c r="O169" i="3"/>
  <c r="N169" i="3"/>
  <c r="O168" i="3"/>
  <c r="N168" i="3"/>
  <c r="O167" i="3"/>
  <c r="N167" i="3"/>
  <c r="O166" i="3"/>
  <c r="N166" i="3"/>
  <c r="O165" i="3"/>
  <c r="N165" i="3"/>
  <c r="O164" i="3"/>
  <c r="N164" i="3"/>
  <c r="O163" i="3"/>
  <c r="N163" i="3"/>
  <c r="O162" i="3"/>
  <c r="N162" i="3"/>
  <c r="O161" i="3"/>
  <c r="N161" i="3"/>
  <c r="O160" i="3"/>
  <c r="N160" i="3"/>
  <c r="O159" i="3"/>
  <c r="N159" i="3"/>
  <c r="O158" i="3"/>
  <c r="N158" i="3"/>
  <c r="O157" i="3"/>
  <c r="N157" i="3"/>
  <c r="O156" i="3"/>
  <c r="N156" i="3"/>
  <c r="O155" i="3"/>
  <c r="N155" i="3"/>
  <c r="O154" i="3"/>
  <c r="N154" i="3"/>
  <c r="O153" i="3"/>
  <c r="N153" i="3"/>
  <c r="O152" i="3"/>
  <c r="N152" i="3"/>
  <c r="O151" i="3"/>
  <c r="N151" i="3"/>
  <c r="O150" i="3"/>
  <c r="N150" i="3"/>
  <c r="O149" i="3"/>
  <c r="N149" i="3"/>
  <c r="O148" i="3"/>
  <c r="N148" i="3"/>
  <c r="O147" i="3"/>
  <c r="N147" i="3"/>
  <c r="O146" i="3"/>
  <c r="N146" i="3"/>
  <c r="O145" i="3"/>
  <c r="N145" i="3"/>
  <c r="O144" i="3"/>
  <c r="N144" i="3"/>
  <c r="O143" i="3"/>
  <c r="N143" i="3"/>
  <c r="O142" i="3"/>
  <c r="N142" i="3"/>
  <c r="O141" i="3"/>
  <c r="N141" i="3"/>
  <c r="O140" i="3"/>
  <c r="N140" i="3"/>
  <c r="O139" i="3"/>
  <c r="N139" i="3"/>
  <c r="C75" i="4" s="1"/>
  <c r="O138" i="3"/>
  <c r="N138" i="3"/>
  <c r="C74" i="4" s="1"/>
  <c r="O137" i="3"/>
  <c r="N137" i="3"/>
  <c r="O136" i="3"/>
  <c r="N136" i="3"/>
  <c r="O135" i="3"/>
  <c r="N135" i="3"/>
  <c r="C73" i="4" s="1"/>
  <c r="O134" i="3"/>
  <c r="N134" i="3"/>
  <c r="C72" i="4" s="1"/>
  <c r="O133" i="3"/>
  <c r="N133" i="3"/>
  <c r="C71" i="4" s="1"/>
  <c r="O132" i="3"/>
  <c r="N132" i="3"/>
  <c r="C70" i="4" s="1"/>
  <c r="O131" i="3"/>
  <c r="N131" i="3"/>
  <c r="O130" i="3"/>
  <c r="N130" i="3"/>
  <c r="C69" i="4" s="1"/>
  <c r="O129" i="3"/>
  <c r="N129" i="3"/>
  <c r="O128" i="3"/>
  <c r="N128" i="3"/>
  <c r="C68" i="4" s="1"/>
  <c r="O127" i="3"/>
  <c r="N127" i="3"/>
  <c r="C67" i="4" s="1"/>
  <c r="O126" i="3"/>
  <c r="N126" i="3"/>
  <c r="O125" i="3"/>
  <c r="N125" i="3"/>
  <c r="O124" i="3"/>
  <c r="N124" i="3"/>
  <c r="C66" i="4" s="1"/>
  <c r="O123" i="3"/>
  <c r="N123" i="3"/>
  <c r="O122" i="3"/>
  <c r="N122" i="3"/>
  <c r="O121" i="3"/>
  <c r="N121" i="3"/>
  <c r="O120" i="3"/>
  <c r="N120" i="3"/>
  <c r="O119" i="3"/>
  <c r="N119" i="3"/>
  <c r="O118" i="3"/>
  <c r="N118" i="3"/>
  <c r="O117" i="3"/>
  <c r="N117" i="3"/>
  <c r="O116" i="3"/>
  <c r="N116" i="3"/>
  <c r="O115" i="3"/>
  <c r="N115" i="3"/>
  <c r="O114" i="3"/>
  <c r="N114" i="3"/>
  <c r="O113" i="3"/>
  <c r="N113" i="3"/>
  <c r="O112" i="3"/>
  <c r="N112" i="3"/>
  <c r="O111" i="3"/>
  <c r="N111" i="3"/>
  <c r="O110" i="3"/>
  <c r="N110" i="3"/>
  <c r="O109" i="3"/>
  <c r="N109" i="3"/>
  <c r="O108" i="3"/>
  <c r="N108" i="3"/>
  <c r="O107" i="3"/>
  <c r="N107" i="3"/>
  <c r="O106" i="3"/>
  <c r="N106" i="3"/>
  <c r="O105" i="3"/>
  <c r="N105" i="3"/>
  <c r="O104" i="3"/>
  <c r="N104" i="3"/>
  <c r="O103" i="3"/>
  <c r="N103" i="3"/>
  <c r="O102" i="3"/>
  <c r="N102" i="3"/>
  <c r="O101" i="3"/>
  <c r="N101" i="3"/>
  <c r="O100" i="3"/>
  <c r="N100" i="3"/>
  <c r="O99" i="3"/>
  <c r="N99" i="3"/>
  <c r="O98" i="3"/>
  <c r="N98" i="3"/>
  <c r="O97" i="3"/>
  <c r="N97" i="3"/>
  <c r="O96" i="3"/>
  <c r="N96" i="3"/>
  <c r="O95" i="3"/>
  <c r="N95" i="3"/>
  <c r="O94" i="3"/>
  <c r="N94" i="3"/>
  <c r="O93" i="3"/>
  <c r="N93" i="3"/>
  <c r="O92" i="3"/>
  <c r="N92" i="3"/>
  <c r="O91" i="3"/>
  <c r="N91" i="3"/>
  <c r="O90" i="3"/>
  <c r="N90" i="3"/>
  <c r="O89" i="3"/>
  <c r="N89" i="3"/>
  <c r="O88" i="3"/>
  <c r="N88" i="3"/>
  <c r="O87" i="3"/>
  <c r="N87" i="3"/>
  <c r="O86" i="3"/>
  <c r="N86" i="3"/>
  <c r="O85" i="3"/>
  <c r="N85" i="3"/>
  <c r="O84" i="3"/>
  <c r="N84" i="3"/>
  <c r="O83" i="3"/>
  <c r="N83" i="3"/>
  <c r="O82" i="3"/>
  <c r="N82" i="3"/>
  <c r="O81" i="3"/>
  <c r="N81" i="3"/>
  <c r="O80" i="3"/>
  <c r="N80" i="3"/>
  <c r="O79" i="3"/>
  <c r="N79" i="3"/>
  <c r="O78" i="3"/>
  <c r="N78" i="3"/>
  <c r="O77" i="3"/>
  <c r="N77" i="3"/>
  <c r="O76" i="3"/>
  <c r="N76" i="3"/>
  <c r="O75" i="3"/>
  <c r="N75" i="3"/>
  <c r="O74" i="3"/>
  <c r="N74" i="3"/>
  <c r="O73" i="3"/>
  <c r="N73" i="3"/>
  <c r="O72" i="3"/>
  <c r="N72" i="3"/>
  <c r="O71" i="3"/>
  <c r="N71" i="3"/>
  <c r="O70" i="3"/>
  <c r="N70" i="3"/>
  <c r="O69" i="3"/>
  <c r="N69" i="3"/>
  <c r="O68" i="3"/>
  <c r="N68" i="3"/>
  <c r="O67" i="3"/>
  <c r="N67" i="3"/>
  <c r="O66" i="3"/>
  <c r="N66" i="3"/>
  <c r="O65" i="3"/>
  <c r="N65" i="3"/>
  <c r="O64" i="3"/>
  <c r="N64" i="3"/>
  <c r="O63" i="3"/>
  <c r="N63" i="3"/>
  <c r="O62" i="3"/>
  <c r="N62" i="3"/>
  <c r="O61" i="3"/>
  <c r="N61" i="3"/>
  <c r="O60" i="3"/>
  <c r="N60" i="3"/>
  <c r="O59" i="3"/>
  <c r="N59" i="3"/>
  <c r="O58" i="3"/>
  <c r="N58" i="3"/>
  <c r="O57" i="3"/>
  <c r="N57" i="3"/>
  <c r="O56" i="3"/>
  <c r="N56" i="3"/>
  <c r="O55" i="3"/>
  <c r="N55" i="3"/>
  <c r="O54" i="3"/>
  <c r="N54" i="3"/>
  <c r="O53" i="3"/>
  <c r="N53" i="3"/>
  <c r="O52" i="3"/>
  <c r="N52" i="3"/>
  <c r="O51" i="3"/>
  <c r="N51" i="3"/>
  <c r="O50" i="3"/>
  <c r="N50" i="3"/>
  <c r="O49" i="3"/>
  <c r="N49" i="3"/>
  <c r="O48" i="3"/>
  <c r="N48" i="3"/>
  <c r="O47" i="3"/>
  <c r="N47" i="3"/>
  <c r="O46" i="3"/>
  <c r="N46" i="3"/>
  <c r="O45" i="3"/>
  <c r="N45" i="3"/>
  <c r="O44" i="3"/>
  <c r="N44" i="3"/>
  <c r="O43" i="3"/>
  <c r="N43" i="3"/>
  <c r="O42" i="3"/>
  <c r="N42" i="3"/>
  <c r="O41" i="3"/>
  <c r="N41" i="3"/>
  <c r="O40" i="3"/>
  <c r="N40" i="3"/>
  <c r="O39" i="3"/>
  <c r="N39" i="3"/>
  <c r="O38" i="3"/>
  <c r="N38" i="3"/>
  <c r="O37" i="3"/>
  <c r="N37" i="3"/>
  <c r="O36" i="3"/>
  <c r="N36" i="3"/>
  <c r="O35" i="3"/>
  <c r="N35" i="3"/>
  <c r="O34" i="3"/>
  <c r="N34" i="3"/>
  <c r="O33" i="3"/>
  <c r="N33" i="3"/>
  <c r="O32" i="3"/>
  <c r="N32" i="3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O8" i="3"/>
  <c r="N8" i="3"/>
  <c r="O7" i="3"/>
  <c r="N7" i="3"/>
  <c r="O6" i="3"/>
  <c r="N6" i="3"/>
  <c r="O5" i="3"/>
  <c r="N5" i="3"/>
  <c r="O4" i="3"/>
  <c r="N4" i="3"/>
  <c r="O3" i="3"/>
  <c r="N3" i="3"/>
  <c r="O2" i="3"/>
  <c r="N2" i="3"/>
  <c r="A4" i="1"/>
  <c r="H3" i="1"/>
  <c r="C3" i="1"/>
  <c r="A6" i="1" l="1"/>
  <c r="X88" i="1"/>
  <c r="X91" i="1"/>
  <c r="X95" i="1"/>
  <c r="X101" i="1"/>
  <c r="X82" i="1"/>
  <c r="X85" i="1"/>
  <c r="X86" i="1"/>
  <c r="X93" i="1"/>
  <c r="X97" i="1"/>
  <c r="X100" i="1"/>
  <c r="X81" i="1"/>
  <c r="X92" i="1"/>
  <c r="X89" i="1"/>
  <c r="X96" i="1"/>
  <c r="X99" i="1"/>
  <c r="X83" i="1"/>
  <c r="X87" i="1"/>
  <c r="X90" i="1"/>
  <c r="X94" i="1"/>
  <c r="X98" i="1"/>
  <c r="X84" i="1"/>
  <c r="X71" i="1"/>
  <c r="X70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45" i="1"/>
  <c r="X20" i="1"/>
  <c r="X19" i="1"/>
  <c r="X18" i="1"/>
  <c r="X17" i="1"/>
  <c r="X16" i="1"/>
  <c r="X15" i="1"/>
  <c r="X14" i="1"/>
  <c r="X13" i="1"/>
  <c r="X12" i="1"/>
  <c r="G6" i="1"/>
  <c r="X80" i="1"/>
  <c r="X69" i="1"/>
  <c r="X44" i="1"/>
  <c r="X43" i="1"/>
  <c r="X42" i="1"/>
  <c r="X46" i="1"/>
  <c r="X79" i="1"/>
  <c r="X78" i="1"/>
  <c r="X77" i="1"/>
  <c r="X76" i="1"/>
  <c r="X75" i="1"/>
  <c r="X74" i="1"/>
  <c r="X73" i="1"/>
  <c r="X72" i="1"/>
  <c r="X21" i="1"/>
  <c r="Y88" i="1" l="1"/>
  <c r="A88" i="1"/>
  <c r="C88" i="1"/>
  <c r="D88" i="1"/>
  <c r="B88" i="1"/>
  <c r="Y91" i="1"/>
  <c r="A91" i="1"/>
  <c r="B91" i="1"/>
  <c r="C91" i="1"/>
  <c r="D91" i="1"/>
  <c r="A95" i="1"/>
  <c r="B95" i="1"/>
  <c r="C95" i="1"/>
  <c r="D95" i="1"/>
  <c r="Y95" i="1"/>
  <c r="D101" i="1"/>
  <c r="Y101" i="1"/>
  <c r="A101" i="1"/>
  <c r="C101" i="1"/>
  <c r="B101" i="1"/>
  <c r="A82" i="1"/>
  <c r="B82" i="1"/>
  <c r="C82" i="1"/>
  <c r="D82" i="1"/>
  <c r="Y82" i="1"/>
  <c r="Y85" i="1"/>
  <c r="A85" i="1"/>
  <c r="B85" i="1"/>
  <c r="C85" i="1"/>
  <c r="D85" i="1"/>
  <c r="Y86" i="1"/>
  <c r="A86" i="1"/>
  <c r="B86" i="1"/>
  <c r="C86" i="1"/>
  <c r="D86" i="1"/>
  <c r="Y93" i="1"/>
  <c r="A93" i="1"/>
  <c r="B93" i="1"/>
  <c r="C93" i="1"/>
  <c r="D93" i="1"/>
  <c r="Y97" i="1"/>
  <c r="B97" i="1"/>
  <c r="C97" i="1"/>
  <c r="D97" i="1"/>
  <c r="A97" i="1"/>
  <c r="B100" i="1"/>
  <c r="C100" i="1"/>
  <c r="Y100" i="1"/>
  <c r="A100" i="1"/>
  <c r="D100" i="1"/>
  <c r="Y81" i="1"/>
  <c r="A81" i="1"/>
  <c r="B81" i="1"/>
  <c r="C81" i="1"/>
  <c r="D81" i="1"/>
  <c r="A92" i="1"/>
  <c r="B92" i="1"/>
  <c r="C92" i="1"/>
  <c r="D92" i="1"/>
  <c r="Y92" i="1"/>
  <c r="Y89" i="1"/>
  <c r="B89" i="1"/>
  <c r="D89" i="1"/>
  <c r="A89" i="1"/>
  <c r="C89" i="1"/>
  <c r="Y96" i="1"/>
  <c r="A96" i="1"/>
  <c r="B96" i="1"/>
  <c r="C96" i="1"/>
  <c r="D96" i="1"/>
  <c r="A99" i="1"/>
  <c r="B99" i="1"/>
  <c r="C99" i="1"/>
  <c r="D99" i="1"/>
  <c r="Y99" i="1"/>
  <c r="A83" i="1"/>
  <c r="B83" i="1"/>
  <c r="C83" i="1"/>
  <c r="D83" i="1"/>
  <c r="Y83" i="1"/>
  <c r="A87" i="1"/>
  <c r="B87" i="1"/>
  <c r="C87" i="1"/>
  <c r="D87" i="1"/>
  <c r="Y87" i="1"/>
  <c r="Y90" i="1"/>
  <c r="A90" i="1"/>
  <c r="B90" i="1"/>
  <c r="C90" i="1"/>
  <c r="D90" i="1"/>
  <c r="Y94" i="1"/>
  <c r="A94" i="1"/>
  <c r="B94" i="1"/>
  <c r="C94" i="1"/>
  <c r="D94" i="1"/>
  <c r="Y98" i="1"/>
  <c r="C98" i="1"/>
  <c r="A98" i="1"/>
  <c r="B98" i="1"/>
  <c r="D98" i="1"/>
  <c r="Y84" i="1"/>
  <c r="A84" i="1"/>
  <c r="B84" i="1"/>
  <c r="C84" i="1"/>
  <c r="D84" i="1"/>
  <c r="Y71" i="1"/>
  <c r="A71" i="1"/>
  <c r="B71" i="1"/>
  <c r="C71" i="1"/>
  <c r="D71" i="1"/>
  <c r="Y70" i="1"/>
  <c r="A70" i="1"/>
  <c r="B70" i="1"/>
  <c r="C70" i="1"/>
  <c r="D70" i="1"/>
  <c r="Y68" i="1"/>
  <c r="A68" i="1"/>
  <c r="B68" i="1"/>
  <c r="C68" i="1"/>
  <c r="D68" i="1"/>
  <c r="Y67" i="1"/>
  <c r="A67" i="1"/>
  <c r="B67" i="1"/>
  <c r="C67" i="1"/>
  <c r="D67" i="1"/>
  <c r="Y66" i="1"/>
  <c r="A66" i="1"/>
  <c r="B66" i="1"/>
  <c r="C66" i="1"/>
  <c r="D66" i="1"/>
  <c r="Y65" i="1"/>
  <c r="A65" i="1"/>
  <c r="B65" i="1"/>
  <c r="C65" i="1"/>
  <c r="D65" i="1"/>
  <c r="Y64" i="1"/>
  <c r="A64" i="1"/>
  <c r="B64" i="1"/>
  <c r="C64" i="1"/>
  <c r="D64" i="1"/>
  <c r="Y63" i="1"/>
  <c r="A63" i="1"/>
  <c r="B63" i="1"/>
  <c r="C63" i="1"/>
  <c r="D63" i="1"/>
  <c r="Y62" i="1"/>
  <c r="A62" i="1"/>
  <c r="B62" i="1"/>
  <c r="C62" i="1"/>
  <c r="D62" i="1"/>
  <c r="Y61" i="1"/>
  <c r="A61" i="1"/>
  <c r="B61" i="1"/>
  <c r="C61" i="1"/>
  <c r="D61" i="1"/>
  <c r="Y60" i="1"/>
  <c r="A60" i="1"/>
  <c r="B60" i="1"/>
  <c r="C60" i="1"/>
  <c r="D60" i="1"/>
  <c r="Y59" i="1"/>
  <c r="A59" i="1"/>
  <c r="B59" i="1"/>
  <c r="C59" i="1"/>
  <c r="D59" i="1"/>
  <c r="Y58" i="1"/>
  <c r="A58" i="1"/>
  <c r="B58" i="1"/>
  <c r="C58" i="1"/>
  <c r="D58" i="1"/>
  <c r="Y57" i="1"/>
  <c r="A57" i="1"/>
  <c r="B57" i="1"/>
  <c r="C57" i="1"/>
  <c r="D57" i="1"/>
  <c r="Y56" i="1"/>
  <c r="A56" i="1"/>
  <c r="B56" i="1"/>
  <c r="C56" i="1"/>
  <c r="D56" i="1"/>
  <c r="Y55" i="1"/>
  <c r="A55" i="1"/>
  <c r="B55" i="1"/>
  <c r="C55" i="1"/>
  <c r="D55" i="1"/>
  <c r="Y54" i="1"/>
  <c r="A54" i="1"/>
  <c r="B54" i="1"/>
  <c r="C54" i="1"/>
  <c r="D54" i="1"/>
  <c r="Y53" i="1"/>
  <c r="A53" i="1"/>
  <c r="B53" i="1"/>
  <c r="C53" i="1"/>
  <c r="D53" i="1"/>
  <c r="Y52" i="1"/>
  <c r="A52" i="1"/>
  <c r="B52" i="1"/>
  <c r="C52" i="1"/>
  <c r="D52" i="1"/>
  <c r="Y51" i="1"/>
  <c r="A51" i="1"/>
  <c r="B51" i="1"/>
  <c r="C51" i="1"/>
  <c r="D51" i="1"/>
  <c r="Y50" i="1"/>
  <c r="A50" i="1"/>
  <c r="B50" i="1"/>
  <c r="C50" i="1"/>
  <c r="D50" i="1"/>
  <c r="Y49" i="1"/>
  <c r="A49" i="1"/>
  <c r="B49" i="1"/>
  <c r="C49" i="1"/>
  <c r="D49" i="1"/>
  <c r="Y48" i="1"/>
  <c r="A48" i="1"/>
  <c r="B48" i="1"/>
  <c r="C48" i="1"/>
  <c r="D48" i="1"/>
  <c r="Y47" i="1"/>
  <c r="A47" i="1"/>
  <c r="B47" i="1"/>
  <c r="C47" i="1"/>
  <c r="D47" i="1"/>
  <c r="Y41" i="1"/>
  <c r="A41" i="1"/>
  <c r="B41" i="1"/>
  <c r="C41" i="1"/>
  <c r="D41" i="1"/>
  <c r="Y40" i="1"/>
  <c r="A40" i="1"/>
  <c r="B40" i="1"/>
  <c r="C40" i="1"/>
  <c r="D40" i="1"/>
  <c r="Y39" i="1"/>
  <c r="A39" i="1"/>
  <c r="B39" i="1"/>
  <c r="C39" i="1"/>
  <c r="D39" i="1"/>
  <c r="Y38" i="1"/>
  <c r="A38" i="1"/>
  <c r="B38" i="1"/>
  <c r="C38" i="1"/>
  <c r="D38" i="1"/>
  <c r="Y37" i="1"/>
  <c r="A37" i="1"/>
  <c r="B37" i="1"/>
  <c r="C37" i="1"/>
  <c r="D37" i="1"/>
  <c r="Y36" i="1"/>
  <c r="A36" i="1"/>
  <c r="B36" i="1"/>
  <c r="C36" i="1"/>
  <c r="D36" i="1"/>
  <c r="Y35" i="1"/>
  <c r="A35" i="1"/>
  <c r="B35" i="1"/>
  <c r="C35" i="1"/>
  <c r="D35" i="1"/>
  <c r="Y34" i="1"/>
  <c r="A34" i="1"/>
  <c r="B34" i="1"/>
  <c r="C34" i="1"/>
  <c r="D34" i="1"/>
  <c r="Y33" i="1"/>
  <c r="A33" i="1"/>
  <c r="B33" i="1"/>
  <c r="C33" i="1"/>
  <c r="D33" i="1"/>
  <c r="A32" i="1"/>
  <c r="B32" i="1"/>
  <c r="D32" i="1"/>
  <c r="A31" i="1"/>
  <c r="B31" i="1"/>
  <c r="D31" i="1"/>
  <c r="A30" i="1"/>
  <c r="B30" i="1"/>
  <c r="D30" i="1"/>
  <c r="Y30" i="1" s="1"/>
  <c r="C30" i="1" s="1"/>
  <c r="A29" i="1"/>
  <c r="B29" i="1"/>
  <c r="Y29" i="1" s="1"/>
  <c r="C29" i="1" s="1"/>
  <c r="D29" i="1"/>
  <c r="A28" i="1"/>
  <c r="B28" i="1"/>
  <c r="D28" i="1"/>
  <c r="A27" i="1"/>
  <c r="B27" i="1"/>
  <c r="D27" i="1"/>
  <c r="A26" i="1"/>
  <c r="B26" i="1"/>
  <c r="D26" i="1"/>
  <c r="A25" i="1"/>
  <c r="B25" i="1"/>
  <c r="D25" i="1"/>
  <c r="A24" i="1"/>
  <c r="B24" i="1"/>
  <c r="D24" i="1"/>
  <c r="A23" i="1"/>
  <c r="B23" i="1"/>
  <c r="D23" i="1"/>
  <c r="A22" i="1"/>
  <c r="B22" i="1"/>
  <c r="D22" i="1"/>
  <c r="Y45" i="1"/>
  <c r="A45" i="1"/>
  <c r="B45" i="1"/>
  <c r="C45" i="1"/>
  <c r="D45" i="1"/>
  <c r="A20" i="1"/>
  <c r="B20" i="1"/>
  <c r="D20" i="1"/>
  <c r="A19" i="1"/>
  <c r="B19" i="1"/>
  <c r="Y19" i="1" s="1"/>
  <c r="C19" i="1" s="1"/>
  <c r="D19" i="1"/>
  <c r="A18" i="1"/>
  <c r="B18" i="1"/>
  <c r="D18" i="1"/>
  <c r="A17" i="1"/>
  <c r="B17" i="1"/>
  <c r="D17" i="1"/>
  <c r="A16" i="1"/>
  <c r="B16" i="1"/>
  <c r="D16" i="1"/>
  <c r="A15" i="1"/>
  <c r="B15" i="1"/>
  <c r="D15" i="1"/>
  <c r="A14" i="1"/>
  <c r="B14" i="1"/>
  <c r="D14" i="1"/>
  <c r="A13" i="1"/>
  <c r="B13" i="1"/>
  <c r="D13" i="1"/>
  <c r="A12" i="1"/>
  <c r="B12" i="1"/>
  <c r="D12" i="1"/>
  <c r="Y80" i="1"/>
  <c r="A80" i="1"/>
  <c r="B80" i="1"/>
  <c r="C80" i="1"/>
  <c r="D80" i="1"/>
  <c r="Y69" i="1"/>
  <c r="A69" i="1"/>
  <c r="B69" i="1"/>
  <c r="C69" i="1"/>
  <c r="D69" i="1"/>
  <c r="Y44" i="1"/>
  <c r="A44" i="1"/>
  <c r="B44" i="1"/>
  <c r="C44" i="1"/>
  <c r="D44" i="1"/>
  <c r="Y43" i="1"/>
  <c r="A43" i="1"/>
  <c r="B43" i="1"/>
  <c r="C43" i="1"/>
  <c r="D43" i="1"/>
  <c r="Y42" i="1"/>
  <c r="A42" i="1"/>
  <c r="B42" i="1"/>
  <c r="C42" i="1"/>
  <c r="D42" i="1"/>
  <c r="Y46" i="1"/>
  <c r="A46" i="1"/>
  <c r="B46" i="1"/>
  <c r="C46" i="1"/>
  <c r="D46" i="1"/>
  <c r="Y79" i="1"/>
  <c r="A79" i="1"/>
  <c r="B79" i="1"/>
  <c r="C79" i="1"/>
  <c r="D79" i="1"/>
  <c r="Y78" i="1"/>
  <c r="A78" i="1"/>
  <c r="B78" i="1"/>
  <c r="C78" i="1"/>
  <c r="D78" i="1"/>
  <c r="Y77" i="1"/>
  <c r="A77" i="1"/>
  <c r="B77" i="1"/>
  <c r="C77" i="1"/>
  <c r="D77" i="1"/>
  <c r="Y76" i="1"/>
  <c r="A76" i="1"/>
  <c r="B76" i="1"/>
  <c r="C76" i="1"/>
  <c r="D76" i="1"/>
  <c r="Y75" i="1"/>
  <c r="A75" i="1"/>
  <c r="B75" i="1"/>
  <c r="C75" i="1"/>
  <c r="D75" i="1"/>
  <c r="Y74" i="1"/>
  <c r="A74" i="1"/>
  <c r="B74" i="1"/>
  <c r="C74" i="1"/>
  <c r="D74" i="1"/>
  <c r="Y73" i="1"/>
  <c r="A73" i="1"/>
  <c r="B73" i="1"/>
  <c r="C73" i="1"/>
  <c r="D73" i="1"/>
  <c r="Y72" i="1"/>
  <c r="A72" i="1"/>
  <c r="B72" i="1"/>
  <c r="C72" i="1"/>
  <c r="D72" i="1"/>
  <c r="A21" i="1"/>
  <c r="B21" i="1"/>
  <c r="D21" i="1"/>
  <c r="Y28" i="1" l="1"/>
  <c r="Y27" i="1"/>
  <c r="Y25" i="1"/>
  <c r="Y24" i="1"/>
  <c r="Y23" i="1"/>
  <c r="Y22" i="1"/>
  <c r="Y20" i="1"/>
  <c r="Y32" i="1"/>
  <c r="Y31" i="1"/>
  <c r="Y26" i="1"/>
  <c r="Y18" i="1"/>
  <c r="Y17" i="1"/>
  <c r="Y16" i="1"/>
  <c r="Y15" i="1"/>
  <c r="Y14" i="1"/>
  <c r="Y13" i="1"/>
  <c r="Y12" i="1"/>
  <c r="Y21" i="1"/>
  <c r="Z88" i="1"/>
  <c r="E88" i="1"/>
  <c r="F88" i="1"/>
  <c r="T88" i="1"/>
  <c r="U88" i="1"/>
  <c r="Z91" i="1"/>
  <c r="E91" i="1"/>
  <c r="F91" i="1"/>
  <c r="T91" i="1"/>
  <c r="U91" i="1"/>
  <c r="Z95" i="1"/>
  <c r="E95" i="1"/>
  <c r="F95" i="1"/>
  <c r="T95" i="1"/>
  <c r="U95" i="1"/>
  <c r="U101" i="1"/>
  <c r="E101" i="1"/>
  <c r="T101" i="1"/>
  <c r="Z101" i="1"/>
  <c r="F101" i="1"/>
  <c r="Z82" i="1"/>
  <c r="E82" i="1"/>
  <c r="F82" i="1"/>
  <c r="T82" i="1"/>
  <c r="U82" i="1"/>
  <c r="Z85" i="1"/>
  <c r="E85" i="1"/>
  <c r="F85" i="1"/>
  <c r="T85" i="1"/>
  <c r="U85" i="1"/>
  <c r="Z86" i="1"/>
  <c r="E86" i="1"/>
  <c r="F86" i="1"/>
  <c r="T86" i="1"/>
  <c r="U86" i="1"/>
  <c r="Z93" i="1"/>
  <c r="E93" i="1"/>
  <c r="F93" i="1"/>
  <c r="T93" i="1"/>
  <c r="U93" i="1"/>
  <c r="E97" i="1"/>
  <c r="F97" i="1"/>
  <c r="T97" i="1"/>
  <c r="U97" i="1"/>
  <c r="Z97" i="1"/>
  <c r="F100" i="1"/>
  <c r="U100" i="1"/>
  <c r="Z100" i="1"/>
  <c r="E100" i="1"/>
  <c r="T100" i="1"/>
  <c r="Z81" i="1"/>
  <c r="E81" i="1"/>
  <c r="F81" i="1"/>
  <c r="T81" i="1"/>
  <c r="U81" i="1"/>
  <c r="Z92" i="1"/>
  <c r="E92" i="1"/>
  <c r="F92" i="1"/>
  <c r="T92" i="1"/>
  <c r="U92" i="1"/>
  <c r="Z89" i="1"/>
  <c r="E89" i="1"/>
  <c r="F89" i="1"/>
  <c r="T89" i="1"/>
  <c r="U89" i="1"/>
  <c r="E96" i="1"/>
  <c r="F96" i="1"/>
  <c r="T96" i="1"/>
  <c r="U96" i="1"/>
  <c r="Z96" i="1"/>
  <c r="Z99" i="1"/>
  <c r="E99" i="1"/>
  <c r="F99" i="1"/>
  <c r="T99" i="1"/>
  <c r="U99" i="1"/>
  <c r="Z83" i="1"/>
  <c r="E83" i="1"/>
  <c r="F83" i="1"/>
  <c r="T83" i="1"/>
  <c r="U83" i="1"/>
  <c r="Z87" i="1"/>
  <c r="E87" i="1"/>
  <c r="F87" i="1"/>
  <c r="T87" i="1"/>
  <c r="U87" i="1"/>
  <c r="Z90" i="1"/>
  <c r="E90" i="1"/>
  <c r="F90" i="1"/>
  <c r="T90" i="1"/>
  <c r="U90" i="1"/>
  <c r="Z94" i="1"/>
  <c r="E94" i="1"/>
  <c r="F94" i="1"/>
  <c r="T94" i="1"/>
  <c r="U94" i="1"/>
  <c r="Z98" i="1"/>
  <c r="E98" i="1"/>
  <c r="F98" i="1"/>
  <c r="T98" i="1"/>
  <c r="U98" i="1"/>
  <c r="Z84" i="1"/>
  <c r="E84" i="1"/>
  <c r="F84" i="1"/>
  <c r="T84" i="1"/>
  <c r="U84" i="1"/>
  <c r="Z71" i="1"/>
  <c r="E71" i="1"/>
  <c r="F71" i="1"/>
  <c r="T71" i="1"/>
  <c r="U71" i="1"/>
  <c r="Z70" i="1"/>
  <c r="E70" i="1"/>
  <c r="F70" i="1"/>
  <c r="T70" i="1"/>
  <c r="U70" i="1"/>
  <c r="Z68" i="1"/>
  <c r="E68" i="1"/>
  <c r="F68" i="1"/>
  <c r="T68" i="1"/>
  <c r="U68" i="1"/>
  <c r="Z67" i="1"/>
  <c r="E67" i="1"/>
  <c r="F67" i="1"/>
  <c r="T67" i="1"/>
  <c r="U67" i="1"/>
  <c r="Z66" i="1"/>
  <c r="E66" i="1"/>
  <c r="F66" i="1"/>
  <c r="T66" i="1"/>
  <c r="U66" i="1"/>
  <c r="Z65" i="1"/>
  <c r="E65" i="1"/>
  <c r="F65" i="1"/>
  <c r="T65" i="1"/>
  <c r="U65" i="1"/>
  <c r="Z64" i="1"/>
  <c r="E64" i="1"/>
  <c r="F64" i="1"/>
  <c r="T64" i="1"/>
  <c r="U64" i="1"/>
  <c r="Z63" i="1"/>
  <c r="E63" i="1"/>
  <c r="F63" i="1"/>
  <c r="T63" i="1"/>
  <c r="U63" i="1"/>
  <c r="Z62" i="1"/>
  <c r="E62" i="1"/>
  <c r="F62" i="1"/>
  <c r="T62" i="1"/>
  <c r="U62" i="1"/>
  <c r="Z61" i="1"/>
  <c r="E61" i="1"/>
  <c r="F61" i="1"/>
  <c r="T61" i="1"/>
  <c r="U61" i="1"/>
  <c r="Z60" i="1"/>
  <c r="E60" i="1"/>
  <c r="F60" i="1"/>
  <c r="T60" i="1"/>
  <c r="U60" i="1"/>
  <c r="Z59" i="1"/>
  <c r="E59" i="1"/>
  <c r="F59" i="1"/>
  <c r="T59" i="1"/>
  <c r="U59" i="1"/>
  <c r="Z58" i="1"/>
  <c r="E58" i="1"/>
  <c r="F58" i="1"/>
  <c r="T58" i="1"/>
  <c r="U58" i="1"/>
  <c r="Z57" i="1"/>
  <c r="E57" i="1"/>
  <c r="F57" i="1"/>
  <c r="T57" i="1"/>
  <c r="U57" i="1"/>
  <c r="Z56" i="1"/>
  <c r="E56" i="1"/>
  <c r="F56" i="1"/>
  <c r="T56" i="1"/>
  <c r="U56" i="1"/>
  <c r="Z55" i="1"/>
  <c r="E55" i="1"/>
  <c r="F55" i="1"/>
  <c r="T55" i="1"/>
  <c r="U55" i="1"/>
  <c r="Z54" i="1"/>
  <c r="E54" i="1"/>
  <c r="F54" i="1"/>
  <c r="T54" i="1"/>
  <c r="U54" i="1"/>
  <c r="Z53" i="1"/>
  <c r="E53" i="1"/>
  <c r="F53" i="1"/>
  <c r="T53" i="1"/>
  <c r="U53" i="1"/>
  <c r="Z52" i="1"/>
  <c r="E52" i="1"/>
  <c r="F52" i="1"/>
  <c r="T52" i="1"/>
  <c r="U52" i="1"/>
  <c r="Z51" i="1"/>
  <c r="E51" i="1"/>
  <c r="F51" i="1"/>
  <c r="T51" i="1"/>
  <c r="U51" i="1"/>
  <c r="Z50" i="1"/>
  <c r="E50" i="1"/>
  <c r="F50" i="1"/>
  <c r="T50" i="1"/>
  <c r="U50" i="1"/>
  <c r="Z49" i="1"/>
  <c r="E49" i="1"/>
  <c r="F49" i="1"/>
  <c r="T49" i="1"/>
  <c r="U49" i="1"/>
  <c r="Z48" i="1"/>
  <c r="E48" i="1"/>
  <c r="F48" i="1"/>
  <c r="T48" i="1"/>
  <c r="U48" i="1"/>
  <c r="Z47" i="1"/>
  <c r="E47" i="1"/>
  <c r="F47" i="1"/>
  <c r="T47" i="1"/>
  <c r="U47" i="1"/>
  <c r="Z41" i="1"/>
  <c r="E41" i="1"/>
  <c r="F41" i="1"/>
  <c r="T41" i="1"/>
  <c r="U41" i="1"/>
  <c r="Z40" i="1"/>
  <c r="E40" i="1"/>
  <c r="F40" i="1"/>
  <c r="T40" i="1"/>
  <c r="U40" i="1"/>
  <c r="Z39" i="1"/>
  <c r="E39" i="1"/>
  <c r="F39" i="1"/>
  <c r="T39" i="1"/>
  <c r="U39" i="1"/>
  <c r="Z38" i="1"/>
  <c r="E38" i="1"/>
  <c r="F38" i="1"/>
  <c r="T38" i="1"/>
  <c r="U38" i="1"/>
  <c r="Z37" i="1"/>
  <c r="E37" i="1"/>
  <c r="F37" i="1"/>
  <c r="T37" i="1"/>
  <c r="U37" i="1"/>
  <c r="Z36" i="1"/>
  <c r="E36" i="1"/>
  <c r="F36" i="1"/>
  <c r="T36" i="1"/>
  <c r="U36" i="1"/>
  <c r="Z35" i="1"/>
  <c r="E35" i="1"/>
  <c r="F35" i="1"/>
  <c r="T35" i="1"/>
  <c r="U35" i="1"/>
  <c r="Z34" i="1"/>
  <c r="E34" i="1"/>
  <c r="F34" i="1"/>
  <c r="T34" i="1"/>
  <c r="U34" i="1"/>
  <c r="Z33" i="1"/>
  <c r="E33" i="1"/>
  <c r="F33" i="1"/>
  <c r="T33" i="1"/>
  <c r="U33" i="1"/>
  <c r="Z30" i="1"/>
  <c r="T30" i="1"/>
  <c r="U30" i="1"/>
  <c r="Z29" i="1"/>
  <c r="T29" i="1"/>
  <c r="U29" i="1"/>
  <c r="Z45" i="1"/>
  <c r="E45" i="1"/>
  <c r="F45" i="1"/>
  <c r="T45" i="1"/>
  <c r="U45" i="1"/>
  <c r="Z19" i="1"/>
  <c r="T19" i="1"/>
  <c r="U19" i="1"/>
  <c r="Z80" i="1"/>
  <c r="E80" i="1"/>
  <c r="F80" i="1"/>
  <c r="T80" i="1"/>
  <c r="U80" i="1"/>
  <c r="Z69" i="1"/>
  <c r="E69" i="1"/>
  <c r="F69" i="1"/>
  <c r="T69" i="1"/>
  <c r="U69" i="1"/>
  <c r="Z44" i="1"/>
  <c r="E44" i="1"/>
  <c r="F44" i="1"/>
  <c r="T44" i="1"/>
  <c r="U44" i="1"/>
  <c r="Z43" i="1"/>
  <c r="E43" i="1"/>
  <c r="F43" i="1"/>
  <c r="T43" i="1"/>
  <c r="U43" i="1"/>
  <c r="Z42" i="1"/>
  <c r="E42" i="1"/>
  <c r="F42" i="1"/>
  <c r="T42" i="1"/>
  <c r="U42" i="1"/>
  <c r="Z46" i="1"/>
  <c r="E46" i="1"/>
  <c r="F46" i="1"/>
  <c r="T46" i="1"/>
  <c r="U46" i="1"/>
  <c r="Z79" i="1"/>
  <c r="E79" i="1"/>
  <c r="F79" i="1"/>
  <c r="T79" i="1"/>
  <c r="U79" i="1"/>
  <c r="Z78" i="1"/>
  <c r="E78" i="1"/>
  <c r="F78" i="1"/>
  <c r="T78" i="1"/>
  <c r="U78" i="1"/>
  <c r="Z77" i="1"/>
  <c r="E77" i="1"/>
  <c r="F77" i="1"/>
  <c r="T77" i="1"/>
  <c r="U77" i="1"/>
  <c r="Z76" i="1"/>
  <c r="E76" i="1"/>
  <c r="F76" i="1"/>
  <c r="T76" i="1"/>
  <c r="U76" i="1"/>
  <c r="Z75" i="1"/>
  <c r="E75" i="1"/>
  <c r="F75" i="1"/>
  <c r="T75" i="1"/>
  <c r="U75" i="1"/>
  <c r="Z74" i="1"/>
  <c r="E74" i="1"/>
  <c r="F74" i="1"/>
  <c r="T74" i="1"/>
  <c r="U74" i="1"/>
  <c r="Z73" i="1"/>
  <c r="E73" i="1"/>
  <c r="F73" i="1"/>
  <c r="T73" i="1"/>
  <c r="U73" i="1"/>
  <c r="Z72" i="1"/>
  <c r="E72" i="1"/>
  <c r="F72" i="1"/>
  <c r="T72" i="1"/>
  <c r="U72" i="1"/>
  <c r="C28" i="1" l="1"/>
  <c r="Z28" i="1"/>
  <c r="T28" i="1"/>
  <c r="U28" i="1"/>
  <c r="C27" i="1"/>
  <c r="Z27" i="1"/>
  <c r="T27" i="1"/>
  <c r="U27" i="1"/>
  <c r="C25" i="1"/>
  <c r="Z25" i="1"/>
  <c r="T25" i="1"/>
  <c r="U25" i="1"/>
  <c r="C24" i="1"/>
  <c r="U24" i="1"/>
  <c r="Z24" i="1"/>
  <c r="T24" i="1"/>
  <c r="C23" i="1"/>
  <c r="Z23" i="1"/>
  <c r="T23" i="1"/>
  <c r="U23" i="1"/>
  <c r="C22" i="1"/>
  <c r="Z22" i="1"/>
  <c r="T22" i="1"/>
  <c r="U22" i="1"/>
  <c r="F22" i="1" s="1"/>
  <c r="C20" i="1"/>
  <c r="T20" i="1"/>
  <c r="U20" i="1"/>
  <c r="Z20" i="1"/>
  <c r="C32" i="1"/>
  <c r="U32" i="1" s="1"/>
  <c r="Z32" i="1"/>
  <c r="T32" i="1"/>
  <c r="C31" i="1"/>
  <c r="U31" i="1" s="1"/>
  <c r="Z31" i="1"/>
  <c r="T31" i="1"/>
  <c r="C26" i="1"/>
  <c r="U26" i="1" s="1"/>
  <c r="Z26" i="1"/>
  <c r="T26" i="1"/>
  <c r="C18" i="1"/>
  <c r="Z18" i="1"/>
  <c r="T18" i="1"/>
  <c r="U18" i="1"/>
  <c r="C17" i="1"/>
  <c r="U17" i="1" s="1"/>
  <c r="Z17" i="1"/>
  <c r="T17" i="1"/>
  <c r="C16" i="1"/>
  <c r="U16" i="1" s="1"/>
  <c r="T16" i="1"/>
  <c r="Z16" i="1"/>
  <c r="C15" i="1"/>
  <c r="U15" i="1" s="1"/>
  <c r="Z15" i="1"/>
  <c r="T15" i="1"/>
  <c r="C14" i="1"/>
  <c r="U14" i="1" s="1"/>
  <c r="Z14" i="1"/>
  <c r="T14" i="1"/>
  <c r="C13" i="1"/>
  <c r="T13" i="1"/>
  <c r="Z13" i="1"/>
  <c r="U13" i="1"/>
  <c r="C12" i="1"/>
  <c r="Z12" i="1"/>
  <c r="T12" i="1"/>
  <c r="U12" i="1"/>
  <c r="C21" i="1"/>
  <c r="U21" i="1" s="1"/>
  <c r="T21" i="1"/>
  <c r="Z21" i="1"/>
  <c r="E30" i="1"/>
  <c r="F30" i="1"/>
  <c r="E29" i="1"/>
  <c r="F29" i="1"/>
  <c r="F19" i="1"/>
  <c r="E19" i="1"/>
  <c r="E22" i="1" l="1"/>
  <c r="F28" i="1"/>
  <c r="E28" i="1"/>
  <c r="E27" i="1"/>
  <c r="F27" i="1"/>
  <c r="E25" i="1"/>
  <c r="F25" i="1"/>
  <c r="F24" i="1"/>
  <c r="E24" i="1"/>
  <c r="E23" i="1"/>
  <c r="F23" i="1"/>
  <c r="F20" i="1"/>
  <c r="E20" i="1"/>
  <c r="E32" i="1"/>
  <c r="F32" i="1"/>
  <c r="F31" i="1"/>
  <c r="E31" i="1"/>
  <c r="E26" i="1"/>
  <c r="F26" i="1"/>
  <c r="F18" i="1"/>
  <c r="E18" i="1"/>
  <c r="E17" i="1"/>
  <c r="F17" i="1"/>
  <c r="E16" i="1"/>
  <c r="F16" i="1"/>
  <c r="E15" i="1"/>
  <c r="F15" i="1"/>
  <c r="F14" i="1"/>
  <c r="E14" i="1"/>
  <c r="F13" i="1"/>
  <c r="E13" i="1"/>
  <c r="E12" i="1"/>
  <c r="F12" i="1"/>
  <c r="E21" i="1"/>
  <c r="F21" i="1"/>
</calcChain>
</file>

<file path=xl/sharedStrings.xml><?xml version="1.0" encoding="utf-8"?>
<sst xmlns="http://schemas.openxmlformats.org/spreadsheetml/2006/main" count="29673" uniqueCount="4067">
  <si>
    <t xml:space="preserve">✈  FLIGHT  SCHEDULE </t>
  </si>
  <si>
    <t>Origin:</t>
  </si>
  <si>
    <t>AMD</t>
  </si>
  <si>
    <t>Destination:</t>
  </si>
  <si>
    <t>DEL</t>
  </si>
  <si>
    <t>ROUTE</t>
  </si>
  <si>
    <t>WEEKLY FLIGHTS</t>
  </si>
  <si>
    <t>FLIGHT COUNT</t>
  </si>
  <si>
    <t>STATUS</t>
  </si>
  <si>
    <t>AIRLINE</t>
  </si>
  <si>
    <t>FLT NO.</t>
  </si>
  <si>
    <t>PRODUCT</t>
  </si>
  <si>
    <t>ETD</t>
  </si>
  <si>
    <t>CPKG  (₹/kg)</t>
  </si>
  <si>
    <t>45+ kg</t>
  </si>
  <si>
    <t>100+ kg</t>
  </si>
  <si>
    <t>Source: Raw Data sheet (flightsfrom.com schedules, verified as of 2026-08-23).  CPKG (₹/kg) = tariff rate + surcharge + add-on (X-ray/TSP/handling). Surcharges: see 'Flight Rates' (per flight) and 'Network Surcharges' (airline-wide); add-ons are set per airline on 'Add-on Rates'. Amber product = check 'Rate Exceptions'.</t>
  </si>
  <si>
    <t>Airline code (as in Raw Data)</t>
  </si>
  <si>
    <t>Airline</t>
  </si>
  <si>
    <t>Add-on ₹/kg</t>
  </si>
  <si>
    <t>Includes</t>
  </si>
  <si>
    <t>AIRINDIA</t>
  </si>
  <si>
    <t>Air India / Air India Express</t>
  </si>
  <si>
    <t>X-ray, TSP, handling etc. (approx.)</t>
  </si>
  <si>
    <t>INDIGO</t>
  </si>
  <si>
    <t>IndiGo</t>
  </si>
  <si>
    <t>AKASA</t>
  </si>
  <si>
    <t>Akasa Air</t>
  </si>
  <si>
    <t>not set</t>
  </si>
  <si>
    <t>SPICEJET</t>
  </si>
  <si>
    <t>SpiceJet</t>
  </si>
  <si>
    <t>Edit the yellow ₹/kg values when your add-on costs change - the Dashboard's CPKG columns update immediately (no need to re-run link_rates.py).</t>
  </si>
  <si>
    <t>Origin</t>
  </si>
  <si>
    <t>Destination</t>
  </si>
  <si>
    <t>OD Pair</t>
  </si>
  <si>
    <t>Flight No</t>
  </si>
  <si>
    <t>Dep Time</t>
  </si>
  <si>
    <t>Mon</t>
  </si>
  <si>
    <t>Tue</t>
  </si>
  <si>
    <t>Wed</t>
  </si>
  <si>
    <t>Thu</t>
  </si>
  <si>
    <t>Fri</t>
  </si>
  <si>
    <t>Sat</t>
  </si>
  <si>
    <t>Sun</t>
  </si>
  <si>
    <t>Weekly Freq</t>
  </si>
  <si>
    <t>MatchRow (helper - do not edit)</t>
  </si>
  <si>
    <t>BBI</t>
  </si>
  <si>
    <t>AMD-BBI</t>
  </si>
  <si>
    <t>6E6237</t>
  </si>
  <si>
    <t>17:55</t>
  </si>
  <si>
    <t>CJB</t>
  </si>
  <si>
    <t>AMD-CJB</t>
  </si>
  <si>
    <t>NO_SERVICE</t>
  </si>
  <si>
    <t>COK</t>
  </si>
  <si>
    <t>AMD-COK</t>
  </si>
  <si>
    <t>6E6391</t>
  </si>
  <si>
    <t>10:55</t>
  </si>
  <si>
    <t>GOI</t>
  </si>
  <si>
    <t>AMD-GOI</t>
  </si>
  <si>
    <t>6E6345</t>
  </si>
  <si>
    <t>16:15</t>
  </si>
  <si>
    <t>6E992</t>
  </si>
  <si>
    <t>19:30</t>
  </si>
  <si>
    <t>GAU</t>
  </si>
  <si>
    <t>AMD-GAU</t>
  </si>
  <si>
    <t>6E6441</t>
  </si>
  <si>
    <t>06:05</t>
  </si>
  <si>
    <t>IDR</t>
  </si>
  <si>
    <t>AMD-IDR</t>
  </si>
  <si>
    <t>6E7173</t>
  </si>
  <si>
    <t>06:55</t>
  </si>
  <si>
    <t>6E7187</t>
  </si>
  <si>
    <t>20:10</t>
  </si>
  <si>
    <t>IXB</t>
  </si>
  <si>
    <t>AMD-IXB</t>
  </si>
  <si>
    <t>QP1569</t>
  </si>
  <si>
    <t>11:30</t>
  </si>
  <si>
    <t>QP1903</t>
  </si>
  <si>
    <t>11:15</t>
  </si>
  <si>
    <t>IXM</t>
  </si>
  <si>
    <t>AMD-IXM</t>
  </si>
  <si>
    <t>IXZ</t>
  </si>
  <si>
    <t>AMD-IXZ</t>
  </si>
  <si>
    <t>JAI</t>
  </si>
  <si>
    <t>AMD-JAI</t>
  </si>
  <si>
    <t>6E7114</t>
  </si>
  <si>
    <t>06:15</t>
  </si>
  <si>
    <t>6E7261</t>
  </si>
  <si>
    <t>15:40</t>
  </si>
  <si>
    <t>6E7131</t>
  </si>
  <si>
    <t>21:05</t>
  </si>
  <si>
    <t>LKO</t>
  </si>
  <si>
    <t>AMD-LKO</t>
  </si>
  <si>
    <t>6E6244</t>
  </si>
  <si>
    <t>08:15</t>
  </si>
  <si>
    <t>6E935</t>
  </si>
  <si>
    <t>14:15</t>
  </si>
  <si>
    <t>NAG</t>
  </si>
  <si>
    <t>AMD-NAG</t>
  </si>
  <si>
    <t>6E7247</t>
  </si>
  <si>
    <t>05:40</t>
  </si>
  <si>
    <t>6E7502</t>
  </si>
  <si>
    <t>18:55</t>
  </si>
  <si>
    <t>PAT</t>
  </si>
  <si>
    <t>AMD-PAT</t>
  </si>
  <si>
    <t>6E921</t>
  </si>
  <si>
    <t>10:40</t>
  </si>
  <si>
    <t>6E2524</t>
  </si>
  <si>
    <t>18:30</t>
  </si>
  <si>
    <t>IXR</t>
  </si>
  <si>
    <t>AMD-IXR</t>
  </si>
  <si>
    <t>6E6493</t>
  </si>
  <si>
    <t>11:10</t>
  </si>
  <si>
    <t>RPR</t>
  </si>
  <si>
    <t>AMD-RPR</t>
  </si>
  <si>
    <t>6E261</t>
  </si>
  <si>
    <t>IXC</t>
  </si>
  <si>
    <t>AMD-IXC</t>
  </si>
  <si>
    <t>6E6375</t>
  </si>
  <si>
    <t>07:40</t>
  </si>
  <si>
    <t>6E6506</t>
  </si>
  <si>
    <t>21:45</t>
  </si>
  <si>
    <t>UDR</t>
  </si>
  <si>
    <t>AMD-UDR</t>
  </si>
  <si>
    <t>SXR</t>
  </si>
  <si>
    <t>AMD-SXR</t>
  </si>
  <si>
    <t>6E6164</t>
  </si>
  <si>
    <t>07:55</t>
  </si>
  <si>
    <t>IXJ</t>
  </si>
  <si>
    <t>AMD-IXJ</t>
  </si>
  <si>
    <t>6E6687</t>
  </si>
  <si>
    <t>09:00</t>
  </si>
  <si>
    <t>TVM</t>
  </si>
  <si>
    <t>AMD-TVM</t>
  </si>
  <si>
    <t>VTZ</t>
  </si>
  <si>
    <t>AMD-VTZ</t>
  </si>
  <si>
    <t>6E879</t>
  </si>
  <si>
    <t>08:44</t>
  </si>
  <si>
    <t>IMF</t>
  </si>
  <si>
    <t>AMD-IMF</t>
  </si>
  <si>
    <t>BHO</t>
  </si>
  <si>
    <t>AMD-BHO</t>
  </si>
  <si>
    <t>6E7525</t>
  </si>
  <si>
    <t>05:50</t>
  </si>
  <si>
    <t>VNS</t>
  </si>
  <si>
    <t>AMD-VNS</t>
  </si>
  <si>
    <t>6E6805</t>
  </si>
  <si>
    <t>14:45</t>
  </si>
  <si>
    <t>IXL</t>
  </si>
  <si>
    <t>AMD-IXL</t>
  </si>
  <si>
    <t>VGA</t>
  </si>
  <si>
    <t>AMD-VGA</t>
  </si>
  <si>
    <t>TRZ</t>
  </si>
  <si>
    <t>AMD-TRZ</t>
  </si>
  <si>
    <t>BLR</t>
  </si>
  <si>
    <t>BLR-BBI</t>
  </si>
  <si>
    <t>6E702</t>
  </si>
  <si>
    <t>07:30</t>
  </si>
  <si>
    <t>6E6535</t>
  </si>
  <si>
    <t>11:40</t>
  </si>
  <si>
    <t>6E411</t>
  </si>
  <si>
    <t>20:05</t>
  </si>
  <si>
    <t>QP1503</t>
  </si>
  <si>
    <t>13:35</t>
  </si>
  <si>
    <t>IX1536</t>
  </si>
  <si>
    <t>15:00</t>
  </si>
  <si>
    <t>BLR-CJB</t>
  </si>
  <si>
    <t>6E857</t>
  </si>
  <si>
    <t>07:05</t>
  </si>
  <si>
    <t>6E6542</t>
  </si>
  <si>
    <t>13:10</t>
  </si>
  <si>
    <t>6E602</t>
  </si>
  <si>
    <t>14:40</t>
  </si>
  <si>
    <t>6E6875</t>
  </si>
  <si>
    <t>19:55</t>
  </si>
  <si>
    <t>BLR-GOI</t>
  </si>
  <si>
    <t>6E194</t>
  </si>
  <si>
    <t>6E6653</t>
  </si>
  <si>
    <t>12:35</t>
  </si>
  <si>
    <t>6E6753</t>
  </si>
  <si>
    <t>15:15</t>
  </si>
  <si>
    <t>6E6168</t>
  </si>
  <si>
    <t>17:40</t>
  </si>
  <si>
    <t>6E6554</t>
  </si>
  <si>
    <t>19:15</t>
  </si>
  <si>
    <t>IX1386</t>
  </si>
  <si>
    <t>13:05</t>
  </si>
  <si>
    <t>IX1539</t>
  </si>
  <si>
    <t>17:20</t>
  </si>
  <si>
    <t>BLR-IDR</t>
  </si>
  <si>
    <t>6E959</t>
  </si>
  <si>
    <t>6E747</t>
  </si>
  <si>
    <t>6E6743</t>
  </si>
  <si>
    <t>20:50</t>
  </si>
  <si>
    <t>IX2014</t>
  </si>
  <si>
    <t>14:25</t>
  </si>
  <si>
    <t>BLR-IXB</t>
  </si>
  <si>
    <t>6E443</t>
  </si>
  <si>
    <t>QP1850</t>
  </si>
  <si>
    <t>05:30</t>
  </si>
  <si>
    <t>IX2461</t>
  </si>
  <si>
    <t>IX2892</t>
  </si>
  <si>
    <t>09:10</t>
  </si>
  <si>
    <t>IX1495</t>
  </si>
  <si>
    <t>13:30</t>
  </si>
  <si>
    <t>BLR-IXM</t>
  </si>
  <si>
    <t>6E6170</t>
  </si>
  <si>
    <t>6E6051</t>
  </si>
  <si>
    <t>10:25</t>
  </si>
  <si>
    <t>6E6585</t>
  </si>
  <si>
    <t>BLR-IXZ</t>
  </si>
  <si>
    <t>IX2648</t>
  </si>
  <si>
    <t>12:00</t>
  </si>
  <si>
    <t>BLR-JAI</t>
  </si>
  <si>
    <t>6E6353</t>
  </si>
  <si>
    <t>07:10</t>
  </si>
  <si>
    <t>6E415</t>
  </si>
  <si>
    <t>09:35</t>
  </si>
  <si>
    <t>6E469</t>
  </si>
  <si>
    <t>16:00</t>
  </si>
  <si>
    <t>6E6141</t>
  </si>
  <si>
    <t>18:20</t>
  </si>
  <si>
    <t>IX1526</t>
  </si>
  <si>
    <t>10:05</t>
  </si>
  <si>
    <t>IX1494</t>
  </si>
  <si>
    <t>16:55</t>
  </si>
  <si>
    <t>BLR-LKO</t>
  </si>
  <si>
    <t>6E503</t>
  </si>
  <si>
    <t>10:00</t>
  </si>
  <si>
    <t>6E451</t>
  </si>
  <si>
    <t>16:20</t>
  </si>
  <si>
    <t>6E903</t>
  </si>
  <si>
    <t>19:10</t>
  </si>
  <si>
    <t>IX1217</t>
  </si>
  <si>
    <t>IX1405</t>
  </si>
  <si>
    <t>11:45</t>
  </si>
  <si>
    <t>IX1480</t>
  </si>
  <si>
    <t>11:50</t>
  </si>
  <si>
    <t>BLR-NAG</t>
  </si>
  <si>
    <t>6E6863</t>
  </si>
  <si>
    <t>08:20</t>
  </si>
  <si>
    <t>6E6891</t>
  </si>
  <si>
    <t>17:15</t>
  </si>
  <si>
    <t>IX1543</t>
  </si>
  <si>
    <t>18:40</t>
  </si>
  <si>
    <t>BLR-PAT</t>
  </si>
  <si>
    <t>6E6801</t>
  </si>
  <si>
    <t>08:25</t>
  </si>
  <si>
    <t>6E6277</t>
  </si>
  <si>
    <t>6E6451</t>
  </si>
  <si>
    <t>16:45</t>
  </si>
  <si>
    <t>IX2816</t>
  </si>
  <si>
    <t>09:50</t>
  </si>
  <si>
    <t>IX1576</t>
  </si>
  <si>
    <t>BLR-IXR</t>
  </si>
  <si>
    <t>6E221</t>
  </si>
  <si>
    <t>17:45</t>
  </si>
  <si>
    <t>IX1239</t>
  </si>
  <si>
    <t>06:35</t>
  </si>
  <si>
    <t>IX2786</t>
  </si>
  <si>
    <t>09:20</t>
  </si>
  <si>
    <t>IX2053</t>
  </si>
  <si>
    <t>16:50</t>
  </si>
  <si>
    <t>BLR-RPR</t>
  </si>
  <si>
    <t>6E405</t>
  </si>
  <si>
    <t>6E978</t>
  </si>
  <si>
    <t>17:30</t>
  </si>
  <si>
    <t>BLR-IXC</t>
  </si>
  <si>
    <t>6E6633</t>
  </si>
  <si>
    <t>04:40</t>
  </si>
  <si>
    <t>6E851</t>
  </si>
  <si>
    <t>6E6385</t>
  </si>
  <si>
    <t>20:30</t>
  </si>
  <si>
    <t>IX1089</t>
  </si>
  <si>
    <t>BLR-UDR</t>
  </si>
  <si>
    <t>6E687</t>
  </si>
  <si>
    <t>06:45</t>
  </si>
  <si>
    <t>BLR-SXR</t>
  </si>
  <si>
    <t>6E6947</t>
  </si>
  <si>
    <t>IX1385</t>
  </si>
  <si>
    <t>BLR-COK</t>
  </si>
  <si>
    <t>6E6702</t>
  </si>
  <si>
    <t>05:20</t>
  </si>
  <si>
    <t>6E763</t>
  </si>
  <si>
    <t>6E7005</t>
  </si>
  <si>
    <t>08:05</t>
  </si>
  <si>
    <t>6E6445</t>
  </si>
  <si>
    <t>6E6104</t>
  </si>
  <si>
    <t>6E703</t>
  </si>
  <si>
    <t>12:55</t>
  </si>
  <si>
    <t>6E2138</t>
  </si>
  <si>
    <t>15:50</t>
  </si>
  <si>
    <t>6E144</t>
  </si>
  <si>
    <t>18:00</t>
  </si>
  <si>
    <t>6E435</t>
  </si>
  <si>
    <t>20:25</t>
  </si>
  <si>
    <t>IX2678</t>
  </si>
  <si>
    <t>IX1893</t>
  </si>
  <si>
    <t>08:40</t>
  </si>
  <si>
    <t>IX1896</t>
  </si>
  <si>
    <t>13:45</t>
  </si>
  <si>
    <t>IX2608</t>
  </si>
  <si>
    <t>IX2116</t>
  </si>
  <si>
    <t>21:00</t>
  </si>
  <si>
    <t>BLR-IXJ</t>
  </si>
  <si>
    <t>BLR-TVM</t>
  </si>
  <si>
    <t>6E688</t>
  </si>
  <si>
    <t>07:20</t>
  </si>
  <si>
    <t>6E6144</t>
  </si>
  <si>
    <t>10:30</t>
  </si>
  <si>
    <t>6E774</t>
  </si>
  <si>
    <t>6E6427</t>
  </si>
  <si>
    <t>IX1367</t>
  </si>
  <si>
    <t>BLR-VTZ</t>
  </si>
  <si>
    <t>6E6336</t>
  </si>
  <si>
    <t>12:40</t>
  </si>
  <si>
    <t>6E969</t>
  </si>
  <si>
    <t>19:00</t>
  </si>
  <si>
    <t>IX2064</t>
  </si>
  <si>
    <t>05:55</t>
  </si>
  <si>
    <t>IX2023</t>
  </si>
  <si>
    <t>IX2063</t>
  </si>
  <si>
    <t>20:35</t>
  </si>
  <si>
    <t>BLR-IMF</t>
  </si>
  <si>
    <t>BLR-BHO</t>
  </si>
  <si>
    <t>6E368</t>
  </si>
  <si>
    <t>06:10</t>
  </si>
  <si>
    <t>6E6465</t>
  </si>
  <si>
    <t>BLR-VNS</t>
  </si>
  <si>
    <t>6E6558</t>
  </si>
  <si>
    <t>09:05</t>
  </si>
  <si>
    <t>6E738</t>
  </si>
  <si>
    <t>QP1423</t>
  </si>
  <si>
    <t>15:55</t>
  </si>
  <si>
    <t>IX1540</t>
  </si>
  <si>
    <t>15:25</t>
  </si>
  <si>
    <t>BLR-IXL</t>
  </si>
  <si>
    <t>BLR-VGA</t>
  </si>
  <si>
    <t>6E7204</t>
  </si>
  <si>
    <t>06:50</t>
  </si>
  <si>
    <t>6E7071</t>
  </si>
  <si>
    <t>6E7134</t>
  </si>
  <si>
    <t>19:20</t>
  </si>
  <si>
    <t>IX2875</t>
  </si>
  <si>
    <t>BLR-TRZ</t>
  </si>
  <si>
    <t>6E7236</t>
  </si>
  <si>
    <t>6E7711</t>
  </si>
  <si>
    <t>14:35</t>
  </si>
  <si>
    <t>6E7165</t>
  </si>
  <si>
    <t>19:25</t>
  </si>
  <si>
    <t>IX5306</t>
  </si>
  <si>
    <t>IX5303</t>
  </si>
  <si>
    <t>23:00</t>
  </si>
  <si>
    <t>BOM</t>
  </si>
  <si>
    <t>BOM-BBI</t>
  </si>
  <si>
    <t>6E5091</t>
  </si>
  <si>
    <t>07:50</t>
  </si>
  <si>
    <t>6E463</t>
  </si>
  <si>
    <t>6E5182</t>
  </si>
  <si>
    <t>20:40</t>
  </si>
  <si>
    <t>IX1283</t>
  </si>
  <si>
    <t>BOM-CJB</t>
  </si>
  <si>
    <t>6E5109</t>
  </si>
  <si>
    <t>6E240</t>
  </si>
  <si>
    <t>15:45</t>
  </si>
  <si>
    <t>AI2507</t>
  </si>
  <si>
    <t>06:20</t>
  </si>
  <si>
    <t>AI2670</t>
  </si>
  <si>
    <t>12:45</t>
  </si>
  <si>
    <t>AI2732</t>
  </si>
  <si>
    <t>BOM-COK</t>
  </si>
  <si>
    <t>6E2093</t>
  </si>
  <si>
    <t>00:25</t>
  </si>
  <si>
    <t>6E6701</t>
  </si>
  <si>
    <t>05:35</t>
  </si>
  <si>
    <t>6E673</t>
  </si>
  <si>
    <t>12:30</t>
  </si>
  <si>
    <t>6E437</t>
  </si>
  <si>
    <t>17:10</t>
  </si>
  <si>
    <t>6E5097</t>
  </si>
  <si>
    <t>AI2787</t>
  </si>
  <si>
    <t>AI2855</t>
  </si>
  <si>
    <t>09:55</t>
  </si>
  <si>
    <t>AI681</t>
  </si>
  <si>
    <t>QP1137</t>
  </si>
  <si>
    <t>IX1797</t>
  </si>
  <si>
    <t>05:05</t>
  </si>
  <si>
    <t>IX1810</t>
  </si>
  <si>
    <t>13:40</t>
  </si>
  <si>
    <t>IX1870</t>
  </si>
  <si>
    <t>15:30</t>
  </si>
  <si>
    <t>IX1801</t>
  </si>
  <si>
    <t>20:20</t>
  </si>
  <si>
    <t>BOM-GOI</t>
  </si>
  <si>
    <t>6E6361</t>
  </si>
  <si>
    <t>05:00</t>
  </si>
  <si>
    <t>11:20</t>
  </si>
  <si>
    <t>6E230</t>
  </si>
  <si>
    <t>13:55</t>
  </si>
  <si>
    <t>6E5241</t>
  </si>
  <si>
    <t>16:40</t>
  </si>
  <si>
    <t>6E5106</t>
  </si>
  <si>
    <t>22:10</t>
  </si>
  <si>
    <t>AI603</t>
  </si>
  <si>
    <t>AI2841</t>
  </si>
  <si>
    <t>AI2420</t>
  </si>
  <si>
    <t>AI2477</t>
  </si>
  <si>
    <t>AI2745</t>
  </si>
  <si>
    <t>AI2505</t>
  </si>
  <si>
    <t>AI1726</t>
  </si>
  <si>
    <t>IX1238</t>
  </si>
  <si>
    <t>12:25</t>
  </si>
  <si>
    <t>IX1242</t>
  </si>
  <si>
    <t>16:30</t>
  </si>
  <si>
    <t>BOM-IDR</t>
  </si>
  <si>
    <t>6E294</t>
  </si>
  <si>
    <t>6E5181</t>
  </si>
  <si>
    <t>6E6599</t>
  </si>
  <si>
    <t>6E5273</t>
  </si>
  <si>
    <t>18:35</t>
  </si>
  <si>
    <t>6E5164</t>
  </si>
  <si>
    <t>AI2591</t>
  </si>
  <si>
    <t>07:25</t>
  </si>
  <si>
    <t>AI1891</t>
  </si>
  <si>
    <t>08:10</t>
  </si>
  <si>
    <t>AI2749</t>
  </si>
  <si>
    <t>17:35</t>
  </si>
  <si>
    <t>BOM-IXB</t>
  </si>
  <si>
    <t>6E5305</t>
  </si>
  <si>
    <t>QP1131</t>
  </si>
  <si>
    <t>10:10</t>
  </si>
  <si>
    <t>IX1176</t>
  </si>
  <si>
    <t>11:25</t>
  </si>
  <si>
    <t>BOM-IXM</t>
  </si>
  <si>
    <t>6E5126</t>
  </si>
  <si>
    <t>18:15</t>
  </si>
  <si>
    <t>BOM-IXZ</t>
  </si>
  <si>
    <t>6E802</t>
  </si>
  <si>
    <t>BOM-JAI</t>
  </si>
  <si>
    <t>6E5281</t>
  </si>
  <si>
    <t>6E5135</t>
  </si>
  <si>
    <t>23:20</t>
  </si>
  <si>
    <t>AI2781</t>
  </si>
  <si>
    <t>10:50</t>
  </si>
  <si>
    <t>IX1219</t>
  </si>
  <si>
    <t>BOM-GAU</t>
  </si>
  <si>
    <t>6E5243</t>
  </si>
  <si>
    <t>QP1141</t>
  </si>
  <si>
    <t>6E843</t>
  </si>
  <si>
    <t>BOM-LKO</t>
  </si>
  <si>
    <t>6E643</t>
  </si>
  <si>
    <t>04:45</t>
  </si>
  <si>
    <t>6E5268</t>
  </si>
  <si>
    <t>6E6937</t>
  </si>
  <si>
    <t>6E5251</t>
  </si>
  <si>
    <t>12:10</t>
  </si>
  <si>
    <t>6E544</t>
  </si>
  <si>
    <t>6E5145</t>
  </si>
  <si>
    <t>20:45</t>
  </si>
  <si>
    <t>AI2491</t>
  </si>
  <si>
    <t>QP1129</t>
  </si>
  <si>
    <t>QP1837</t>
  </si>
  <si>
    <t>18:50</t>
  </si>
  <si>
    <t>IX1026</t>
  </si>
  <si>
    <t>05:45</t>
  </si>
  <si>
    <t>IX1384</t>
  </si>
  <si>
    <t>17:05</t>
  </si>
  <si>
    <t>BOM-NAG</t>
  </si>
  <si>
    <t>6E6058</t>
  </si>
  <si>
    <t>6E2060</t>
  </si>
  <si>
    <t>6E6802</t>
  </si>
  <si>
    <t>6E5147</t>
  </si>
  <si>
    <t>6E5328</t>
  </si>
  <si>
    <t>22:45</t>
  </si>
  <si>
    <t>BOM-PAT</t>
  </si>
  <si>
    <t>6E2024</t>
  </si>
  <si>
    <t>09:15</t>
  </si>
  <si>
    <t>6E825</t>
  </si>
  <si>
    <t>18:45</t>
  </si>
  <si>
    <t>AI2931</t>
  </si>
  <si>
    <t>04:30</t>
  </si>
  <si>
    <t>AI2789</t>
  </si>
  <si>
    <t>BOM-IXR</t>
  </si>
  <si>
    <t>6E6087</t>
  </si>
  <si>
    <t>10:45</t>
  </si>
  <si>
    <t>IX1237</t>
  </si>
  <si>
    <t>BOM-RPR</t>
  </si>
  <si>
    <t>6E2387</t>
  </si>
  <si>
    <t>07:15</t>
  </si>
  <si>
    <t>6E5345</t>
  </si>
  <si>
    <t>6E6122</t>
  </si>
  <si>
    <t>BOM-IXC</t>
  </si>
  <si>
    <t>6E6393</t>
  </si>
  <si>
    <t>6E5233</t>
  </si>
  <si>
    <t>20:15</t>
  </si>
  <si>
    <t>AI471</t>
  </si>
  <si>
    <t>AI2659</t>
  </si>
  <si>
    <t>AI2672</t>
  </si>
  <si>
    <t>BOM-UDR</t>
  </si>
  <si>
    <t>6E6794</t>
  </si>
  <si>
    <t>6E5154</t>
  </si>
  <si>
    <t>6E6027</t>
  </si>
  <si>
    <t>AI2579</t>
  </si>
  <si>
    <t>10:35</t>
  </si>
  <si>
    <t>AI2595</t>
  </si>
  <si>
    <t>BOM-SXR</t>
  </si>
  <si>
    <t>6E214</t>
  </si>
  <si>
    <t>AI2663</t>
  </si>
  <si>
    <t>BOM-IXJ</t>
  </si>
  <si>
    <t>6E5125</t>
  </si>
  <si>
    <t>BOM-TVM</t>
  </si>
  <si>
    <t>6E5087</t>
  </si>
  <si>
    <t>6E624</t>
  </si>
  <si>
    <t>15:10</t>
  </si>
  <si>
    <t>AI2605</t>
  </si>
  <si>
    <t>06:30</t>
  </si>
  <si>
    <t>AI2655</t>
  </si>
  <si>
    <t>BOM-VTZ</t>
  </si>
  <si>
    <t>BOM-IMF</t>
  </si>
  <si>
    <t>BOM-BHO</t>
  </si>
  <si>
    <t>6E6128</t>
  </si>
  <si>
    <t>6E5131</t>
  </si>
  <si>
    <t>IX1798</t>
  </si>
  <si>
    <t>IX1787</t>
  </si>
  <si>
    <t>BOM-VNS</t>
  </si>
  <si>
    <t>6E6543</t>
  </si>
  <si>
    <t>6E272</t>
  </si>
  <si>
    <t>QP1427</t>
  </si>
  <si>
    <t>13:20</t>
  </si>
  <si>
    <t>QP1429</t>
  </si>
  <si>
    <t>17:00</t>
  </si>
  <si>
    <t>IX1809</t>
  </si>
  <si>
    <t>IX1023</t>
  </si>
  <si>
    <t>BOM-IXL</t>
  </si>
  <si>
    <t>07:35</t>
  </si>
  <si>
    <t>BOM-VGA</t>
  </si>
  <si>
    <t>AI598</t>
  </si>
  <si>
    <t>15:35</t>
  </si>
  <si>
    <t>6E5123</t>
  </si>
  <si>
    <t>BOM-TRZ</t>
  </si>
  <si>
    <t>6E2016</t>
  </si>
  <si>
    <t>CCU</t>
  </si>
  <si>
    <t>CCU-BBI</t>
  </si>
  <si>
    <t>6E7623</t>
  </si>
  <si>
    <t>6E6214</t>
  </si>
  <si>
    <t>6E7583</t>
  </si>
  <si>
    <t>6E6717</t>
  </si>
  <si>
    <t>CCU-CJB</t>
  </si>
  <si>
    <t>CCU-COK</t>
  </si>
  <si>
    <t>CCU-GOI</t>
  </si>
  <si>
    <t>6E634</t>
  </si>
  <si>
    <t>CCU-GAU</t>
  </si>
  <si>
    <t>6E271</t>
  </si>
  <si>
    <t>6E7707</t>
  </si>
  <si>
    <t>6E212</t>
  </si>
  <si>
    <t>6E127</t>
  </si>
  <si>
    <t>6E6344</t>
  </si>
  <si>
    <t>6E6663</t>
  </si>
  <si>
    <t>IX1517</t>
  </si>
  <si>
    <t>IX1514</t>
  </si>
  <si>
    <t>CCU-IDR</t>
  </si>
  <si>
    <t>6E798</t>
  </si>
  <si>
    <t>CCU-IXB</t>
  </si>
  <si>
    <t>6E6785</t>
  </si>
  <si>
    <t>6E751</t>
  </si>
  <si>
    <t>6E6134</t>
  </si>
  <si>
    <t>IX1248</t>
  </si>
  <si>
    <t>07:45</t>
  </si>
  <si>
    <t>IX1256</t>
  </si>
  <si>
    <t>IX1996</t>
  </si>
  <si>
    <t>CCU-IXM</t>
  </si>
  <si>
    <t>CCU-IXZ</t>
  </si>
  <si>
    <t>6E345</t>
  </si>
  <si>
    <t>08:50</t>
  </si>
  <si>
    <t>IX2782</t>
  </si>
  <si>
    <t>QP1925</t>
  </si>
  <si>
    <t>CCU-JAI</t>
  </si>
  <si>
    <t>6E6185</t>
  </si>
  <si>
    <t>6E6851</t>
  </si>
  <si>
    <t>6E394</t>
  </si>
  <si>
    <t>16:05</t>
  </si>
  <si>
    <t>CCU-LKO</t>
  </si>
  <si>
    <t>6E6139</t>
  </si>
  <si>
    <t>6E856</t>
  </si>
  <si>
    <t>CCU-NAG</t>
  </si>
  <si>
    <t>6E862</t>
  </si>
  <si>
    <t>CCU-PAT</t>
  </si>
  <si>
    <t>6E713</t>
  </si>
  <si>
    <t>6E895</t>
  </si>
  <si>
    <t>18:05</t>
  </si>
  <si>
    <t>CCU-IXR</t>
  </si>
  <si>
    <t>6E7561</t>
  </si>
  <si>
    <t>6E7317</t>
  </si>
  <si>
    <t>14:05</t>
  </si>
  <si>
    <t>6E7325</t>
  </si>
  <si>
    <t>6E7674</t>
  </si>
  <si>
    <t>19:50</t>
  </si>
  <si>
    <t>CCU-RPR</t>
  </si>
  <si>
    <t>6E139</t>
  </si>
  <si>
    <t>09:25</t>
  </si>
  <si>
    <t>6E417</t>
  </si>
  <si>
    <t>6E7215</t>
  </si>
  <si>
    <t>CCU-IXC</t>
  </si>
  <si>
    <t>6E874</t>
  </si>
  <si>
    <t>CCU-UDR</t>
  </si>
  <si>
    <t>CCU-SXR</t>
  </si>
  <si>
    <t>CCU-IXJ</t>
  </si>
  <si>
    <t>CCU-TVM</t>
  </si>
  <si>
    <t>CCU-VTZ</t>
  </si>
  <si>
    <t>6E616</t>
  </si>
  <si>
    <t>CCU-IMF</t>
  </si>
  <si>
    <t>6E275</t>
  </si>
  <si>
    <t>CCU-BHO</t>
  </si>
  <si>
    <t>CCU-VNS</t>
  </si>
  <si>
    <t>6E822</t>
  </si>
  <si>
    <t>6E6501</t>
  </si>
  <si>
    <t>CCU-IXL</t>
  </si>
  <si>
    <t>CCU-VGA</t>
  </si>
  <si>
    <t>CCU-TRZ</t>
  </si>
  <si>
    <t>DEL-BBI</t>
  </si>
  <si>
    <t>6E6073</t>
  </si>
  <si>
    <t>6E2296</t>
  </si>
  <si>
    <t>6E6130</t>
  </si>
  <si>
    <t>6E6292</t>
  </si>
  <si>
    <t>AI1747</t>
  </si>
  <si>
    <t>AI1795</t>
  </si>
  <si>
    <t>AI2575</t>
  </si>
  <si>
    <t>AI1744</t>
  </si>
  <si>
    <t>17:50</t>
  </si>
  <si>
    <t>IX1057</t>
  </si>
  <si>
    <t>05:25</t>
  </si>
  <si>
    <t>IX1783</t>
  </si>
  <si>
    <t>IX1059</t>
  </si>
  <si>
    <t>12:15</t>
  </si>
  <si>
    <t>IX1003</t>
  </si>
  <si>
    <t>DEL-CJB</t>
  </si>
  <si>
    <t>6E6804</t>
  </si>
  <si>
    <t>05:10</t>
  </si>
  <si>
    <t>6E232</t>
  </si>
  <si>
    <t>AI1721</t>
  </si>
  <si>
    <t>AI1753</t>
  </si>
  <si>
    <t>DEL-COK</t>
  </si>
  <si>
    <t>6E5303</t>
  </si>
  <si>
    <t>6E6050</t>
  </si>
  <si>
    <t>6E754</t>
  </si>
  <si>
    <t>6E5001</t>
  </si>
  <si>
    <t>AI1715</t>
  </si>
  <si>
    <t>AI2458</t>
  </si>
  <si>
    <t>AI2473</t>
  </si>
  <si>
    <t>AI1738</t>
  </si>
  <si>
    <t>AI2883</t>
  </si>
  <si>
    <t>21:55</t>
  </si>
  <si>
    <t>IX1811</t>
  </si>
  <si>
    <t>IX1812</t>
  </si>
  <si>
    <t>IX1815</t>
  </si>
  <si>
    <t>19:05</t>
  </si>
  <si>
    <t>DEL-GOI</t>
  </si>
  <si>
    <t>6E5341</t>
  </si>
  <si>
    <t>6E2277</t>
  </si>
  <si>
    <t>6E358</t>
  </si>
  <si>
    <t>6E357</t>
  </si>
  <si>
    <t>6E2235</t>
  </si>
  <si>
    <t>AI2627</t>
  </si>
  <si>
    <t>AI1712</t>
  </si>
  <si>
    <t>13:15</t>
  </si>
  <si>
    <t>AI487</t>
  </si>
  <si>
    <t>IX1108</t>
  </si>
  <si>
    <t>IX1068</t>
  </si>
  <si>
    <t>11:55</t>
  </si>
  <si>
    <t>DEL-GAU</t>
  </si>
  <si>
    <t>6E2203</t>
  </si>
  <si>
    <t>6E5215</t>
  </si>
  <si>
    <t>6E5041</t>
  </si>
  <si>
    <t>6E6048</t>
  </si>
  <si>
    <t>20:00</t>
  </si>
  <si>
    <t>AI879</t>
  </si>
  <si>
    <t>06:40</t>
  </si>
  <si>
    <t>AI2947</t>
  </si>
  <si>
    <t>14:30</t>
  </si>
  <si>
    <t>IX1032</t>
  </si>
  <si>
    <t>IX1035</t>
  </si>
  <si>
    <t>IX1069</t>
  </si>
  <si>
    <t>11:35</t>
  </si>
  <si>
    <t>IX1085</t>
  </si>
  <si>
    <t>IX1041</t>
  </si>
  <si>
    <t>18:10</t>
  </si>
  <si>
    <t>IX1063</t>
  </si>
  <si>
    <t>DEL-IDR</t>
  </si>
  <si>
    <t>6E6490</t>
  </si>
  <si>
    <t>04:55</t>
  </si>
  <si>
    <t>6E6488</t>
  </si>
  <si>
    <t>6E6829</t>
  </si>
  <si>
    <t>6E184</t>
  </si>
  <si>
    <t>19:40</t>
  </si>
  <si>
    <t>6E2169</t>
  </si>
  <si>
    <t>AI1725</t>
  </si>
  <si>
    <t>AI2515</t>
  </si>
  <si>
    <t>AI1780</t>
  </si>
  <si>
    <t>AI1716</t>
  </si>
  <si>
    <t>AI2565</t>
  </si>
  <si>
    <t>IX1090</t>
  </si>
  <si>
    <t>IX1228</t>
  </si>
  <si>
    <t>DEL-IXB</t>
  </si>
  <si>
    <t>6E6124</t>
  </si>
  <si>
    <t>6E5307</t>
  </si>
  <si>
    <t>6E6378</t>
  </si>
  <si>
    <t>6E2403</t>
  </si>
  <si>
    <t>IX1067</t>
  </si>
  <si>
    <t>IX1001</t>
  </si>
  <si>
    <t>IX2457</t>
  </si>
  <si>
    <t>IX1081</t>
  </si>
  <si>
    <t>14:55</t>
  </si>
  <si>
    <t>IX1179</t>
  </si>
  <si>
    <t>QP1807</t>
  </si>
  <si>
    <t>DEL-IXM</t>
  </si>
  <si>
    <t>6E2364</t>
  </si>
  <si>
    <t>04:50</t>
  </si>
  <si>
    <t>DEL-IXZ</t>
  </si>
  <si>
    <t>AI2937</t>
  </si>
  <si>
    <t>DEL-JAI</t>
  </si>
  <si>
    <t>6E6190</t>
  </si>
  <si>
    <t>6E2037</t>
  </si>
  <si>
    <t>6E5033</t>
  </si>
  <si>
    <t>6E6131</t>
  </si>
  <si>
    <t>AI1767</t>
  </si>
  <si>
    <t>AI429</t>
  </si>
  <si>
    <t>10:20</t>
  </si>
  <si>
    <t>AI1719</t>
  </si>
  <si>
    <t>AI2761</t>
  </si>
  <si>
    <t>16:25</t>
  </si>
  <si>
    <t>AI442</t>
  </si>
  <si>
    <t>DEL-LKO</t>
  </si>
  <si>
    <t>6E6476</t>
  </si>
  <si>
    <t>6E2319</t>
  </si>
  <si>
    <t>6E2147</t>
  </si>
  <si>
    <t>6E5206</t>
  </si>
  <si>
    <t>6E2331</t>
  </si>
  <si>
    <t>6E2176</t>
  </si>
  <si>
    <t>16:35</t>
  </si>
  <si>
    <t>6E6440</t>
  </si>
  <si>
    <t>6E5161</t>
  </si>
  <si>
    <t>6E2151</t>
  </si>
  <si>
    <t>19:45</t>
  </si>
  <si>
    <t>6E6479</t>
  </si>
  <si>
    <t>21:25</t>
  </si>
  <si>
    <t>AI2499</t>
  </si>
  <si>
    <t>06:00</t>
  </si>
  <si>
    <t>AI2763</t>
  </si>
  <si>
    <t>AI1710</t>
  </si>
  <si>
    <t>AI1720</t>
  </si>
  <si>
    <t>IX1617</t>
  </si>
  <si>
    <t>IX1392</t>
  </si>
  <si>
    <t>23:25</t>
  </si>
  <si>
    <t>DEL-NAG</t>
  </si>
  <si>
    <t>6E6018</t>
  </si>
  <si>
    <t>6E6443</t>
  </si>
  <si>
    <t>6E6433</t>
  </si>
  <si>
    <t>6E2032</t>
  </si>
  <si>
    <t>6E6265</t>
  </si>
  <si>
    <t>6E6435</t>
  </si>
  <si>
    <t>21:10</t>
  </si>
  <si>
    <t>AI415</t>
  </si>
  <si>
    <t>AI465</t>
  </si>
  <si>
    <t>DEL-PAT</t>
  </si>
  <si>
    <t>6E6245</t>
  </si>
  <si>
    <t>6E2769</t>
  </si>
  <si>
    <t>6E2373</t>
  </si>
  <si>
    <t>6E2453</t>
  </si>
  <si>
    <t>6E6236</t>
  </si>
  <si>
    <t>6E6497</t>
  </si>
  <si>
    <t>6E2482</t>
  </si>
  <si>
    <t>AI1749</t>
  </si>
  <si>
    <t>08:00</t>
  </si>
  <si>
    <t>AI2523</t>
  </si>
  <si>
    <t>AI2645</t>
  </si>
  <si>
    <t>AI1746</t>
  </si>
  <si>
    <t>SG473</t>
  </si>
  <si>
    <t>SG2473</t>
  </si>
  <si>
    <t>IX1346</t>
  </si>
  <si>
    <t>IX1510</t>
  </si>
  <si>
    <t>IX1197</t>
  </si>
  <si>
    <t>DEL-IXR</t>
  </si>
  <si>
    <t>6E6370</t>
  </si>
  <si>
    <t>6E2259</t>
  </si>
  <si>
    <t>12:20</t>
  </si>
  <si>
    <t>6E2614</t>
  </si>
  <si>
    <t>6E5023</t>
  </si>
  <si>
    <t>IX1046</t>
  </si>
  <si>
    <t>IX2378</t>
  </si>
  <si>
    <t>IX1054</t>
  </si>
  <si>
    <t>IX1051</t>
  </si>
  <si>
    <t>DEL-RPR</t>
  </si>
  <si>
    <t>6E2345</t>
  </si>
  <si>
    <t>6E6459</t>
  </si>
  <si>
    <t>6E6312</t>
  </si>
  <si>
    <t>6E734</t>
  </si>
  <si>
    <t>6E5138</t>
  </si>
  <si>
    <t>AI1729</t>
  </si>
  <si>
    <t>AI1718</t>
  </si>
  <si>
    <t>DEL-IXC</t>
  </si>
  <si>
    <t>6E5038</t>
  </si>
  <si>
    <t>14:00</t>
  </si>
  <si>
    <t>6E6632</t>
  </si>
  <si>
    <t>AI1743</t>
  </si>
  <si>
    <t>AI2532</t>
  </si>
  <si>
    <t>AI2706</t>
  </si>
  <si>
    <t>14:10</t>
  </si>
  <si>
    <t>AI2601</t>
  </si>
  <si>
    <t>AI1742</t>
  </si>
  <si>
    <t>DEL-UDR</t>
  </si>
  <si>
    <t>6E6376</t>
  </si>
  <si>
    <t>6E2021</t>
  </si>
  <si>
    <t>6E6228</t>
  </si>
  <si>
    <t>AI1737</t>
  </si>
  <si>
    <t>AI2557</t>
  </si>
  <si>
    <t>AI1779</t>
  </si>
  <si>
    <t>DEL-SXR</t>
  </si>
  <si>
    <t>6E2044</t>
  </si>
  <si>
    <t>6E5120</t>
  </si>
  <si>
    <t>6E5339</t>
  </si>
  <si>
    <t>09:45</t>
  </si>
  <si>
    <t>6E6132</t>
  </si>
  <si>
    <t>6E2496</t>
  </si>
  <si>
    <t>6E2747</t>
  </si>
  <si>
    <t>6E2248</t>
  </si>
  <si>
    <t>AI1799</t>
  </si>
  <si>
    <t>AI2456</t>
  </si>
  <si>
    <t>AI1792</t>
  </si>
  <si>
    <t>AI1739</t>
  </si>
  <si>
    <t>SG709</t>
  </si>
  <si>
    <t>08:35</t>
  </si>
  <si>
    <t>SG253</t>
  </si>
  <si>
    <t>11:00</t>
  </si>
  <si>
    <t>SG980</t>
  </si>
  <si>
    <t>IX1012</t>
  </si>
  <si>
    <t>IX1980</t>
  </si>
  <si>
    <t>10:15</t>
  </si>
  <si>
    <t>IX1017</t>
  </si>
  <si>
    <t>DEL-IXJ</t>
  </si>
  <si>
    <t>6E6474</t>
  </si>
  <si>
    <t>6E6092</t>
  </si>
  <si>
    <t>6E6010</t>
  </si>
  <si>
    <t>6E6384</t>
  </si>
  <si>
    <t>SG2160</t>
  </si>
  <si>
    <t>IX1074</t>
  </si>
  <si>
    <t>IX1390</t>
  </si>
  <si>
    <t>16:10</t>
  </si>
  <si>
    <t>DEL-TVM</t>
  </si>
  <si>
    <t>6E772</t>
  </si>
  <si>
    <t>AI2555</t>
  </si>
  <si>
    <t>AI2747</t>
  </si>
  <si>
    <t>AI2611</t>
  </si>
  <si>
    <t>AI2563</t>
  </si>
  <si>
    <t>AI2725</t>
  </si>
  <si>
    <t>AI829</t>
  </si>
  <si>
    <t>22:55</t>
  </si>
  <si>
    <t>DEL-VTZ</t>
  </si>
  <si>
    <t>6E6425</t>
  </si>
  <si>
    <t>6E2213</t>
  </si>
  <si>
    <t>AI419</t>
  </si>
  <si>
    <t>AI1702</t>
  </si>
  <si>
    <t>DEL-IMF</t>
  </si>
  <si>
    <t>6E6211</t>
  </si>
  <si>
    <t>6E5118</t>
  </si>
  <si>
    <t>IX1461</t>
  </si>
  <si>
    <t>DEL-BHO</t>
  </si>
  <si>
    <t>AI1705</t>
  </si>
  <si>
    <t>6E6569</t>
  </si>
  <si>
    <t>6E2249</t>
  </si>
  <si>
    <t>6E6273</t>
  </si>
  <si>
    <t>IX1789</t>
  </si>
  <si>
    <t>IX1791</t>
  </si>
  <si>
    <t>15:05</t>
  </si>
  <si>
    <t>DEL-VNS</t>
  </si>
  <si>
    <t>6E6246</t>
  </si>
  <si>
    <t>6E5025</t>
  </si>
  <si>
    <t>6E2361</t>
  </si>
  <si>
    <t>6E6179</t>
  </si>
  <si>
    <t>AI2717</t>
  </si>
  <si>
    <t>AI2623</t>
  </si>
  <si>
    <t>IX2146</t>
  </si>
  <si>
    <t>IX1251</t>
  </si>
  <si>
    <t>DEL-IXL</t>
  </si>
  <si>
    <t>AI2479</t>
  </si>
  <si>
    <t>AI2463</t>
  </si>
  <si>
    <t>AI2461</t>
  </si>
  <si>
    <t>AI2454</t>
  </si>
  <si>
    <t>SG127</t>
  </si>
  <si>
    <t>SG121</t>
  </si>
  <si>
    <t>SG125</t>
  </si>
  <si>
    <t>08:45</t>
  </si>
  <si>
    <t>SG123</t>
  </si>
  <si>
    <t>6E6004</t>
  </si>
  <si>
    <t>6E2006</t>
  </si>
  <si>
    <t>6E6448</t>
  </si>
  <si>
    <t>6E6084</t>
  </si>
  <si>
    <t>6E6350</t>
  </si>
  <si>
    <t>6E6429</t>
  </si>
  <si>
    <t>DEL-VGA</t>
  </si>
  <si>
    <t>AI2571</t>
  </si>
  <si>
    <t>AI2903</t>
  </si>
  <si>
    <t>6E6446</t>
  </si>
  <si>
    <t>DEL-TRZ</t>
  </si>
  <si>
    <t>6E769</t>
  </si>
  <si>
    <t>HYD</t>
  </si>
  <si>
    <t>HYD-BBI</t>
  </si>
  <si>
    <t>6E6242</t>
  </si>
  <si>
    <t>6E6911</t>
  </si>
  <si>
    <t>11:05</t>
  </si>
  <si>
    <t>6E922</t>
  </si>
  <si>
    <t>HYD-CJB</t>
  </si>
  <si>
    <t>6E6646</t>
  </si>
  <si>
    <t>6E468</t>
  </si>
  <si>
    <t>6E6424</t>
  </si>
  <si>
    <t>6E6308</t>
  </si>
  <si>
    <t>HYD-COK</t>
  </si>
  <si>
    <t>6E752</t>
  </si>
  <si>
    <t>6E6707</t>
  </si>
  <si>
    <t>6E6099</t>
  </si>
  <si>
    <t>6E6682</t>
  </si>
  <si>
    <t>6E6234</t>
  </si>
  <si>
    <t>HYD-GOI</t>
  </si>
  <si>
    <t>6E362</t>
  </si>
  <si>
    <t>6E121</t>
  </si>
  <si>
    <t>6E6329</t>
  </si>
  <si>
    <t>6E984</t>
  </si>
  <si>
    <t>HYD-GAU</t>
  </si>
  <si>
    <t>6E972</t>
  </si>
  <si>
    <t>6E567</t>
  </si>
  <si>
    <t>HYD-IDR</t>
  </si>
  <si>
    <t>6E6915</t>
  </si>
  <si>
    <t>14:20</t>
  </si>
  <si>
    <t>6E621</t>
  </si>
  <si>
    <t>HYD-IXB</t>
  </si>
  <si>
    <t>6E6872</t>
  </si>
  <si>
    <t>IX2746</t>
  </si>
  <si>
    <t>HYD-IXM</t>
  </si>
  <si>
    <t>6E6781</t>
  </si>
  <si>
    <t>HYD-JAI</t>
  </si>
  <si>
    <t>6E815</t>
  </si>
  <si>
    <t>6E913</t>
  </si>
  <si>
    <t>6E6638</t>
  </si>
  <si>
    <t>HYD-IXZ</t>
  </si>
  <si>
    <t>HYD-LKO</t>
  </si>
  <si>
    <t>6E179</t>
  </si>
  <si>
    <t>6E6167</t>
  </si>
  <si>
    <t>HYD-NAG</t>
  </si>
  <si>
    <t>6E7452</t>
  </si>
  <si>
    <t>6E7543</t>
  </si>
  <si>
    <t>18:25</t>
  </si>
  <si>
    <t>HYD-PAT</t>
  </si>
  <si>
    <t>6E6207</t>
  </si>
  <si>
    <t>6E6719</t>
  </si>
  <si>
    <t>08:30</t>
  </si>
  <si>
    <t>6E6223</t>
  </si>
  <si>
    <t>6E2185</t>
  </si>
  <si>
    <t>HYD-IXR</t>
  </si>
  <si>
    <t>6E421</t>
  </si>
  <si>
    <t>6E186</t>
  </si>
  <si>
    <t>HYD-RPR</t>
  </si>
  <si>
    <t>6E7554</t>
  </si>
  <si>
    <t>6E6291</t>
  </si>
  <si>
    <t>6E7248</t>
  </si>
  <si>
    <t>HYD-IXC</t>
  </si>
  <si>
    <t>6E108</t>
  </si>
  <si>
    <t>6E6252</t>
  </si>
  <si>
    <t>HYD-UDR</t>
  </si>
  <si>
    <t>6E6323</t>
  </si>
  <si>
    <t>HYD-SXR</t>
  </si>
  <si>
    <t>6E6409</t>
  </si>
  <si>
    <t>HYD-IXJ</t>
  </si>
  <si>
    <t>HYD-TVM</t>
  </si>
  <si>
    <t>6E5278</t>
  </si>
  <si>
    <t>6E5381</t>
  </si>
  <si>
    <t>21:50</t>
  </si>
  <si>
    <t>HYD-VTZ</t>
  </si>
  <si>
    <t>6E6408</t>
  </si>
  <si>
    <t>6E714</t>
  </si>
  <si>
    <t>6E409</t>
  </si>
  <si>
    <t>6E504</t>
  </si>
  <si>
    <t>6E208</t>
  </si>
  <si>
    <t>17:25</t>
  </si>
  <si>
    <t>6E384</t>
  </si>
  <si>
    <t>IX2082</t>
  </si>
  <si>
    <t>IX2837</t>
  </si>
  <si>
    <t>07:00</t>
  </si>
  <si>
    <t>IX2925</t>
  </si>
  <si>
    <t>IX2819</t>
  </si>
  <si>
    <t>HYD-IMF</t>
  </si>
  <si>
    <t>HYD-BHO</t>
  </si>
  <si>
    <t>6E7121</t>
  </si>
  <si>
    <t>HYD-VNS</t>
  </si>
  <si>
    <t>6E392</t>
  </si>
  <si>
    <t>6E501</t>
  </si>
  <si>
    <t>HYD-IXL</t>
  </si>
  <si>
    <t>HYD-VGA</t>
  </si>
  <si>
    <t>6E7201</t>
  </si>
  <si>
    <t>6E7208</t>
  </si>
  <si>
    <t>6E6574</t>
  </si>
  <si>
    <t>12:05</t>
  </si>
  <si>
    <t>6E7283</t>
  </si>
  <si>
    <t>IX2743</t>
  </si>
  <si>
    <t>HYD-TRZ</t>
  </si>
  <si>
    <t>6E2073</t>
  </si>
  <si>
    <t>MAA</t>
  </si>
  <si>
    <t>MAA-BBI</t>
  </si>
  <si>
    <t>6E143</t>
  </si>
  <si>
    <t>6E288</t>
  </si>
  <si>
    <t>MAA-CJB</t>
  </si>
  <si>
    <t>6E479</t>
  </si>
  <si>
    <t>6E447</t>
  </si>
  <si>
    <t>6E881</t>
  </si>
  <si>
    <t>6E726</t>
  </si>
  <si>
    <t>6E6812</t>
  </si>
  <si>
    <t>6E731</t>
  </si>
  <si>
    <t>MAA-COK</t>
  </si>
  <si>
    <t>6E5394</t>
  </si>
  <si>
    <t>6E597</t>
  </si>
  <si>
    <t>6E927</t>
  </si>
  <si>
    <t>6E6903</t>
  </si>
  <si>
    <t>6E156</t>
  </si>
  <si>
    <t>21:40</t>
  </si>
  <si>
    <t>MAA-GOI</t>
  </si>
  <si>
    <t>6E588</t>
  </si>
  <si>
    <t>MAA-GAU</t>
  </si>
  <si>
    <t>6E6771</t>
  </si>
  <si>
    <t>6E6011</t>
  </si>
  <si>
    <t>IX1354</t>
  </si>
  <si>
    <t>MAA-IDR</t>
  </si>
  <si>
    <t>6E991</t>
  </si>
  <si>
    <t>09:30</t>
  </si>
  <si>
    <t>6E489</t>
  </si>
  <si>
    <t>MAA-IXB</t>
  </si>
  <si>
    <t>6E6518</t>
  </si>
  <si>
    <t>MAA-IXM</t>
  </si>
  <si>
    <t>6E7183</t>
  </si>
  <si>
    <t>6E7515</t>
  </si>
  <si>
    <t>6E7592</t>
  </si>
  <si>
    <t>AI2739</t>
  </si>
  <si>
    <t>MAA-IXZ</t>
  </si>
  <si>
    <t>6E845</t>
  </si>
  <si>
    <t>QP1145</t>
  </si>
  <si>
    <t>MAA-JAI</t>
  </si>
  <si>
    <t>6E6381</t>
  </si>
  <si>
    <t>MAA-LKO</t>
  </si>
  <si>
    <t>6E515</t>
  </si>
  <si>
    <t>MAA-NAG</t>
  </si>
  <si>
    <t>MAA-PAT</t>
  </si>
  <si>
    <t>6E539</t>
  </si>
  <si>
    <t>MAA-IXR</t>
  </si>
  <si>
    <t>6E6113</t>
  </si>
  <si>
    <t>MAA-RPR</t>
  </si>
  <si>
    <t>6E6797</t>
  </si>
  <si>
    <t>MAA-IXC</t>
  </si>
  <si>
    <t>6E6005</t>
  </si>
  <si>
    <t>MAA-UDR</t>
  </si>
  <si>
    <t>MAA-SXR</t>
  </si>
  <si>
    <t>MAA-IXJ</t>
  </si>
  <si>
    <t>MAA-TVM</t>
  </si>
  <si>
    <t>6E6001</t>
  </si>
  <si>
    <t>6E6149</t>
  </si>
  <si>
    <t>MAA-VTZ</t>
  </si>
  <si>
    <t>6E6181</t>
  </si>
  <si>
    <t>6E2698</t>
  </si>
  <si>
    <t>MAA-IMF</t>
  </si>
  <si>
    <t>MAA-BHO</t>
  </si>
  <si>
    <t>MAA-VNS</t>
  </si>
  <si>
    <t>6E401</t>
  </si>
  <si>
    <t>MAA-IXL</t>
  </si>
  <si>
    <t>MAA-VGA</t>
  </si>
  <si>
    <t>6E7084</t>
  </si>
  <si>
    <t>6E7291</t>
  </si>
  <si>
    <t>MAA-TRZ</t>
  </si>
  <si>
    <t>6E7298</t>
  </si>
  <si>
    <t>6E7191</t>
  </si>
  <si>
    <t>6E7028</t>
  </si>
  <si>
    <t>6E7199</t>
  </si>
  <si>
    <t>6E7238</t>
  </si>
  <si>
    <t>6E7051</t>
  </si>
  <si>
    <t>PNQ</t>
  </si>
  <si>
    <t>PNQ-BBI</t>
  </si>
  <si>
    <t>IX1098</t>
  </si>
  <si>
    <t>21:15</t>
  </si>
  <si>
    <t>PNQ-CJB</t>
  </si>
  <si>
    <t>6E6472</t>
  </si>
  <si>
    <t>04:00</t>
  </si>
  <si>
    <t>PNQ-COK</t>
  </si>
  <si>
    <t>6E6129</t>
  </si>
  <si>
    <t>03:05</t>
  </si>
  <si>
    <t>IX2739</t>
  </si>
  <si>
    <t>01:35</t>
  </si>
  <si>
    <t>PNQ-GOI</t>
  </si>
  <si>
    <t>6E367</t>
  </si>
  <si>
    <t>PNQ-GAU</t>
  </si>
  <si>
    <t>6E623</t>
  </si>
  <si>
    <t>02:50</t>
  </si>
  <si>
    <t>PNQ-IDR</t>
  </si>
  <si>
    <t>6E119</t>
  </si>
  <si>
    <t>01:10</t>
  </si>
  <si>
    <t>6E284</t>
  </si>
  <si>
    <t>6E6191</t>
  </si>
  <si>
    <t>IX1236</t>
  </si>
  <si>
    <t>PNQ-IXB</t>
  </si>
  <si>
    <t>IX1249</t>
  </si>
  <si>
    <t>PNQ-IXM</t>
  </si>
  <si>
    <t>PNQ-IXZ</t>
  </si>
  <si>
    <t>PNQ-JAI</t>
  </si>
  <si>
    <t>6E6117</t>
  </si>
  <si>
    <t>23:30</t>
  </si>
  <si>
    <t>IX2458</t>
  </si>
  <si>
    <t>PNQ-LKO</t>
  </si>
  <si>
    <t>6E338</t>
  </si>
  <si>
    <t>00:10</t>
  </si>
  <si>
    <t>IX1618</t>
  </si>
  <si>
    <t>PNQ-NAG</t>
  </si>
  <si>
    <t>6E2447</t>
  </si>
  <si>
    <t>6E2481</t>
  </si>
  <si>
    <t>6E6798</t>
  </si>
  <si>
    <t>23:55</t>
  </si>
  <si>
    <t>PNQ-PAT</t>
  </si>
  <si>
    <t>6E653</t>
  </si>
  <si>
    <t>23:40</t>
  </si>
  <si>
    <t>6E2184</t>
  </si>
  <si>
    <t>PNQ-IXR</t>
  </si>
  <si>
    <t>6E6484</t>
  </si>
  <si>
    <t>PNQ-RPR</t>
  </si>
  <si>
    <t>6E6905</t>
  </si>
  <si>
    <t>PNQ-IXC</t>
  </si>
  <si>
    <t>6E242</t>
  </si>
  <si>
    <t>03:00</t>
  </si>
  <si>
    <t>IX1686</t>
  </si>
  <si>
    <t>03:45</t>
  </si>
  <si>
    <t>PNQ-UDR</t>
  </si>
  <si>
    <t>PNQ-SXR</t>
  </si>
  <si>
    <t>PNQ-IXJ</t>
  </si>
  <si>
    <t>PNQ-TVM</t>
  </si>
  <si>
    <t>PNQ-VTZ</t>
  </si>
  <si>
    <t>PNQ-IMF</t>
  </si>
  <si>
    <t>PNQ-BHO</t>
  </si>
  <si>
    <t>6E254</t>
  </si>
  <si>
    <t>01:00</t>
  </si>
  <si>
    <t>PNQ-VNS</t>
  </si>
  <si>
    <t>6E672</t>
  </si>
  <si>
    <t>PNQ-IXL</t>
  </si>
  <si>
    <t>PNQ-VGA</t>
  </si>
  <si>
    <t>PNQ-TRZ</t>
  </si>
  <si>
    <t>BLR-GAU</t>
  </si>
  <si>
    <t>6E457</t>
  </si>
  <si>
    <t>05:15</t>
  </si>
  <si>
    <t>6E6774</t>
  </si>
  <si>
    <t>IX2881</t>
  </si>
  <si>
    <t>IX2931</t>
  </si>
  <si>
    <t>IX2945</t>
  </si>
  <si>
    <t>QP1372</t>
  </si>
  <si>
    <t>QP1323</t>
  </si>
  <si>
    <t>AMD-BOM</t>
  </si>
  <si>
    <t>6E6205</t>
  </si>
  <si>
    <t>01:15</t>
  </si>
  <si>
    <t>6E6285</t>
  </si>
  <si>
    <t>6E5146</t>
  </si>
  <si>
    <t>6E6468</t>
  </si>
  <si>
    <t>6E5078</t>
  </si>
  <si>
    <t>6E5139</t>
  </si>
  <si>
    <t>6E5160</t>
  </si>
  <si>
    <t>19:35</t>
  </si>
  <si>
    <t>6E868</t>
  </si>
  <si>
    <t>6E6351</t>
  </si>
  <si>
    <t>23:15</t>
  </si>
  <si>
    <t>AI2918</t>
  </si>
  <si>
    <t>AI2848</t>
  </si>
  <si>
    <t>AI2494</t>
  </si>
  <si>
    <t>QP1194</t>
  </si>
  <si>
    <t>QP1102</t>
  </si>
  <si>
    <t>QP1104</t>
  </si>
  <si>
    <t>22:40</t>
  </si>
  <si>
    <t>IX2387</t>
  </si>
  <si>
    <t>AMD-BLR</t>
  </si>
  <si>
    <t>6E823</t>
  </si>
  <si>
    <t>6E863</t>
  </si>
  <si>
    <t>6E481</t>
  </si>
  <si>
    <t>6E996</t>
  </si>
  <si>
    <t>QP1901</t>
  </si>
  <si>
    <t>IX1508</t>
  </si>
  <si>
    <t>AMD-DEL</t>
  </si>
  <si>
    <t>6E5385</t>
  </si>
  <si>
    <t>00:05</t>
  </si>
  <si>
    <t>6E2209</t>
  </si>
  <si>
    <t>6E983</t>
  </si>
  <si>
    <t>6E2179</t>
  </si>
  <si>
    <t>6E2340</t>
  </si>
  <si>
    <t>6E396</t>
  </si>
  <si>
    <t>0</t>
  </si>
  <si>
    <t>6E5072</t>
  </si>
  <si>
    <t>6E980</t>
  </si>
  <si>
    <t>6E2263</t>
  </si>
  <si>
    <t>6E932</t>
  </si>
  <si>
    <t>AI2906</t>
  </si>
  <si>
    <t>06:25</t>
  </si>
  <si>
    <t>AI818</t>
  </si>
  <si>
    <t>AI2946</t>
  </si>
  <si>
    <t>AI424</t>
  </si>
  <si>
    <t>AI2716</t>
  </si>
  <si>
    <t>AI882</t>
  </si>
  <si>
    <t>AI2482</t>
  </si>
  <si>
    <t>AI2938</t>
  </si>
  <si>
    <t>AI810</t>
  </si>
  <si>
    <t>AI532</t>
  </si>
  <si>
    <t>21:30</t>
  </si>
  <si>
    <t>AI2546</t>
  </si>
  <si>
    <t>AMD-CCU</t>
  </si>
  <si>
    <t>6E6556</t>
  </si>
  <si>
    <t>6E319</t>
  </si>
  <si>
    <t>22:00</t>
  </si>
  <si>
    <t>AMD-HYD</t>
  </si>
  <si>
    <t>6E5208</t>
  </si>
  <si>
    <t>6E6098</t>
  </si>
  <si>
    <t>6E6728</t>
  </si>
  <si>
    <t>20:55</t>
  </si>
  <si>
    <t>AMD-PNQ</t>
  </si>
  <si>
    <t>6E699</t>
  </si>
  <si>
    <t>02:40</t>
  </si>
  <si>
    <t>6E2154</t>
  </si>
  <si>
    <t>6E522</t>
  </si>
  <si>
    <t>6E794</t>
  </si>
  <si>
    <t>QP1911</t>
  </si>
  <si>
    <t>QP1917</t>
  </si>
  <si>
    <t>AMD-MAA</t>
  </si>
  <si>
    <t>6E6539</t>
  </si>
  <si>
    <t>6E348</t>
  </si>
  <si>
    <t>QP1319</t>
  </si>
  <si>
    <t>BOM-AMD</t>
  </si>
  <si>
    <t>6E911</t>
  </si>
  <si>
    <t>01:30</t>
  </si>
  <si>
    <t>6E632</t>
  </si>
  <si>
    <t>6E5144</t>
  </si>
  <si>
    <t>6E2347</t>
  </si>
  <si>
    <t>6E5201</t>
  </si>
  <si>
    <t>6E2237</t>
  </si>
  <si>
    <t>6E5107</t>
  </si>
  <si>
    <t>6E5283</t>
  </si>
  <si>
    <t>6E5152</t>
  </si>
  <si>
    <t>23:10</t>
  </si>
  <si>
    <t>AI2847</t>
  </si>
  <si>
    <t>AI2493</t>
  </si>
  <si>
    <t>AI2919</t>
  </si>
  <si>
    <t>21:35</t>
  </si>
  <si>
    <t>AI2823</t>
  </si>
  <si>
    <t>QP1195</t>
  </si>
  <si>
    <t>BOM-BLR</t>
  </si>
  <si>
    <t>6E5323</t>
  </si>
  <si>
    <t>6E6284</t>
  </si>
  <si>
    <t>02:45</t>
  </si>
  <si>
    <t>6E5294</t>
  </si>
  <si>
    <t>6E5296</t>
  </si>
  <si>
    <t>6E5193</t>
  </si>
  <si>
    <t>6E5092</t>
  </si>
  <si>
    <t>6E5217</t>
  </si>
  <si>
    <t>6E5184</t>
  </si>
  <si>
    <t>6E5382</t>
  </si>
  <si>
    <t>6E5071</t>
  </si>
  <si>
    <t>6E5221</t>
  </si>
  <si>
    <t>6E5047</t>
  </si>
  <si>
    <t>6E5032</t>
  </si>
  <si>
    <t>6E6188</t>
  </si>
  <si>
    <t>6E5388</t>
  </si>
  <si>
    <t>22:20</t>
  </si>
  <si>
    <t>AI2812</t>
  </si>
  <si>
    <t>02:05</t>
  </si>
  <si>
    <t>AI2410</t>
  </si>
  <si>
    <t>AI2845</t>
  </si>
  <si>
    <t>AI2603</t>
  </si>
  <si>
    <t>AI2851</t>
  </si>
  <si>
    <t>AI2863</t>
  </si>
  <si>
    <t>AI2632</t>
  </si>
  <si>
    <t>AI2853</t>
  </si>
  <si>
    <t>AI2849</t>
  </si>
  <si>
    <t>AI2641</t>
  </si>
  <si>
    <t>AI2865</t>
  </si>
  <si>
    <t>AI2401</t>
  </si>
  <si>
    <t>AI2497</t>
  </si>
  <si>
    <t>AI2857</t>
  </si>
  <si>
    <t>AI3305</t>
  </si>
  <si>
    <t>SG555</t>
  </si>
  <si>
    <t>SG476</t>
  </si>
  <si>
    <t>QP1516</t>
  </si>
  <si>
    <t>00:40</t>
  </si>
  <si>
    <t>QP1149</t>
  </si>
  <si>
    <t>QP1527</t>
  </si>
  <si>
    <t>QP1382</t>
  </si>
  <si>
    <t>QP1133</t>
  </si>
  <si>
    <t>QP1518</t>
  </si>
  <si>
    <t>QP1384</t>
  </si>
  <si>
    <t>QP1985</t>
  </si>
  <si>
    <t>BOM-CCU</t>
  </si>
  <si>
    <t>6E6367</t>
  </si>
  <si>
    <t>6E5329</t>
  </si>
  <si>
    <t>6E5165</t>
  </si>
  <si>
    <t>6E5239</t>
  </si>
  <si>
    <t>6E5354</t>
  </si>
  <si>
    <t>6E5086</t>
  </si>
  <si>
    <t>6E6287</t>
  </si>
  <si>
    <t>AI2771</t>
  </si>
  <si>
    <t>AI2773</t>
  </si>
  <si>
    <t>AI2411</t>
  </si>
  <si>
    <t>QP1135</t>
  </si>
  <si>
    <t>00:35</t>
  </si>
  <si>
    <t>QP1125</t>
  </si>
  <si>
    <t>QP1107</t>
  </si>
  <si>
    <t>BOM-DEL</t>
  </si>
  <si>
    <t>6E656</t>
  </si>
  <si>
    <t>6E762</t>
  </si>
  <si>
    <t>6E301</t>
  </si>
  <si>
    <t>6E333</t>
  </si>
  <si>
    <t>6E355</t>
  </si>
  <si>
    <t>6E6052</t>
  </si>
  <si>
    <t>6E310</t>
  </si>
  <si>
    <t>6E6827</t>
  </si>
  <si>
    <t>6E6028</t>
  </si>
  <si>
    <t>6E615</t>
  </si>
  <si>
    <t>13:00</t>
  </si>
  <si>
    <t>6E6704</t>
  </si>
  <si>
    <t>13:50</t>
  </si>
  <si>
    <t>6E349</t>
  </si>
  <si>
    <t>6E313</t>
  </si>
  <si>
    <t>6E6082</t>
  </si>
  <si>
    <t>6E315</t>
  </si>
  <si>
    <t>6E6613</t>
  </si>
  <si>
    <t>6E317</t>
  </si>
  <si>
    <t>6E6049</t>
  </si>
  <si>
    <t>6E330</t>
  </si>
  <si>
    <t>6E102</t>
  </si>
  <si>
    <t>6E651</t>
  </si>
  <si>
    <t>22:15</t>
  </si>
  <si>
    <t>6E350</t>
  </si>
  <si>
    <t>23:45</t>
  </si>
  <si>
    <t>AI2422</t>
  </si>
  <si>
    <t>AI2452</t>
  </si>
  <si>
    <t>AI2928</t>
  </si>
  <si>
    <t>AI2424</t>
  </si>
  <si>
    <t>AI2930</t>
  </si>
  <si>
    <t>AI2428</t>
  </si>
  <si>
    <t>AI2970</t>
  </si>
  <si>
    <t>AI1890</t>
  </si>
  <si>
    <t>AI2432</t>
  </si>
  <si>
    <t>AI2430</t>
  </si>
  <si>
    <t>AI2738</t>
  </si>
  <si>
    <t>AI2952</t>
  </si>
  <si>
    <t>AI2687</t>
  </si>
  <si>
    <t>AI2419</t>
  </si>
  <si>
    <t>AI2677</t>
  </si>
  <si>
    <t>AI2965</t>
  </si>
  <si>
    <t>AI2960</t>
  </si>
  <si>
    <t>AI2944</t>
  </si>
  <si>
    <t>AI2442</t>
  </si>
  <si>
    <t>AI1851</t>
  </si>
  <si>
    <t>AI2910</t>
  </si>
  <si>
    <t>AI2440</t>
  </si>
  <si>
    <t>AI2996</t>
  </si>
  <si>
    <t>AI2426</t>
  </si>
  <si>
    <t>AI2408</t>
  </si>
  <si>
    <t>AI2940</t>
  </si>
  <si>
    <t>AI2988</t>
  </si>
  <si>
    <t>AI816</t>
  </si>
  <si>
    <t>AI2748</t>
  </si>
  <si>
    <t>AI1895</t>
  </si>
  <si>
    <t>AI2986</t>
  </si>
  <si>
    <t>22:35</t>
  </si>
  <si>
    <t>AI2614</t>
  </si>
  <si>
    <t>AI1882</t>
  </si>
  <si>
    <t>SG803</t>
  </si>
  <si>
    <t>01:50</t>
  </si>
  <si>
    <t>SG252</t>
  </si>
  <si>
    <t>SG816</t>
  </si>
  <si>
    <t>SG809</t>
  </si>
  <si>
    <t>SG9090</t>
  </si>
  <si>
    <t>SG511</t>
  </si>
  <si>
    <t>22:30</t>
  </si>
  <si>
    <t>SG164</t>
  </si>
  <si>
    <t>SG801</t>
  </si>
  <si>
    <t>QP1111</t>
  </si>
  <si>
    <t>QP1109</t>
  </si>
  <si>
    <t>QP1834</t>
  </si>
  <si>
    <t>QP1835</t>
  </si>
  <si>
    <t>QP1127</t>
  </si>
  <si>
    <t>QP1819</t>
  </si>
  <si>
    <t>QP1825</t>
  </si>
  <si>
    <t>QP1808</t>
  </si>
  <si>
    <t>QP1120</t>
  </si>
  <si>
    <t>IX2952</t>
  </si>
  <si>
    <t>IX1050</t>
  </si>
  <si>
    <t>IX1671</t>
  </si>
  <si>
    <t>BOM-HYD</t>
  </si>
  <si>
    <t>6E6187</t>
  </si>
  <si>
    <t>00:30</t>
  </si>
  <si>
    <t>6E6362</t>
  </si>
  <si>
    <t>6E5246</t>
  </si>
  <si>
    <t>6E5318</t>
  </si>
  <si>
    <t>6E5178</t>
  </si>
  <si>
    <t>6E5386</t>
  </si>
  <si>
    <t>6E5228</t>
  </si>
  <si>
    <t>6E5326</t>
  </si>
  <si>
    <t>6E5056</t>
  </si>
  <si>
    <t>6E6195</t>
  </si>
  <si>
    <t>AI2625</t>
  </si>
  <si>
    <t>AI417</t>
  </si>
  <si>
    <t>08:55</t>
  </si>
  <si>
    <t>AI2444</t>
  </si>
  <si>
    <t>AI2531</t>
  </si>
  <si>
    <t>AI2619</t>
  </si>
  <si>
    <t>AI2875</t>
  </si>
  <si>
    <t>AI2450</t>
  </si>
  <si>
    <t>AI2869</t>
  </si>
  <si>
    <t>BOM-MAA</t>
  </si>
  <si>
    <t>6E136</t>
  </si>
  <si>
    <t>04:05</t>
  </si>
  <si>
    <t>6E5188</t>
  </si>
  <si>
    <t>6E5204</t>
  </si>
  <si>
    <t>6E5313</t>
  </si>
  <si>
    <t>6E6349</t>
  </si>
  <si>
    <t>6E5337</t>
  </si>
  <si>
    <t>6E5196</t>
  </si>
  <si>
    <t>6E5048</t>
  </si>
  <si>
    <t>6E5105</t>
  </si>
  <si>
    <t>6E5291</t>
  </si>
  <si>
    <t>6E6137</t>
  </si>
  <si>
    <t>AI2718</t>
  </si>
  <si>
    <t>AI2821</t>
  </si>
  <si>
    <t>AI2780</t>
  </si>
  <si>
    <t>AI435</t>
  </si>
  <si>
    <t>AI2827</t>
  </si>
  <si>
    <t>AI639</t>
  </si>
  <si>
    <t>BLR-AMD</t>
  </si>
  <si>
    <t>6E586</t>
  </si>
  <si>
    <t>6E6595</t>
  </si>
  <si>
    <t>6E239</t>
  </si>
  <si>
    <t>6E6423</t>
  </si>
  <si>
    <t>QP1906</t>
  </si>
  <si>
    <t>IX2001</t>
  </si>
  <si>
    <t>BLR-BOM</t>
  </si>
  <si>
    <t>6E5293</t>
  </si>
  <si>
    <t>6E5205</t>
  </si>
  <si>
    <t>6E5089</t>
  </si>
  <si>
    <t>6E5216</t>
  </si>
  <si>
    <t>6E5051</t>
  </si>
  <si>
    <t>6E5237</t>
  </si>
  <si>
    <t>6E5069</t>
  </si>
  <si>
    <t>6E5218</t>
  </si>
  <si>
    <t>6E5351</t>
  </si>
  <si>
    <t>6E5031</t>
  </si>
  <si>
    <t>6E5255</t>
  </si>
  <si>
    <t>6E6283</t>
  </si>
  <si>
    <t>6E5376</t>
  </si>
  <si>
    <t>6E5094</t>
  </si>
  <si>
    <t>6E6189</t>
  </si>
  <si>
    <t>AI2498</t>
  </si>
  <si>
    <t>00:45</t>
  </si>
  <si>
    <t>AI2402</t>
  </si>
  <si>
    <t>AI2846</t>
  </si>
  <si>
    <t>AI2604</t>
  </si>
  <si>
    <t>AI2852</t>
  </si>
  <si>
    <t>AI2854</t>
  </si>
  <si>
    <t>AI2610</t>
  </si>
  <si>
    <t>AI2850</t>
  </si>
  <si>
    <t>AI2642</t>
  </si>
  <si>
    <t>AI2811</t>
  </si>
  <si>
    <t>SG369</t>
  </si>
  <si>
    <t>SG115</t>
  </si>
  <si>
    <t>QP1381</t>
  </si>
  <si>
    <t>QP1383</t>
  </si>
  <si>
    <t>QP1515</t>
  </si>
  <si>
    <t>QP1517</t>
  </si>
  <si>
    <t>QP1528</t>
  </si>
  <si>
    <t>QP1130</t>
  </si>
  <si>
    <t>QP1132</t>
  </si>
  <si>
    <t>15:20</t>
  </si>
  <si>
    <t>QP1986</t>
  </si>
  <si>
    <t>QP1134</t>
  </si>
  <si>
    <t>BLR-CCU</t>
  </si>
  <si>
    <t>6E6439</t>
  </si>
  <si>
    <t>6E442</t>
  </si>
  <si>
    <t>6E177</t>
  </si>
  <si>
    <t>6E172</t>
  </si>
  <si>
    <t>6E6572</t>
  </si>
  <si>
    <t>6E223</t>
  </si>
  <si>
    <t>6E676</t>
  </si>
  <si>
    <t>6E975</t>
  </si>
  <si>
    <t>6E952</t>
  </si>
  <si>
    <t>QP1561</t>
  </si>
  <si>
    <t>IX1131</t>
  </si>
  <si>
    <t>IX1537</t>
  </si>
  <si>
    <t>IX1871</t>
  </si>
  <si>
    <t>BLR-DEL</t>
  </si>
  <si>
    <t>6E804</t>
  </si>
  <si>
    <t>6E836</t>
  </si>
  <si>
    <t>6E844</t>
  </si>
  <si>
    <t>6E849</t>
  </si>
  <si>
    <t>6E830</t>
  </si>
  <si>
    <t>6E175</t>
  </si>
  <si>
    <t>6E809</t>
  </si>
  <si>
    <t>6E869</t>
  </si>
  <si>
    <t>6E840</t>
  </si>
  <si>
    <t>6E860</t>
  </si>
  <si>
    <t>6E6039</t>
  </si>
  <si>
    <t>6E6034</t>
  </si>
  <si>
    <t>6E870</t>
  </si>
  <si>
    <t>6E817</t>
  </si>
  <si>
    <t>6E6406</t>
  </si>
  <si>
    <t>6E2313</t>
  </si>
  <si>
    <t>AI2758</t>
  </si>
  <si>
    <t>00:15</t>
  </si>
  <si>
    <t>AI2756</t>
  </si>
  <si>
    <t>02:15</t>
  </si>
  <si>
    <t>AI2414</t>
  </si>
  <si>
    <t>AI2810</t>
  </si>
  <si>
    <t>AI2654</t>
  </si>
  <si>
    <t>AI2868</t>
  </si>
  <si>
    <t>AI2406</t>
  </si>
  <si>
    <t>AI1868</t>
  </si>
  <si>
    <t>AI2796</t>
  </si>
  <si>
    <t>AI2486</t>
  </si>
  <si>
    <t>AI428</t>
  </si>
  <si>
    <t>AI2511</t>
  </si>
  <si>
    <t>AI2418</t>
  </si>
  <si>
    <t>AI2802</t>
  </si>
  <si>
    <t>AI2818</t>
  </si>
  <si>
    <t>AI2798</t>
  </si>
  <si>
    <t>AI1869</t>
  </si>
  <si>
    <t>AI2421</t>
  </si>
  <si>
    <t>AI2488</t>
  </si>
  <si>
    <t>AI2501</t>
  </si>
  <si>
    <t>QP1811</t>
  </si>
  <si>
    <t>04:15</t>
  </si>
  <si>
    <t>QP1359</t>
  </si>
  <si>
    <t>QP1823</t>
  </si>
  <si>
    <t>QP1821</t>
  </si>
  <si>
    <t>QP1307</t>
  </si>
  <si>
    <t>QP1336</t>
  </si>
  <si>
    <t>IX1481</t>
  </si>
  <si>
    <t>IX2410</t>
  </si>
  <si>
    <t>BLR-HYD</t>
  </si>
  <si>
    <t>6E6178</t>
  </si>
  <si>
    <t>6E484</t>
  </si>
  <si>
    <t>6E312</t>
  </si>
  <si>
    <t>6E537</t>
  </si>
  <si>
    <t>6E6404</t>
  </si>
  <si>
    <t>6E407</t>
  </si>
  <si>
    <t>14:50</t>
  </si>
  <si>
    <t>6E6067</t>
  </si>
  <si>
    <t>6E638</t>
  </si>
  <si>
    <t>6E855</t>
  </si>
  <si>
    <t>6E6784</t>
  </si>
  <si>
    <t>IX2018</t>
  </si>
  <si>
    <t>IX2935</t>
  </si>
  <si>
    <t>IX2051</t>
  </si>
  <si>
    <t>IX2506</t>
  </si>
  <si>
    <t>IX1250</t>
  </si>
  <si>
    <t>BLR-MAA</t>
  </si>
  <si>
    <t>6E6269</t>
  </si>
  <si>
    <t>6E904</t>
  </si>
  <si>
    <t>6E6208</t>
  </si>
  <si>
    <t>12:50</t>
  </si>
  <si>
    <t>6E182</t>
  </si>
  <si>
    <t>6E356</t>
  </si>
  <si>
    <t>6E6017</t>
  </si>
  <si>
    <t>6E6012</t>
  </si>
  <si>
    <t>6E6077</t>
  </si>
  <si>
    <t>6E6562</t>
  </si>
  <si>
    <t>IX1472</t>
  </si>
  <si>
    <t>IX2025</t>
  </si>
  <si>
    <t>IX2505</t>
  </si>
  <si>
    <t>IX1168</t>
  </si>
  <si>
    <t>IX2787</t>
  </si>
  <si>
    <t>BLR-PNQ</t>
  </si>
  <si>
    <t>6E6563</t>
  </si>
  <si>
    <t>01:05</t>
  </si>
  <si>
    <t>6E6876</t>
  </si>
  <si>
    <t>6E408</t>
  </si>
  <si>
    <t>6E414</t>
  </si>
  <si>
    <t>6E173</t>
  </si>
  <si>
    <t>6E576</t>
  </si>
  <si>
    <t>6E105</t>
  </si>
  <si>
    <t>6e+105</t>
  </si>
  <si>
    <t>6E441</t>
  </si>
  <si>
    <t>6E528</t>
  </si>
  <si>
    <t>6E116</t>
  </si>
  <si>
    <t>23:05</t>
  </si>
  <si>
    <t>QP1311</t>
  </si>
  <si>
    <t>QP1565</t>
  </si>
  <si>
    <t>QP1313</t>
  </si>
  <si>
    <t>QP1325</t>
  </si>
  <si>
    <t>QP1315</t>
  </si>
  <si>
    <t>QP1317</t>
  </si>
  <si>
    <t>IX2873</t>
  </si>
  <si>
    <t>IX1971</t>
  </si>
  <si>
    <t>IX2913</t>
  </si>
  <si>
    <t>IX2680</t>
  </si>
  <si>
    <t>CCU-AMD</t>
  </si>
  <si>
    <t>6E245</t>
  </si>
  <si>
    <t>6E318</t>
  </si>
  <si>
    <t>6E292</t>
  </si>
  <si>
    <t>CCU-BLR</t>
  </si>
  <si>
    <t>6E771</t>
  </si>
  <si>
    <t>6E496</t>
  </si>
  <si>
    <t>6E386</t>
  </si>
  <si>
    <t>6E235</t>
  </si>
  <si>
    <t>6E455</t>
  </si>
  <si>
    <t>13:25</t>
  </si>
  <si>
    <t>6E757</t>
  </si>
  <si>
    <t>6E6251</t>
  </si>
  <si>
    <t>6E6314</t>
  </si>
  <si>
    <t>6E573</t>
  </si>
  <si>
    <t>QP1564</t>
  </si>
  <si>
    <t>IX1496</t>
  </si>
  <si>
    <t>IX1382</t>
  </si>
  <si>
    <t>CCU-DEL</t>
  </si>
  <si>
    <t>6E474</t>
  </si>
  <si>
    <t>6E891</t>
  </si>
  <si>
    <t>6E896</t>
  </si>
  <si>
    <t>6E899</t>
  </si>
  <si>
    <t>6E6358</t>
  </si>
  <si>
    <t>6E2275</t>
  </si>
  <si>
    <t>6E2285</t>
  </si>
  <si>
    <t>6E6516</t>
  </si>
  <si>
    <t>6E6183</t>
  </si>
  <si>
    <t>6E493</t>
  </si>
  <si>
    <t>6E917</t>
  </si>
  <si>
    <t>6E5190</t>
  </si>
  <si>
    <t>AI2720</t>
  </si>
  <si>
    <t>AI2778</t>
  </si>
  <si>
    <t>AI2536</t>
  </si>
  <si>
    <t>AI2704</t>
  </si>
  <si>
    <t>AI1874</t>
  </si>
  <si>
    <t>AI1807</t>
  </si>
  <si>
    <t>AI1805</t>
  </si>
  <si>
    <t>AI4174</t>
  </si>
  <si>
    <t>AI1863</t>
  </si>
  <si>
    <t>AI2708</t>
  </si>
  <si>
    <t>AI2710</t>
  </si>
  <si>
    <t>SG906</t>
  </si>
  <si>
    <t>QP1802</t>
  </si>
  <si>
    <t>QP1804</t>
  </si>
  <si>
    <t>CCU-HYD</t>
  </si>
  <si>
    <t>6E6623</t>
  </si>
  <si>
    <t>6E6513</t>
  </si>
  <si>
    <t>6E334</t>
  </si>
  <si>
    <t>6E6908</t>
  </si>
  <si>
    <t>6E6528</t>
  </si>
  <si>
    <t>6E6154</t>
  </si>
  <si>
    <t>CCU-PNQ</t>
  </si>
  <si>
    <t>6E6037</t>
  </si>
  <si>
    <t>02:20</t>
  </si>
  <si>
    <t>6E135</t>
  </si>
  <si>
    <t>6e+135</t>
  </si>
  <si>
    <t>6E476</t>
  </si>
  <si>
    <t>QP1562</t>
  </si>
  <si>
    <t>CCU-MAA</t>
  </si>
  <si>
    <t>6E344</t>
  </si>
  <si>
    <t>6E563</t>
  </si>
  <si>
    <t>6E892</t>
  </si>
  <si>
    <t>6E234</t>
  </si>
  <si>
    <t>6E723</t>
  </si>
  <si>
    <t>IX1254</t>
  </si>
  <si>
    <t>IX1259</t>
  </si>
  <si>
    <t>CCU-BOM</t>
  </si>
  <si>
    <t>6E5194</t>
  </si>
  <si>
    <t>6E5183</t>
  </si>
  <si>
    <t>6E5288</t>
  </si>
  <si>
    <t>6E5227</t>
  </si>
  <si>
    <t>6E6206</t>
  </si>
  <si>
    <t>6E5128</t>
  </si>
  <si>
    <t>6E115</t>
  </si>
  <si>
    <t>AI2792</t>
  </si>
  <si>
    <t>AI2644</t>
  </si>
  <si>
    <t>AI2772</t>
  </si>
  <si>
    <t>AI2472</t>
  </si>
  <si>
    <t>AI2774</t>
  </si>
  <si>
    <t>QP1136</t>
  </si>
  <si>
    <t>QP1108</t>
  </si>
  <si>
    <t>QP1126</t>
  </si>
  <si>
    <t>DEL-AMD</t>
  </si>
  <si>
    <t>6E6261</t>
  </si>
  <si>
    <t>6E5119</t>
  </si>
  <si>
    <t>6E2076</t>
  </si>
  <si>
    <t>6E907</t>
  </si>
  <si>
    <t>6E5137</t>
  </si>
  <si>
    <t>6E2341</t>
  </si>
  <si>
    <t>6E5073</t>
  </si>
  <si>
    <t>6E931</t>
  </si>
  <si>
    <t>6E2013</t>
  </si>
  <si>
    <t>AI817</t>
  </si>
  <si>
    <t>AI423</t>
  </si>
  <si>
    <t>AI2715</t>
  </si>
  <si>
    <t>AI881</t>
  </si>
  <si>
    <t>AI2481</t>
  </si>
  <si>
    <t>AI2939</t>
  </si>
  <si>
    <t>AI531</t>
  </si>
  <si>
    <t>AI2909</t>
  </si>
  <si>
    <t>DEL-BOM</t>
  </si>
  <si>
    <t>6E449</t>
  </si>
  <si>
    <t>6E6218</t>
  </si>
  <si>
    <t>6E6814</t>
  </si>
  <si>
    <t>6E320</t>
  </si>
  <si>
    <t>6E675</t>
  </si>
  <si>
    <t>6E6107</t>
  </si>
  <si>
    <t>6E6328</t>
  </si>
  <si>
    <t>6E6047</t>
  </si>
  <si>
    <t>6E6676</t>
  </si>
  <si>
    <t>6E324</t>
  </si>
  <si>
    <t>6E6022</t>
  </si>
  <si>
    <t>6E6318</t>
  </si>
  <si>
    <t>6E864</t>
  </si>
  <si>
    <t>6E327</t>
  </si>
  <si>
    <t>6E6706</t>
  </si>
  <si>
    <t>6E329</t>
  </si>
  <si>
    <t>6E354</t>
  </si>
  <si>
    <t>6E303</t>
  </si>
  <si>
    <t>6E853</t>
  </si>
  <si>
    <t>6E395</t>
  </si>
  <si>
    <t>6E6114</t>
  </si>
  <si>
    <t>6E322</t>
  </si>
  <si>
    <t>AI2615</t>
  </si>
  <si>
    <t>AI1745</t>
  </si>
  <si>
    <t>AI2975</t>
  </si>
  <si>
    <t>AI2429</t>
  </si>
  <si>
    <t>AI2943</t>
  </si>
  <si>
    <t>AI2737</t>
  </si>
  <si>
    <t>AI2678</t>
  </si>
  <si>
    <t>AI2964</t>
  </si>
  <si>
    <t>AI2963</t>
  </si>
  <si>
    <t>AI2927</t>
  </si>
  <si>
    <t>AI2425</t>
  </si>
  <si>
    <t>AI2945</t>
  </si>
  <si>
    <t>AI1785</t>
  </si>
  <si>
    <t>AI2951</t>
  </si>
  <si>
    <t>AI2933</t>
  </si>
  <si>
    <t>AI1777</t>
  </si>
  <si>
    <t>AI2941</t>
  </si>
  <si>
    <t>AI441</t>
  </si>
  <si>
    <t>AI2751</t>
  </si>
  <si>
    <t>AI2955</t>
  </si>
  <si>
    <t>AI2441</t>
  </si>
  <si>
    <t>AI2977</t>
  </si>
  <si>
    <t>AI2985</t>
  </si>
  <si>
    <t>AI2805</t>
  </si>
  <si>
    <t>AI2957</t>
  </si>
  <si>
    <t>AI2981</t>
  </si>
  <si>
    <t>AI2433</t>
  </si>
  <si>
    <t>AI2999</t>
  </si>
  <si>
    <t>AI2437</t>
  </si>
  <si>
    <t>AI2439</t>
  </si>
  <si>
    <t>SG815</t>
  </si>
  <si>
    <t>SG808</t>
  </si>
  <si>
    <t>SG162</t>
  </si>
  <si>
    <t>SG800</t>
  </si>
  <si>
    <t>SG802</t>
  </si>
  <si>
    <t>QP1833</t>
  </si>
  <si>
    <t>QP1119</t>
  </si>
  <si>
    <t>QP1112</t>
  </si>
  <si>
    <t>QP1110</t>
  </si>
  <si>
    <t>QP1836</t>
  </si>
  <si>
    <t>QP1128</t>
  </si>
  <si>
    <t>QP1820</t>
  </si>
  <si>
    <t>QP1826</t>
  </si>
  <si>
    <t>IX1605</t>
  </si>
  <si>
    <t>IX1056</t>
  </si>
  <si>
    <t>DEL-BLR</t>
  </si>
  <si>
    <t>6E820</t>
  </si>
  <si>
    <t>6E2314</t>
  </si>
  <si>
    <t>6E810</t>
  </si>
  <si>
    <t>6E873</t>
  </si>
  <si>
    <t>6E826</t>
  </si>
  <si>
    <t>6E842</t>
  </si>
  <si>
    <t>6E850</t>
  </si>
  <si>
    <t>6E176</t>
  </si>
  <si>
    <t>6E828</t>
  </si>
  <si>
    <t>6E880</t>
  </si>
  <si>
    <t>6E837</t>
  </si>
  <si>
    <t>6E811</t>
  </si>
  <si>
    <t>6E861</t>
  </si>
  <si>
    <t>6E6515</t>
  </si>
  <si>
    <t>6E846</t>
  </si>
  <si>
    <t>6E871</t>
  </si>
  <si>
    <t>AI2757</t>
  </si>
  <si>
    <t>AI2502</t>
  </si>
  <si>
    <t>03:15</t>
  </si>
  <si>
    <t>AI2653</t>
  </si>
  <si>
    <t>AI2803</t>
  </si>
  <si>
    <t>AI2795</t>
  </si>
  <si>
    <t>AI427</t>
  </si>
  <si>
    <t>AI1769</t>
  </si>
  <si>
    <t>AI2415</t>
  </si>
  <si>
    <t>AI2485</t>
  </si>
  <si>
    <t>AI2417</t>
  </si>
  <si>
    <t>AI2819</t>
  </si>
  <si>
    <t>AI2797</t>
  </si>
  <si>
    <t>AI1768</t>
  </si>
  <si>
    <t>AI2487</t>
  </si>
  <si>
    <t>AI2512</t>
  </si>
  <si>
    <t>AI2809</t>
  </si>
  <si>
    <t>AI2412</t>
  </si>
  <si>
    <t>AI2755</t>
  </si>
  <si>
    <t>QP1335</t>
  </si>
  <si>
    <t>QP1822</t>
  </si>
  <si>
    <t>QP1824</t>
  </si>
  <si>
    <t>QP1308</t>
  </si>
  <si>
    <t>QP1350</t>
  </si>
  <si>
    <t>QP1812</t>
  </si>
  <si>
    <t>IX1482</t>
  </si>
  <si>
    <t>IX1070</t>
  </si>
  <si>
    <t>IX5984</t>
  </si>
  <si>
    <t>DEL-CCU</t>
  </si>
  <si>
    <t>6E5191</t>
  </si>
  <si>
    <t>6E340</t>
  </si>
  <si>
    <t>6E513</t>
  </si>
  <si>
    <t>6E894</t>
  </si>
  <si>
    <t>6E2487</t>
  </si>
  <si>
    <t>6E897</t>
  </si>
  <si>
    <t>6E910</t>
  </si>
  <si>
    <t>6E6415</t>
  </si>
  <si>
    <t>6E2276</t>
  </si>
  <si>
    <t>6E6517</t>
  </si>
  <si>
    <t>6E389</t>
  </si>
  <si>
    <t>6E247</t>
  </si>
  <si>
    <t>AI173</t>
  </si>
  <si>
    <t>AI185</t>
  </si>
  <si>
    <t>01:40</t>
  </si>
  <si>
    <t>AI2702</t>
  </si>
  <si>
    <t>02:30</t>
  </si>
  <si>
    <t>AI2535</t>
  </si>
  <si>
    <t>AI2705</t>
  </si>
  <si>
    <t>AI1791</t>
  </si>
  <si>
    <t>AI183</t>
  </si>
  <si>
    <t>AI1704</t>
  </si>
  <si>
    <t>AI2767</t>
  </si>
  <si>
    <t>AI1733</t>
  </si>
  <si>
    <t>AI2707</t>
  </si>
  <si>
    <t>AI2709</t>
  </si>
  <si>
    <t>AI1714</t>
  </si>
  <si>
    <t>AI2727</t>
  </si>
  <si>
    <t>SG905</t>
  </si>
  <si>
    <t>QP1801</t>
  </si>
  <si>
    <t>QP1803</t>
  </si>
  <si>
    <t>DEL-HYD</t>
  </si>
  <si>
    <t>6E704</t>
  </si>
  <si>
    <t>02:25</t>
  </si>
  <si>
    <t>6E203</t>
  </si>
  <si>
    <t>6E705</t>
  </si>
  <si>
    <t>6E6293</t>
  </si>
  <si>
    <t>6E884</t>
  </si>
  <si>
    <t>6E6282</t>
  </si>
  <si>
    <t>6E6212</t>
  </si>
  <si>
    <t>6E6217</t>
  </si>
  <si>
    <t>6E717</t>
  </si>
  <si>
    <t>6E6601</t>
  </si>
  <si>
    <t>6E382</t>
  </si>
  <si>
    <t>6E882</t>
  </si>
  <si>
    <t>AI2577</t>
  </si>
  <si>
    <t>02:00</t>
  </si>
  <si>
    <t>AI1793</t>
  </si>
  <si>
    <t>AI2560</t>
  </si>
  <si>
    <t>AI2542</t>
  </si>
  <si>
    <t>09:40</t>
  </si>
  <si>
    <t>AI2859</t>
  </si>
  <si>
    <t>AI2471</t>
  </si>
  <si>
    <t>AI2899</t>
  </si>
  <si>
    <t>AI2465</t>
  </si>
  <si>
    <t>AI2519</t>
  </si>
  <si>
    <t>AI2879</t>
  </si>
  <si>
    <t>AI2721</t>
  </si>
  <si>
    <t>AI2871</t>
  </si>
  <si>
    <t>AI2449</t>
  </si>
  <si>
    <t>AI1706</t>
  </si>
  <si>
    <t>QP1406</t>
  </si>
  <si>
    <t>QP1409</t>
  </si>
  <si>
    <t>DEL-MAA</t>
  </si>
  <si>
    <t>6E2368</t>
  </si>
  <si>
    <t>6E940</t>
  </si>
  <si>
    <t>6E434</t>
  </si>
  <si>
    <t>6E6115</t>
  </si>
  <si>
    <t>6E6091</t>
  </si>
  <si>
    <t>6E947</t>
  </si>
  <si>
    <t>6E950</t>
  </si>
  <si>
    <t>6E6341</t>
  </si>
  <si>
    <t>6E6061</t>
  </si>
  <si>
    <t>AI2496</t>
  </si>
  <si>
    <t>AI2525</t>
  </si>
  <si>
    <t>AI2833</t>
  </si>
  <si>
    <t>AI2467</t>
  </si>
  <si>
    <t>AI2475</t>
  </si>
  <si>
    <t>AI2877</t>
  </si>
  <si>
    <t>AI537</t>
  </si>
  <si>
    <t>AI2835</t>
  </si>
  <si>
    <t>AI2759</t>
  </si>
  <si>
    <t>AI2895</t>
  </si>
  <si>
    <t>DEL-PNQ</t>
  </si>
  <si>
    <t>6E2343</t>
  </si>
  <si>
    <t>6E5322</t>
  </si>
  <si>
    <t>6E2262</t>
  </si>
  <si>
    <t>6E2132</t>
  </si>
  <si>
    <t>6E6437</t>
  </si>
  <si>
    <t>6E2623</t>
  </si>
  <si>
    <t>6E6673</t>
  </si>
  <si>
    <t>6E2618</t>
  </si>
  <si>
    <t>AI2711</t>
  </si>
  <si>
    <t>02:10</t>
  </si>
  <si>
    <t>AI2469</t>
  </si>
  <si>
    <t>AI1797</t>
  </si>
  <si>
    <t>AI1735</t>
  </si>
  <si>
    <t>AI2971</t>
  </si>
  <si>
    <t>AI1740</t>
  </si>
  <si>
    <t>AI2547</t>
  </si>
  <si>
    <t>AI1730</t>
  </si>
  <si>
    <t>AI2973</t>
  </si>
  <si>
    <t>AI2609</t>
  </si>
  <si>
    <t>23:50</t>
  </si>
  <si>
    <t>SG939</t>
  </si>
  <si>
    <t>SG105</t>
  </si>
  <si>
    <t>QP1871</t>
  </si>
  <si>
    <t>QP1608</t>
  </si>
  <si>
    <t>QP1809</t>
  </si>
  <si>
    <t>IX1230</t>
  </si>
  <si>
    <t>04:25</t>
  </si>
  <si>
    <t>IX1257</t>
  </si>
  <si>
    <t>22:25</t>
  </si>
  <si>
    <t>HYD-AMD</t>
  </si>
  <si>
    <t>6E134</t>
  </si>
  <si>
    <t>6E6727</t>
  </si>
  <si>
    <t>6E216</t>
  </si>
  <si>
    <t>HYD-BOM</t>
  </si>
  <si>
    <t>6E5143</t>
  </si>
  <si>
    <t>6E5245</t>
  </si>
  <si>
    <t>6E6196</t>
  </si>
  <si>
    <t>6E5213</t>
  </si>
  <si>
    <t>6E5174</t>
  </si>
  <si>
    <t>6E5384</t>
  </si>
  <si>
    <t>6E5099</t>
  </si>
  <si>
    <t>6E5259</t>
  </si>
  <si>
    <t>6E5039</t>
  </si>
  <si>
    <t>6E5203</t>
  </si>
  <si>
    <t>22:05</t>
  </si>
  <si>
    <t>6E6363</t>
  </si>
  <si>
    <t>AI2872</t>
  </si>
  <si>
    <t>AI2626</t>
  </si>
  <si>
    <t>AI418</t>
  </si>
  <si>
    <t>AI2447</t>
  </si>
  <si>
    <t>AI2699</t>
  </si>
  <si>
    <t>AI2451</t>
  </si>
  <si>
    <t>22:50</t>
  </si>
  <si>
    <t>HYD-BLR</t>
  </si>
  <si>
    <t>6E413</t>
  </si>
  <si>
    <t>6E151</t>
  </si>
  <si>
    <t>6E6066</t>
  </si>
  <si>
    <t>6E311</t>
  </si>
  <si>
    <t>6E6405</t>
  </si>
  <si>
    <t>6E314</t>
  </si>
  <si>
    <t>6E6417</t>
  </si>
  <si>
    <t>6E6783</t>
  </si>
  <si>
    <t>6E285</t>
  </si>
  <si>
    <t>6E6505</t>
  </si>
  <si>
    <t>IX2934</t>
  </si>
  <si>
    <t>IX2019</t>
  </si>
  <si>
    <t>IX1407</t>
  </si>
  <si>
    <t>IX1345</t>
  </si>
  <si>
    <t>IX2983</t>
  </si>
  <si>
    <t>IX1378</t>
  </si>
  <si>
    <t>HYD-CCU</t>
  </si>
  <si>
    <t>6E6494</t>
  </si>
  <si>
    <t>6E664</t>
  </si>
  <si>
    <t>6E376</t>
  </si>
  <si>
    <t>6E6907</t>
  </si>
  <si>
    <t>6E283</t>
  </si>
  <si>
    <t>6E944</t>
  </si>
  <si>
    <t>HYD-DEL</t>
  </si>
  <si>
    <t>6E706</t>
  </si>
  <si>
    <t>6E709</t>
  </si>
  <si>
    <t>6E707</t>
  </si>
  <si>
    <t>6E6281</t>
  </si>
  <si>
    <t>6E6202</t>
  </si>
  <si>
    <t>6E6031</t>
  </si>
  <si>
    <t>6E711</t>
  </si>
  <si>
    <t>6E6372</t>
  </si>
  <si>
    <t>6E710</t>
  </si>
  <si>
    <t>6E6043</t>
  </si>
  <si>
    <t>6E890</t>
  </si>
  <si>
    <t>6E6025</t>
  </si>
  <si>
    <t>AI1806</t>
  </si>
  <si>
    <t>AI2860</t>
  </si>
  <si>
    <t>AI2466</t>
  </si>
  <si>
    <t>AI1866</t>
  </si>
  <si>
    <t>AI2543</t>
  </si>
  <si>
    <t>AI2559</t>
  </si>
  <si>
    <t>AI2541</t>
  </si>
  <si>
    <t>AI2890</t>
  </si>
  <si>
    <t>AI2880</t>
  </si>
  <si>
    <t>AI2520</t>
  </si>
  <si>
    <t>AI2870</t>
  </si>
  <si>
    <t>AI2722</t>
  </si>
  <si>
    <t>AI2776</t>
  </si>
  <si>
    <t>QP1405</t>
  </si>
  <si>
    <t>QP1407</t>
  </si>
  <si>
    <t>HYD-MAA</t>
  </si>
  <si>
    <t>6E243</t>
  </si>
  <si>
    <t>6E6151</t>
  </si>
  <si>
    <t>6E514</t>
  </si>
  <si>
    <t>6E668</t>
  </si>
  <si>
    <t>6E598</t>
  </si>
  <si>
    <t>6E6486</t>
  </si>
  <si>
    <t>6E6174</t>
  </si>
  <si>
    <t>HYD-PNQ</t>
  </si>
  <si>
    <t>6E337</t>
  </si>
  <si>
    <t>6E351</t>
  </si>
  <si>
    <t>04:35</t>
  </si>
  <si>
    <t>6E6471</t>
  </si>
  <si>
    <t>6E157</t>
  </si>
  <si>
    <t>6E402</t>
  </si>
  <si>
    <t>6E426</t>
  </si>
  <si>
    <t>PNQ-AMD</t>
  </si>
  <si>
    <t>6E819</t>
  </si>
  <si>
    <t>6E2155</t>
  </si>
  <si>
    <t>6E6553</t>
  </si>
  <si>
    <t>6E547</t>
  </si>
  <si>
    <t>QP1916</t>
  </si>
  <si>
    <t>QP1918</t>
  </si>
  <si>
    <t>PNQ-BLR</t>
  </si>
  <si>
    <t>6E361</t>
  </si>
  <si>
    <t>6E6564</t>
  </si>
  <si>
    <t>6E6877</t>
  </si>
  <si>
    <t>6E391</t>
  </si>
  <si>
    <t>6E133</t>
  </si>
  <si>
    <t>6E302</t>
  </si>
  <si>
    <t>6E137</t>
  </si>
  <si>
    <t>6E174</t>
  </si>
  <si>
    <t>6E577</t>
  </si>
  <si>
    <t>6E107</t>
  </si>
  <si>
    <t>6E6055</t>
  </si>
  <si>
    <t>QP1312</t>
  </si>
  <si>
    <t>QP1326</t>
  </si>
  <si>
    <t>QP1314</t>
  </si>
  <si>
    <t>QP1316</t>
  </si>
  <si>
    <t>QP1318</t>
  </si>
  <si>
    <t>IX2681</t>
  </si>
  <si>
    <t>IX2706</t>
  </si>
  <si>
    <t>IX2718</t>
  </si>
  <si>
    <t>IX2874</t>
  </si>
  <si>
    <t>IX2839</t>
  </si>
  <si>
    <t>PNQ-CCU</t>
  </si>
  <si>
    <t>6E6359</t>
  </si>
  <si>
    <t>6E6561</t>
  </si>
  <si>
    <t>6E6921</t>
  </si>
  <si>
    <t>QP1563</t>
  </si>
  <si>
    <t>PNQ-DEL</t>
  </si>
  <si>
    <t>6E5321</t>
  </si>
  <si>
    <t>6E2418</t>
  </si>
  <si>
    <t>01:45</t>
  </si>
  <si>
    <t>6E6253</t>
  </si>
  <si>
    <t>6E2419</t>
  </si>
  <si>
    <t>6E2375</t>
  </si>
  <si>
    <t>6E2661</t>
  </si>
  <si>
    <t>6E6431</t>
  </si>
  <si>
    <t>6E2126</t>
  </si>
  <si>
    <t>6E2624</t>
  </si>
  <si>
    <t>AI2608</t>
  </si>
  <si>
    <t>AI2712</t>
  </si>
  <si>
    <t>AI2404</t>
  </si>
  <si>
    <t>AI2470</t>
  </si>
  <si>
    <t>AI1838</t>
  </si>
  <si>
    <t>AI1839</t>
  </si>
  <si>
    <t>AI2972</t>
  </si>
  <si>
    <t>AI1853</t>
  </si>
  <si>
    <t>AI1804</t>
  </si>
  <si>
    <t>SG106</t>
  </si>
  <si>
    <t>00:55</t>
  </si>
  <si>
    <t>SG937</t>
  </si>
  <si>
    <t>QP1607</t>
  </si>
  <si>
    <t>QP1872</t>
  </si>
  <si>
    <t>QP1810</t>
  </si>
  <si>
    <t>IX1672</t>
  </si>
  <si>
    <t>IX1231</t>
  </si>
  <si>
    <t>PNQ-HYD</t>
  </si>
  <si>
    <t>6E336</t>
  </si>
  <si>
    <t>6E352</t>
  </si>
  <si>
    <t>6E6473</t>
  </si>
  <si>
    <t>6E158</t>
  </si>
  <si>
    <t>6E403</t>
  </si>
  <si>
    <t>6E103</t>
  </si>
  <si>
    <t>PNQ-MAA</t>
  </si>
  <si>
    <t>6E6745</t>
  </si>
  <si>
    <t>6E159</t>
  </si>
  <si>
    <t>6E625</t>
  </si>
  <si>
    <t>6E6714</t>
  </si>
  <si>
    <t>6E238</t>
  </si>
  <si>
    <t>IX2660</t>
  </si>
  <si>
    <t>MAA-AMD</t>
  </si>
  <si>
    <t>6E244</t>
  </si>
  <si>
    <t>03:55</t>
  </si>
  <si>
    <t>6E6374</t>
  </si>
  <si>
    <t>6E848</t>
  </si>
  <si>
    <t>QP1320</t>
  </si>
  <si>
    <t>MAA-BOM</t>
  </si>
  <si>
    <t>6E6140</t>
  </si>
  <si>
    <t>6E5093</t>
  </si>
  <si>
    <t>6E5314</t>
  </si>
  <si>
    <t>6E6348</t>
  </si>
  <si>
    <t>6E5214</t>
  </si>
  <si>
    <t>6E5258</t>
  </si>
  <si>
    <t>6E5371</t>
  </si>
  <si>
    <t>6E5104</t>
  </si>
  <si>
    <t>6E5367</t>
  </si>
  <si>
    <t>6E5149</t>
  </si>
  <si>
    <t>6E6225</t>
  </si>
  <si>
    <t>AI2779</t>
  </si>
  <si>
    <t>AI2822</t>
  </si>
  <si>
    <t>AI2740</t>
  </si>
  <si>
    <t>AI640</t>
  </si>
  <si>
    <t>AI436</t>
  </si>
  <si>
    <t>AI2760</t>
  </si>
  <si>
    <t>QP1146</t>
  </si>
  <si>
    <t>MAA-BLR</t>
  </si>
  <si>
    <t>6E6081</t>
  </si>
  <si>
    <t>6E6815</t>
  </si>
  <si>
    <t>6E6892</t>
  </si>
  <si>
    <t>6E6209</t>
  </si>
  <si>
    <t>6E847</t>
  </si>
  <si>
    <t>6E365</t>
  </si>
  <si>
    <t>6E189</t>
  </si>
  <si>
    <t>6E796</t>
  </si>
  <si>
    <t>IX2975</t>
  </si>
  <si>
    <t>IX1929</t>
  </si>
  <si>
    <t>IX2507</t>
  </si>
  <si>
    <t>IX2662</t>
  </si>
  <si>
    <t>MAA-CCU</t>
  </si>
  <si>
    <t>6E987</t>
  </si>
  <si>
    <t>6E321</t>
  </si>
  <si>
    <t>6E6326</t>
  </si>
  <si>
    <t>6E606</t>
  </si>
  <si>
    <t>6E923</t>
  </si>
  <si>
    <t>IX1577</t>
  </si>
  <si>
    <t>MAA-DEL</t>
  </si>
  <si>
    <t>6E937</t>
  </si>
  <si>
    <t>6E404</t>
  </si>
  <si>
    <t>6E6002</t>
  </si>
  <si>
    <t>6E939</t>
  </si>
  <si>
    <t>6E948</t>
  </si>
  <si>
    <t>6E698</t>
  </si>
  <si>
    <t>6E613</t>
  </si>
  <si>
    <t>6E951</t>
  </si>
  <si>
    <t>6E2369</t>
  </si>
  <si>
    <t>AI2832</t>
  </si>
  <si>
    <t>AI2886</t>
  </si>
  <si>
    <t>AI2526</t>
  </si>
  <si>
    <t>AI2836</t>
  </si>
  <si>
    <t>AI2468</t>
  </si>
  <si>
    <t>AI538</t>
  </si>
  <si>
    <t>MAA-HYD</t>
  </si>
  <si>
    <t>6E495</t>
  </si>
  <si>
    <t>6E834</t>
  </si>
  <si>
    <t>6E6925</t>
  </si>
  <si>
    <t>6E6158</t>
  </si>
  <si>
    <t>6E562</t>
  </si>
  <si>
    <t>6E193</t>
  </si>
  <si>
    <t>6E6487</t>
  </si>
  <si>
    <t>IX2844</t>
  </si>
  <si>
    <t>MAA-PNQ</t>
  </si>
  <si>
    <t>6E253</t>
  </si>
  <si>
    <t>03:10</t>
  </si>
  <si>
    <t>6E607</t>
  </si>
  <si>
    <t>6E502</t>
  </si>
  <si>
    <t>6E183</t>
  </si>
  <si>
    <t>6E561</t>
  </si>
  <si>
    <t>IX2661</t>
  </si>
  <si>
    <t>BOM-PNQ</t>
  </si>
  <si>
    <t>PNQ-BOM</t>
  </si>
  <si>
    <t>Total Weekly Flights</t>
  </si>
  <si>
    <t>Air India Express</t>
  </si>
  <si>
    <t>Alliance Air</t>
  </si>
  <si>
    <t>Air India</t>
  </si>
  <si>
    <t>Fly91</t>
  </si>
  <si>
    <t>OD Pairs Completed</t>
  </si>
  <si>
    <t>272 of 272</t>
  </si>
  <si>
    <t>Code</t>
  </si>
  <si>
    <t>Name</t>
  </si>
  <si>
    <t>ATC Codes</t>
  </si>
  <si>
    <t>Destination Codes</t>
  </si>
  <si>
    <t>Ahmedabad</t>
  </si>
  <si>
    <t>Bengaluru</t>
  </si>
  <si>
    <t>Mumbai</t>
  </si>
  <si>
    <t>Kolkata</t>
  </si>
  <si>
    <t>Delhi</t>
  </si>
  <si>
    <t>Hyderabad</t>
  </si>
  <si>
    <t>Chennai</t>
  </si>
  <si>
    <t>Pune</t>
  </si>
  <si>
    <t>Bhubaneswar</t>
  </si>
  <si>
    <t>Coimbatore</t>
  </si>
  <si>
    <t>Kochi</t>
  </si>
  <si>
    <t>Goa</t>
  </si>
  <si>
    <t>Guwahati</t>
  </si>
  <si>
    <t>Indore</t>
  </si>
  <si>
    <t>Bagdogra</t>
  </si>
  <si>
    <t>Madurai</t>
  </si>
  <si>
    <t>Port Blair</t>
  </si>
  <si>
    <t>Jaipur</t>
  </si>
  <si>
    <t>Lucknow</t>
  </si>
  <si>
    <t>Nagpur</t>
  </si>
  <si>
    <t>Patna</t>
  </si>
  <si>
    <t>Ranchi</t>
  </si>
  <si>
    <t>Raipur</t>
  </si>
  <si>
    <t>Chandigarh</t>
  </si>
  <si>
    <t>Udaipur</t>
  </si>
  <si>
    <t>Srinagar</t>
  </si>
  <si>
    <t>Jammu</t>
  </si>
  <si>
    <t>Thiruvananthapuram</t>
  </si>
  <si>
    <t>Vishakhapatnam</t>
  </si>
  <si>
    <t>Imphal</t>
  </si>
  <si>
    <t>Bhopal</t>
  </si>
  <si>
    <t>Varanasi</t>
  </si>
  <si>
    <t>Leh</t>
  </si>
  <si>
    <t>Vijayawada</t>
  </si>
  <si>
    <t>Tiruchirappalli</t>
  </si>
  <si>
    <t>Applies To</t>
  </si>
  <si>
    <t>Station / Route</t>
  </si>
  <si>
    <t>Rs per kg</t>
  </si>
  <si>
    <t>Valid From</t>
  </si>
  <si>
    <t>Valid To</t>
  </si>
  <si>
    <t>Reason / Source</t>
  </si>
  <si>
    <t>Active (Y/N)</t>
  </si>
  <si>
    <t>Dashboard Label</t>
  </si>
  <si>
    <t>How to use</t>
  </si>
  <si>
    <t>All</t>
  </si>
  <si>
    <t>Fuel surcharge, PAN India on chargeable weight (IndiGo footnotes)</t>
  </si>
  <si>
    <t>Y</t>
  </si>
  <si>
    <t>Fuel</t>
  </si>
  <si>
    <t>Surcharges from the tariff NOTES / FOOTNOTES that apply across many routes.</t>
  </si>
  <si>
    <t>SS surcharge on all domestic shipments (AI Notation 1(iv))</t>
  </si>
  <si>
    <t>SS</t>
  </si>
  <si>
    <t>Route- and flight-specific surcharges are read from the database automatically - don't list them here.</t>
  </si>
  <si>
    <t>Additional surcharge ex-BOM to India (AI Notation 1(viii))</t>
  </si>
  <si>
    <t>Ex-BOM</t>
  </si>
  <si>
    <t>Airline: IndiGo or Air India (Air India also covers Air India Express / IX flights).</t>
  </si>
  <si>
    <t>Additional surcharge India to BOM (AI Notation 1(viii))</t>
  </si>
  <si>
    <t>To-BOM</t>
  </si>
  <si>
    <t>Applies To: All | Origin | Destination | Route.  Station / Route: e.g. BOM, or DEL-COK for Route.</t>
  </si>
  <si>
    <t>TRV</t>
  </si>
  <si>
    <t>Lotus Flower surcharge ex-TRV (AI Notation 1(vii))</t>
  </si>
  <si>
    <t>Lotus</t>
  </si>
  <si>
    <t>Leave Valid To blank for 'until further notice'. Set Active to N to switch a row off.</t>
  </si>
  <si>
    <t>Route</t>
  </si>
  <si>
    <t>Onam surcharge (AI Notation 1(vi))</t>
  </si>
  <si>
    <t>Onam</t>
  </si>
  <si>
    <t>Dashboard Label: the short name shown in the Dashboard's Surcharge Reason column.</t>
  </si>
  <si>
    <t>After editing, close the workbook and run link_rates.py again.</t>
  </si>
  <si>
    <t>JAI-COK</t>
  </si>
  <si>
    <t>IXC-COK</t>
  </si>
  <si>
    <t>LKO-COK</t>
  </si>
  <si>
    <t>Key</t>
  </si>
  <si>
    <t>Product</t>
  </si>
  <si>
    <t>Effective Date</t>
  </si>
  <si>
    <t>Min</t>
  </si>
  <si>
    <t>N</t>
  </si>
  <si>
    <t>45+</t>
  </si>
  <si>
    <t>100+</t>
  </si>
  <si>
    <t>300+</t>
  </si>
  <si>
    <t>500+</t>
  </si>
  <si>
    <t>1000+</t>
  </si>
  <si>
    <t>Status</t>
  </si>
  <si>
    <t>Tariff Condition</t>
  </si>
  <si>
    <t>Match Note</t>
  </si>
  <si>
    <t>Surcharge Rs/kg</t>
  </si>
  <si>
    <t>Surcharge Reason</t>
  </si>
  <si>
    <t>Surcharge Summary</t>
  </si>
  <si>
    <t>Rate info</t>
  </si>
  <si>
    <t>AMD|BBI|6E6237|17:55</t>
  </si>
  <si>
    <t>GCR</t>
  </si>
  <si>
    <t>OK</t>
  </si>
  <si>
    <t>Route rate (all flights)</t>
  </si>
  <si>
    <t>Rs 4 Fuel surcharge, PAN India on chargeable weight (IndiGo footnotes)</t>
  </si>
  <si>
    <t>Fuel ₹4</t>
  </si>
  <si>
    <t>Refreshed</t>
  </si>
  <si>
    <t>AMD|COK|6E6391|10:55</t>
  </si>
  <si>
    <t>Rates as of</t>
  </si>
  <si>
    <t>AMD|GOI|6E6345|16:15</t>
  </si>
  <si>
    <t>IndiGo effective</t>
  </si>
  <si>
    <t>AMD|GOI|6E992|19:30</t>
  </si>
  <si>
    <t>IndiGo file</t>
  </si>
  <si>
    <t>8.1 6E Eff. 16th Aug 2026.xlsx</t>
  </si>
  <si>
    <t>AMD|GAU|6E6441|06:05</t>
  </si>
  <si>
    <t>Air India effective</t>
  </si>
  <si>
    <t>AMD|IDR|6E7173|06:55</t>
  </si>
  <si>
    <t>Air India file</t>
  </si>
  <si>
    <t>8.3 AI effective 20-Aug-26.xlsx</t>
  </si>
  <si>
    <t>AMD|IDR|6E7187|20:10</t>
  </si>
  <si>
    <t>AMD|IXB|QP1569|11:30</t>
  </si>
  <si>
    <t>NO TARIFF LOADED</t>
  </si>
  <si>
    <t>This airline's tariff is not loaded in the database</t>
  </si>
  <si>
    <t>AMD|IXB|QP1903|11:15</t>
  </si>
  <si>
    <t>AMD|JAI|6E7114|06:15</t>
  </si>
  <si>
    <t>AMD|JAI|6E7261|15:40</t>
  </si>
  <si>
    <t>AMD|JAI|6E7131|21:05</t>
  </si>
  <si>
    <t>AMD|LKO|6E6244|08:15</t>
  </si>
  <si>
    <t>AMD|LKO|6E935|14:15</t>
  </si>
  <si>
    <t>AMD|NAG|6E7247|05:40</t>
  </si>
  <si>
    <t>AMD|NAG|6E7502|18:55</t>
  </si>
  <si>
    <t>AMD|PAT|6E921|10:40</t>
  </si>
  <si>
    <t>AMD|PAT|6E2524|18:30</t>
  </si>
  <si>
    <t>AMD|IXR|6E6493|11:10</t>
  </si>
  <si>
    <t>Rs 5 IndiGo sector surcharge; Rs 4 Fuel surcharge, PAN India on chargeable weight (IndiGo footnotes)</t>
  </si>
  <si>
    <t>Sector ₹5 + Fuel ₹4</t>
  </si>
  <si>
    <t>AMD|RPR|6E261|11:30</t>
  </si>
  <si>
    <t>AMD|IXC|6E6375|07:40</t>
  </si>
  <si>
    <t>AMD|IXC|6E6506|21:45</t>
  </si>
  <si>
    <t>AMD|SXR|6E6164|07:55</t>
  </si>
  <si>
    <t>AMD|IXJ|6E6687|09:00</t>
  </si>
  <si>
    <t>AMD|VTZ|6E879|08:44</t>
  </si>
  <si>
    <t>AMD|BHO|6E7525|05:50</t>
  </si>
  <si>
    <t>AMD|VNS|6E6805|14:45</t>
  </si>
  <si>
    <t>BLR|BBI|6E702|07:30</t>
  </si>
  <si>
    <t>BLR|BBI|6E6535|11:40</t>
  </si>
  <si>
    <t>BLR|BBI|6E411|20:05</t>
  </si>
  <si>
    <t>BLR|BBI|QP1503|13:35</t>
  </si>
  <si>
    <t>BLR|BBI|IX1536|15:00</t>
  </si>
  <si>
    <t>Rs 5 SS surcharge on all domestic shipments (AI Notation 1(iv))</t>
  </si>
  <si>
    <t>SS ₹5</t>
  </si>
  <si>
    <t>BLR|CJB|6E857|07:05</t>
  </si>
  <si>
    <t>BLR|CJB|6E6542|13:10</t>
  </si>
  <si>
    <t>BLR|CJB|6E602|14:40</t>
  </si>
  <si>
    <t>BLR|CJB|6E6875|19:55</t>
  </si>
  <si>
    <t>BLR|GOI|6E194|06:05</t>
  </si>
  <si>
    <t>BLR|GOI|6E6653|12:35</t>
  </si>
  <si>
    <t>BLR|GOI|6E6753|15:15</t>
  </si>
  <si>
    <t>BLR|GOI|6E6168|17:40</t>
  </si>
  <si>
    <t>BLR|GOI|6E6554|19:15</t>
  </si>
  <si>
    <t>BLR|GOI|IX1386|13:05</t>
  </si>
  <si>
    <t>BLR|GOI|IX1539|17:20</t>
  </si>
  <si>
    <t>BLR|IDR|6E959|07:30</t>
  </si>
  <si>
    <t>BLR|IDR|6E747|17:55</t>
  </si>
  <si>
    <t>BLR|IDR|6E6743|20:50</t>
  </si>
  <si>
    <t>BLR|IDR|IX2014|14:25</t>
  </si>
  <si>
    <t>BLR|IXB|6E443|08:15</t>
  </si>
  <si>
    <t>BLR|IXB|QP1850|05:30</t>
  </si>
  <si>
    <t>BLR|IXB|IX2461|05:50</t>
  </si>
  <si>
    <t>BLR|IXB|IX2892|09:10</t>
  </si>
  <si>
    <t>BLR|IXB|IX1495|13:30</t>
  </si>
  <si>
    <t>BLR|IXM|6E6170|07:55</t>
  </si>
  <si>
    <t>BLR|IXM|6E6051|10:25</t>
  </si>
  <si>
    <t>BLR|IXM|6E6585|20:10</t>
  </si>
  <si>
    <t>BLR|IXZ|IX2648|12:00</t>
  </si>
  <si>
    <t>Rs 10 Air India sector surcharge; Rs 5 SS surcharge on all domestic shipments (AI Notation 1(iv))</t>
  </si>
  <si>
    <t>Sector ₹10 + SS ₹5</t>
  </si>
  <si>
    <t>BLR|JAI|6E6353|07:10</t>
  </si>
  <si>
    <t>BLR|JAI|6E415|09:35</t>
  </si>
  <si>
    <t>BLR|JAI|6E469|16:00</t>
  </si>
  <si>
    <t>BLR|JAI|6E6141|18:20</t>
  </si>
  <si>
    <t>BLR|JAI|IX1526|10:05</t>
  </si>
  <si>
    <t>BLR|JAI|IX1494|16:55</t>
  </si>
  <si>
    <t>BLR|LKO|6E6353|07:10</t>
  </si>
  <si>
    <t>BLR|LKO|6E503|10:00</t>
  </si>
  <si>
    <t>BLR|LKO|6E451|16:20</t>
  </si>
  <si>
    <t>BLR|LKO|6E903|19:10</t>
  </si>
  <si>
    <t>BLR|LKO|IX1217|06:15</t>
  </si>
  <si>
    <t>BLR|LKO|IX1405|11:45</t>
  </si>
  <si>
    <t>BLR|LKO|IX1480|11:50</t>
  </si>
  <si>
    <t>BLR|NAG|6E6863|08:20</t>
  </si>
  <si>
    <t>BLR|NAG|6E6891|17:15</t>
  </si>
  <si>
    <t>BLR|NAG|IX1543|18:40</t>
  </si>
  <si>
    <t>BLR|PAT|6E6801|08:25</t>
  </si>
  <si>
    <t>BLR|PAT|6E6277|14:45</t>
  </si>
  <si>
    <t>BLR|PAT|6E6451|16:45</t>
  </si>
  <si>
    <t>BLR|PAT|IX2816|09:50</t>
  </si>
  <si>
    <t>BLR|PAT|IX1576|18:55</t>
  </si>
  <si>
    <t>BLR|IXR|6E221|17:45</t>
  </si>
  <si>
    <t>BLR|IXR|IX1239|06:35</t>
  </si>
  <si>
    <t>BLR|IXR|IX2786|09:20</t>
  </si>
  <si>
    <t>BLR|IXR|IX2053|16:50</t>
  </si>
  <si>
    <t>BLR|RPR|6E405|07:40</t>
  </si>
  <si>
    <t>BLR|RPR|6E978|17:30</t>
  </si>
  <si>
    <t>BLR|IXC|6E6633|04:40</t>
  </si>
  <si>
    <t>BLR|IXC|6E851|16:20</t>
  </si>
  <si>
    <t>BLR|IXC|6E6385|20:30</t>
  </si>
  <si>
    <t>BLR|IXC|IX1089|21:05</t>
  </si>
  <si>
    <t>BLR|UDR|6E687|06:45</t>
  </si>
  <si>
    <t>BLR|SXR|6E6947|07:10</t>
  </si>
  <si>
    <t>BLR|SXR|IX1385|10:55</t>
  </si>
  <si>
    <t>BLR|COK|6E6702|05:20</t>
  </si>
  <si>
    <t>BLR|COK|6E763|07:05</t>
  </si>
  <si>
    <t>BLR|COK|6E7005|08:05</t>
  </si>
  <si>
    <t>BLR|COK|6E6445|10:25</t>
  </si>
  <si>
    <t>BLR|COK|6E6104|11:40</t>
  </si>
  <si>
    <t>BLR|COK|6E703|12:55</t>
  </si>
  <si>
    <t>BLR|COK|6E602|14:25</t>
  </si>
  <si>
    <t>BLR|COK|6E2138|15:50</t>
  </si>
  <si>
    <t>BLR|COK|6E144|18:00</t>
  </si>
  <si>
    <t>BLR|COK|6E435|20:25</t>
  </si>
  <si>
    <t>BLR|COK|IX2678|05:30</t>
  </si>
  <si>
    <t>BLR|COK|IX1893|08:40</t>
  </si>
  <si>
    <t>BLR|COK|IX1896|13:45</t>
  </si>
  <si>
    <t>BLR|COK|IX2608|16:15</t>
  </si>
  <si>
    <t>BLR|COK|IX2116|21:00</t>
  </si>
  <si>
    <t>BLR|TVM|6E688|07:20</t>
  </si>
  <si>
    <t>BLR|TVM|6E6144|10:30</t>
  </si>
  <si>
    <t>BLR|TVM|6E774|12:00</t>
  </si>
  <si>
    <t>BLR|TVM|6E6427|15:15</t>
  </si>
  <si>
    <t>BLR|TVM|IX1367|20:30</t>
  </si>
  <si>
    <t>BLR|VTZ|6E6336|12:40</t>
  </si>
  <si>
    <t>BLR|VTZ|6E969|19:00</t>
  </si>
  <si>
    <t>BLR|VTZ|IX2064|05:55</t>
  </si>
  <si>
    <t>BLR|VTZ|IX2023|16:50</t>
  </si>
  <si>
    <t>BLR|VTZ|IX2063|20:35</t>
  </si>
  <si>
    <t>BLR|BHO|6E368|06:10</t>
  </si>
  <si>
    <t>BLR|BHO|6E6465|17:15</t>
  </si>
  <si>
    <t>BLR|VNS|6E6558|09:05</t>
  </si>
  <si>
    <t>BLR|VNS|6E738|18:00</t>
  </si>
  <si>
    <t>BLR|VNS|QP1423|15:55</t>
  </si>
  <si>
    <t>BLR|VNS|IX1540|15:25</t>
  </si>
  <si>
    <t>BLR|VGA|6E7204|06:50</t>
  </si>
  <si>
    <t>BLR|VGA|6E7071|10:55</t>
  </si>
  <si>
    <t>BLR|VGA|6E7134|19:20</t>
  </si>
  <si>
    <t>BLR|VGA|IX2875|07:10</t>
  </si>
  <si>
    <t>BLR|TRZ|6E7236|06:55</t>
  </si>
  <si>
    <t>BLR|TRZ|6E7711|14:35</t>
  </si>
  <si>
    <t>BLR|TRZ|6E7165|19:25</t>
  </si>
  <si>
    <t>BLR|TRZ|IX5306|17:40</t>
  </si>
  <si>
    <t>BLR|TRZ|IX5303|23:00</t>
  </si>
  <si>
    <t>BOM|BBI|6E5091|07:50</t>
  </si>
  <si>
    <t>For All Flights departed between 00:01-09:00 HRS</t>
  </si>
  <si>
    <t>Departure time within window</t>
  </si>
  <si>
    <t>BOM|BBI|6E463|16:50</t>
  </si>
  <si>
    <t>LEAN</t>
  </si>
  <si>
    <t>For All Flights departed between 09:01-00:00 HRS</t>
  </si>
  <si>
    <t>BOM|BBI|6E5182|20:40</t>
  </si>
  <si>
    <t>BOM|BBI|IX1283|13:05</t>
  </si>
  <si>
    <t>Rs 5 SS surcharge on all domestic shipments (AI Notation 1(iv)); Rs 8 Additional surcharge ex-BOM to India (AI Notation 1(viii))</t>
  </si>
  <si>
    <t>SS ₹5 + Ex-BOM ₹8</t>
  </si>
  <si>
    <t>BOM|CJB|6E5109|09:35</t>
  </si>
  <si>
    <t>BOM|CJB|6E240|15:45</t>
  </si>
  <si>
    <t>BOM|CJB|AI2507|06:20</t>
  </si>
  <si>
    <t>Rs 3 Air India sector surcharge; Rs 5 SS surcharge on all domestic shipments (AI Notation 1(iv)); Rs 8 Additional surcharge ex-BOM to India (AI Notation 1(viii))</t>
  </si>
  <si>
    <t>Sector ₹3 + SS ₹5 + Ex-BOM ₹8</t>
  </si>
  <si>
    <t>BOM|CJB|AI2670|12:45</t>
  </si>
  <si>
    <t>BOM|CJB|AI2732|19:10</t>
  </si>
  <si>
    <t>BOM|COK|6E2093|00:25</t>
  </si>
  <si>
    <t>BOM|COK|6E6701|05:35</t>
  </si>
  <si>
    <t>BOM|COK|6E673|12:30</t>
  </si>
  <si>
    <t>BOM|COK|6E437|17:10</t>
  </si>
  <si>
    <t>BOM|COK|6E5097|19:10</t>
  </si>
  <si>
    <t>BOM|COK|AI2787|06:35</t>
  </si>
  <si>
    <t>PRIME</t>
  </si>
  <si>
    <t>Applicable Flight AI-2743, AI-2787, IX-1797</t>
  </si>
  <si>
    <t>Flight-specific rate</t>
  </si>
  <si>
    <t>BOM|COK|AI2855|09:55</t>
  </si>
  <si>
    <t>BOM|COK|AI681|16:55</t>
  </si>
  <si>
    <t>BOM|COK|QP1137|09:00</t>
  </si>
  <si>
    <t>BOM|COK|IX1797|05:05</t>
  </si>
  <si>
    <t>BOM|COK|IX1810|13:40</t>
  </si>
  <si>
    <t>BOM|COK|IX1870|15:30</t>
  </si>
  <si>
    <t>BOM|COK|IX1801|20:20</t>
  </si>
  <si>
    <t>BOM|GOI|6E6361|05:00</t>
  </si>
  <si>
    <t>BOM|GOI|6E261|11:20</t>
  </si>
  <si>
    <t>BOM|GOI|6E230|13:55</t>
  </si>
  <si>
    <t>BOM|GOI|6E5241|16:40</t>
  </si>
  <si>
    <t>BOM|GOI|6E5106|22:10</t>
  </si>
  <si>
    <t>BOM|GOI|AI603|05:00</t>
  </si>
  <si>
    <t>BOM|GOI|AI2841|11:20</t>
  </si>
  <si>
    <t>BOM|GOI|AI2420|11:20</t>
  </si>
  <si>
    <t>BOM|GOI|AI2477|13:05</t>
  </si>
  <si>
    <t>BOM|GOI|AI2745|15:30</t>
  </si>
  <si>
    <t>BOM|GOI|AI2505|19:25</t>
  </si>
  <si>
    <t>BOM|GOI|AI1726|19:25</t>
  </si>
  <si>
    <t>BOM|GOI|IX1238|12:25</t>
  </si>
  <si>
    <t>BOM|GOI|IX1242|16:30</t>
  </si>
  <si>
    <t>BOM|IDR|6E294|07:05</t>
  </si>
  <si>
    <t>Applicable for 6E 294</t>
  </si>
  <si>
    <t>BOM|IDR|6E5181|10:25</t>
  </si>
  <si>
    <t>All flights except for 6E 294</t>
  </si>
  <si>
    <t>All flights except listed ones</t>
  </si>
  <si>
    <t>BOM|IDR|6E6599|16:50</t>
  </si>
  <si>
    <t>BOM|IDR|6E5273|18:35</t>
  </si>
  <si>
    <t>BOM|IDR|6E5164|20:35</t>
  </si>
  <si>
    <t>BOM|IDR|AI2591|07:25</t>
  </si>
  <si>
    <t>BOM|IDR|AI1891|08:10</t>
  </si>
  <si>
    <t>BOM|IDR|AI2749|17:35</t>
  </si>
  <si>
    <t>BOM|IXB|6E5305|07:50</t>
  </si>
  <si>
    <t>BOM|IXB|QP1131|10:10</t>
  </si>
  <si>
    <t>BOM|IXB|IX1176|11:25</t>
  </si>
  <si>
    <t>BOM|IXM|6E5126|18:15</t>
  </si>
  <si>
    <t>BOM|IXZ|6E802|06:20</t>
  </si>
  <si>
    <t>BOM|JAI|6E5281|08:40</t>
  </si>
  <si>
    <t>Applicable for 6E 5281</t>
  </si>
  <si>
    <t>BOM|JAI|6E5135|23:20</t>
  </si>
  <si>
    <t>All Flights Except 6E 5281</t>
  </si>
  <si>
    <t>BOM|JAI|AI2781|10:50</t>
  </si>
  <si>
    <t>BOM|JAI|IX1219|20:20</t>
  </si>
  <si>
    <t>BOM|GAU|6E5243|05:00</t>
  </si>
  <si>
    <t>BOM|GAU|QP1141|13:35</t>
  </si>
  <si>
    <t>BOM|GAU|6E843|17:15</t>
  </si>
  <si>
    <t>BOM|LKO|6E643|04:45</t>
  </si>
  <si>
    <t>BOM|LKO|6E5268|08:25</t>
  </si>
  <si>
    <t>BOM|LKO|6E6937|11:30</t>
  </si>
  <si>
    <t>BOM|LKO|6E5251|12:10</t>
  </si>
  <si>
    <t>BOM|LKO|6E544|19:20</t>
  </si>
  <si>
    <t>BOM|LKO|6E5145|20:45</t>
  </si>
  <si>
    <t>BOM|LKO|AI2491|11:15</t>
  </si>
  <si>
    <t>BOM|LKO|QP1129|08:40</t>
  </si>
  <si>
    <t>BOM|LKO|QP1837|18:50</t>
  </si>
  <si>
    <t>BOM|LKO|IX1026|05:45</t>
  </si>
  <si>
    <t>Applicable Flight (IX-1026)</t>
  </si>
  <si>
    <t>Rs 3 Air India flight surcharge; Rs 5 SS surcharge on all domestic shipments (AI Notation 1(iv)); Rs 8 Additional surcharge ex-BOM to India (AI Notation 1(viii))</t>
  </si>
  <si>
    <t>Flight ₹3 + SS ₹5 + Ex-BOM ₹8</t>
  </si>
  <si>
    <t>BOM|LKO|IX1384|17:05</t>
  </si>
  <si>
    <t>BOM|NAG|6E6058|08:05</t>
  </si>
  <si>
    <t>Applicable for 6E6058</t>
  </si>
  <si>
    <t>BOM|NAG|6E2060|10:05</t>
  </si>
  <si>
    <t>All Flights Except 6E6058</t>
  </si>
  <si>
    <t>BOM|NAG|6E6802|16:55</t>
  </si>
  <si>
    <t>BOM|NAG|6E5147|18:35</t>
  </si>
  <si>
    <t>BOM|NAG|6E5328|22:45</t>
  </si>
  <si>
    <t>BOM|PAT|6E2024|09:15</t>
  </si>
  <si>
    <t>BOM|PAT|6E825|18:45</t>
  </si>
  <si>
    <t>BOM|PAT|AI2931|04:30</t>
  </si>
  <si>
    <t>BOM|PAT|AI2789|10:55</t>
  </si>
  <si>
    <t>BOM|IXR|6E6087|10:45</t>
  </si>
  <si>
    <t>BOM|IXR|IX1237|05:55</t>
  </si>
  <si>
    <t>Applicable Flight IX-1237</t>
  </si>
  <si>
    <t>BOM|RPR|6E2387|07:15</t>
  </si>
  <si>
    <t>BOM|RPR|6E5345|14:25</t>
  </si>
  <si>
    <t>BOM|RPR|6E6122|15:55</t>
  </si>
  <si>
    <t>BOM|IXC|6E5268|08:25</t>
  </si>
  <si>
    <t>BOM|IXC|6E6393|14:15</t>
  </si>
  <si>
    <t>BOM|IXC|6E5233|20:15</t>
  </si>
  <si>
    <t>BOM|IXC|AI471|06:05</t>
  </si>
  <si>
    <t>Applicable Flight AI-0653, AI-0471</t>
  </si>
  <si>
    <t>BOM|IXC|AI2659|14:35</t>
  </si>
  <si>
    <t>BOM|IXC|AI2672|18:00</t>
  </si>
  <si>
    <t>BOM|UDR|6E6794|06:15</t>
  </si>
  <si>
    <t>BOM|UDR|6E5154|15:45</t>
  </si>
  <si>
    <t>BOM|UDR|6E6027|17:35</t>
  </si>
  <si>
    <t>BOM|UDR|AI2579|10:35</t>
  </si>
  <si>
    <t>BOM|UDR|AI2595|14:25</t>
  </si>
  <si>
    <t>BOM|SXR|6E214|12:40</t>
  </si>
  <si>
    <t>BOM|SXR|AI2663|10:25</t>
  </si>
  <si>
    <t>BOM|IXJ|6E5125|11:10</t>
  </si>
  <si>
    <t>BOM|TVM|6E5087|13:10</t>
  </si>
  <si>
    <t>BOM|TVM|6E624|15:10</t>
  </si>
  <si>
    <t>BOM|TVM|AI2605|06:30</t>
  </si>
  <si>
    <t>BOM|TVM|AI2655|17:35</t>
  </si>
  <si>
    <t>BOM|BHO|6E6128|07:30</t>
  </si>
  <si>
    <t>BOM|BHO|6E5131|15:50</t>
  </si>
  <si>
    <t>BOM|BHO|IX1798|11:20</t>
  </si>
  <si>
    <t>BOM|BHO|IX1787|13:10</t>
  </si>
  <si>
    <t>BOM|VNS|6E6543|07:50</t>
  </si>
  <si>
    <t>BOM|VNS|6E272|17:45</t>
  </si>
  <si>
    <t>BOM|VNS|QP1427|13:20</t>
  </si>
  <si>
    <t>BOM|VNS|QP1429|17:00</t>
  </si>
  <si>
    <t>BOM|VNS|IX1809|07:30</t>
  </si>
  <si>
    <t>BOM|VNS|IX1023|16:15</t>
  </si>
  <si>
    <t>BOM|IXL|6E802|07:35</t>
  </si>
  <si>
    <t>BOM|VGA|AI598|15:35</t>
  </si>
  <si>
    <t>BOM|VGA|6E5123|14:40</t>
  </si>
  <si>
    <t>BOM|TRZ|6E2016|13:35</t>
  </si>
  <si>
    <t>CCU|BBI|6E7623|07:50</t>
  </si>
  <si>
    <t>CCU|BBI|6E6214|14:25</t>
  </si>
  <si>
    <t>CCU|BBI|6E7583|18:30</t>
  </si>
  <si>
    <t>CCU|BBI|6E6717|18:35</t>
  </si>
  <si>
    <t>CCU|GOI|6E634|11:50</t>
  </si>
  <si>
    <t>CCU|GAU|6E271|06:05</t>
  </si>
  <si>
    <t>For All Flights departed between 00:01 TO 08:00 HRS</t>
  </si>
  <si>
    <t>CCU|GAU|6E7707|07:15</t>
  </si>
  <si>
    <t>CCU|GAU|6E212|09:00</t>
  </si>
  <si>
    <t>For All Flights departed between 08:01 TO 24:00 HRS</t>
  </si>
  <si>
    <t>CCU|GAU|6E127|11:30</t>
  </si>
  <si>
    <t>CCU|GAU|6E6344|16:15</t>
  </si>
  <si>
    <t>CCU|GAU|6E6663|19:25</t>
  </si>
  <si>
    <t>CCU|GAU|IX1517|07:20</t>
  </si>
  <si>
    <t>CCU|GAU|IX1514|11:50</t>
  </si>
  <si>
    <t>Applicable flights: IX-1514, IX-1519</t>
  </si>
  <si>
    <t>CCU|IDR|6E798|18:55</t>
  </si>
  <si>
    <t>CCU|IXB|6E6785|07:55</t>
  </si>
  <si>
    <t>CCU|IXB|6E751|12:40</t>
  </si>
  <si>
    <t>CCU|IXB|6E6134|16:30</t>
  </si>
  <si>
    <t>CCU|IXB|IX1248|07:45</t>
  </si>
  <si>
    <t>CCU|IXB|IX1256|12:45</t>
  </si>
  <si>
    <t>CCU|IXB|IX1996|18:20</t>
  </si>
  <si>
    <t>CCU|IXZ|6E345|08:50</t>
  </si>
  <si>
    <t>CCU|IXZ|IX2782|06:10</t>
  </si>
  <si>
    <t>CCU|IXZ|QP1925|10:40</t>
  </si>
  <si>
    <t>CCU|JAI|6E6185|07:05</t>
  </si>
  <si>
    <t>CCU|JAI|6E6851|11:15</t>
  </si>
  <si>
    <t>CCU|JAI|6E394|16:05</t>
  </si>
  <si>
    <t>CCU|LKO|6E6139|07:10</t>
  </si>
  <si>
    <t>CCU|LKO|6E856|18:00</t>
  </si>
  <si>
    <t>CCU|NAG|6E862|20:40</t>
  </si>
  <si>
    <t>CCU|PAT|6E713|10:45</t>
  </si>
  <si>
    <t>CCU|PAT|6E895|18:05</t>
  </si>
  <si>
    <t>CCU|IXR|6E7561|06:50</t>
  </si>
  <si>
    <t>CCU|IXR|6E7317|14:05</t>
  </si>
  <si>
    <t>CCU|IXR|6E7325|16:20</t>
  </si>
  <si>
    <t>CCU|IXR|6E7674|19:50</t>
  </si>
  <si>
    <t>CCU|RPR|6E139|09:25</t>
  </si>
  <si>
    <t>CCU|RPR|6E417|17:05</t>
  </si>
  <si>
    <t>CCU|RPR|6E7215|18:00</t>
  </si>
  <si>
    <t>CCU|IXC|6E874|11:40</t>
  </si>
  <si>
    <t>CCU|VTZ|6E616|17:45</t>
  </si>
  <si>
    <t>CCU|IMF|6E275|13:40</t>
  </si>
  <si>
    <t>CCU|VNS|6E822|07:10</t>
  </si>
  <si>
    <t>CCU|VNS|6E6501|14:15</t>
  </si>
  <si>
    <t>DEL|BBI|6E6073|05:00</t>
  </si>
  <si>
    <t>DEL|BBI|6E2296|09:20</t>
  </si>
  <si>
    <t>DEL|BBI|6E6130|12:55</t>
  </si>
  <si>
    <t>DEL|BBI|6E6292|20:20</t>
  </si>
  <si>
    <t>DEL|BBI|AI1747|07:10</t>
  </si>
  <si>
    <t>Applicable Flight 
(IX-2801, AI-0473, IX-1057, AI-1747)</t>
  </si>
  <si>
    <t>Rs 5 Air India flight surcharge; Rs 5 SS surcharge on all domestic shipments (AI Notation 1(iv))</t>
  </si>
  <si>
    <t>Flight ₹5 + SS ₹5</t>
  </si>
  <si>
    <t>DEL|BBI|AI1795|10:30</t>
  </si>
  <si>
    <t>Rs 2 Air India sector surcharge; Rs 5 SS surcharge on all domestic shipments (AI Notation 1(iv))</t>
  </si>
  <si>
    <t>Sector ₹2 + SS ₹5</t>
  </si>
  <si>
    <t>DEL|BBI|AI2575|10:30</t>
  </si>
  <si>
    <t>DEL|BBI|AI1744|17:50</t>
  </si>
  <si>
    <t>DEL|BBI|IX1057|05:25</t>
  </si>
  <si>
    <t>DEL|BBI|IX1783|07:20</t>
  </si>
  <si>
    <t>DEL|BBI|IX1059|12:15</t>
  </si>
  <si>
    <t>DEL|BBI|IX1003|19:10</t>
  </si>
  <si>
    <t>DEL|CJB|6E6804|05:10</t>
  </si>
  <si>
    <t>DEL|CJB|6E232|18:30</t>
  </si>
  <si>
    <t>DEL|CJB|AI1721|11:30</t>
  </si>
  <si>
    <t>Applicable Flight: AI-1721, AI-1753</t>
  </si>
  <si>
    <t>Rs 10 Air India flight surcharge; Rs 5 SS surcharge on all domestic shipments (AI Notation 1(iv))</t>
  </si>
  <si>
    <t>Flight ₹10 + SS ₹5</t>
  </si>
  <si>
    <t>DEL|CJB|AI1753|15:00</t>
  </si>
  <si>
    <t>DEL|COK|6E5303|05:55</t>
  </si>
  <si>
    <t>DEL|COK|6E6050|08:15</t>
  </si>
  <si>
    <t>DEL|COK|6E754|17:10</t>
  </si>
  <si>
    <t>DEL|COK|6E5001|17:10</t>
  </si>
  <si>
    <t>DEL|COK|AI1715|07:20</t>
  </si>
  <si>
    <t>Applicable Flight 
(AI-0420, AI-0833, AI-2529, AI-0821, AI-2515, AI-2688, AI-2683, AI-2795, AI-2947, AI-1715, AI-1763, IX-1812)</t>
  </si>
  <si>
    <t>Rs 10 Air India flight surcharge - Increase commercial surcharge from INR 5 to INR 10 per kg Effective 16-Jul to 31-Aug 2026 [validity ended 31-Aug-26 - confirm with airline]; Rs 5 SS surcharge on all domestic shipments (AI Notation 1(iv))</t>
  </si>
  <si>
    <t>Flight ₹10 (ended 31-Aug-26 - confirm) + SS ₹5</t>
  </si>
  <si>
    <t>DEL|COK|AI2458|12:10</t>
  </si>
  <si>
    <t>Rs 10 Air India sector surcharge - Increase commercial surcharge from INR 5 to INR 10 per kg Effective 16-Jul to 31-Aug 2026 [validity ended 31-Aug-26 - confirm with airline]; Rs 5 SS surcharge on all domestic shipments (AI Notation 1(iv))</t>
  </si>
  <si>
    <t>Sector ₹10 (ended 31-Aug-26 - confirm) + SS ₹5</t>
  </si>
  <si>
    <t>DEL|COK|AI2473|15:25</t>
  </si>
  <si>
    <t>DEL|COK|AI1738|17:00</t>
  </si>
  <si>
    <t>DEL|COK|AI2883|21:55</t>
  </si>
  <si>
    <t>DEL|COK|IX1811|06:50</t>
  </si>
  <si>
    <t>DEL|COK|IX1812|07:10</t>
  </si>
  <si>
    <t>DEL|COK|IX1815|19:05</t>
  </si>
  <si>
    <t>DEL|GOI|6E5341|05:10</t>
  </si>
  <si>
    <t>DEL|GOI|6E2277|10:25</t>
  </si>
  <si>
    <t>DEL|GOI|6E358|12:15</t>
  </si>
  <si>
    <t>DEL|GOI|6E357|19:30</t>
  </si>
  <si>
    <t>DEL|GOI|6E2235|19:30</t>
  </si>
  <si>
    <t>DEL|GOI|AI2627|10:45</t>
  </si>
  <si>
    <t>DEL|GOI|AI1712|13:15</t>
  </si>
  <si>
    <t>DEL|GOI|AI487|16:00</t>
  </si>
  <si>
    <t>DEL|GOI|IX1108|05:00</t>
  </si>
  <si>
    <t>DEL|GOI|IX1068|11:55</t>
  </si>
  <si>
    <t>DEL|GAU|6E2203|04:45</t>
  </si>
  <si>
    <t>DEL|GAU|6E5215|07:45</t>
  </si>
  <si>
    <t>DEL|GAU|6E5041|15:10</t>
  </si>
  <si>
    <t>DEL|GAU|6E6048|20:00</t>
  </si>
  <si>
    <t>DEL|GAU|AI879|06:40</t>
  </si>
  <si>
    <t>Applicable Flights
(IX-1193, AI-0879, IX-1032, IX-1035)</t>
  </si>
  <si>
    <t>Rs 3 Air India flight surcharge; Rs 5 SS surcharge on all domestic shipments (AI Notation 1(iv))</t>
  </si>
  <si>
    <t>Flight ₹3 + SS ₹5</t>
  </si>
  <si>
    <t>DEL|GAU|AI2947|14:30</t>
  </si>
  <si>
    <t>Rs 3 Air India sector surcharge; Rs 5 SS surcharge on all domestic shipments (AI Notation 1(iv))</t>
  </si>
  <si>
    <t>Sector ₹3 + SS ₹5</t>
  </si>
  <si>
    <t>DEL|GAU|IX1032|05:45</t>
  </si>
  <si>
    <t>DEL|GAU|IX1035|08:10</t>
  </si>
  <si>
    <t>DEL|GAU|IX1069|11:35</t>
  </si>
  <si>
    <t>DEL|GAU|IX1085|12:55</t>
  </si>
  <si>
    <t>DEL|GAU|IX1041|18:10</t>
  </si>
  <si>
    <t>DEL|GAU|IX1063|20:00</t>
  </si>
  <si>
    <t>DEL|IDR|6E6490|04:55</t>
  </si>
  <si>
    <t>DEL|IDR|6E6488|11:20</t>
  </si>
  <si>
    <t>DEL|IDR|6E6829|17:20</t>
  </si>
  <si>
    <t>DEL|IDR|6E184|19:40</t>
  </si>
  <si>
    <t>DEL|IDR|6E2169|19:40</t>
  </si>
  <si>
    <t>DEL|IDR|AI1725|05:20</t>
  </si>
  <si>
    <t>Applicable Flight 
(AI-2913, AI-1725, IX-1228)</t>
  </si>
  <si>
    <t>DEL|IDR|AI2515|12:10</t>
  </si>
  <si>
    <t>DEL|IDR|AI1780|14:30</t>
  </si>
  <si>
    <t>DEL|IDR|AI1716|18:40</t>
  </si>
  <si>
    <t>DEL|IDR|AI2565|18:40</t>
  </si>
  <si>
    <t>DEL|IDR|IX1090|13:10</t>
  </si>
  <si>
    <t>DEL|IDR|IX1228|16:40</t>
  </si>
  <si>
    <t>DEL|IXB|6E6124|07:30</t>
  </si>
  <si>
    <t>DEL|IXB|6E5307|10:50</t>
  </si>
  <si>
    <t>DEL|IXB|6E6378|14:40</t>
  </si>
  <si>
    <t>DEL|IXB|6E2403|16:55</t>
  </si>
  <si>
    <t>DEL|IXB|IX1067|06:10</t>
  </si>
  <si>
    <t>DEL|IXB|IX1001|09:00</t>
  </si>
  <si>
    <t>DEL|IXB|IX2457|11:30</t>
  </si>
  <si>
    <t>DEL|IXB|IX1081|14:55</t>
  </si>
  <si>
    <t>DEL|IXB|IX1179|17:10</t>
  </si>
  <si>
    <t>DEL|IXB|QP1807|13:40</t>
  </si>
  <si>
    <t>DEL|IXM|6E2364|04:50</t>
  </si>
  <si>
    <t>DEL|IXZ|AI2937|07:20</t>
  </si>
  <si>
    <t>Rs 20 Air India sector surcharge; Rs 5 SS surcharge on all domestic shipments (AI Notation 1(iv))</t>
  </si>
  <si>
    <t>Sector ₹20 + SS ₹5</t>
  </si>
  <si>
    <t>DEL|JAI|6E6190|07:40</t>
  </si>
  <si>
    <t>DEL|JAI|6E2037|11:10</t>
  </si>
  <si>
    <t>DEL|JAI|6E5033|15:50</t>
  </si>
  <si>
    <t>DEL|JAI|6E6131|20:20</t>
  </si>
  <si>
    <t>DEL|JAI|AI1767|07:20</t>
  </si>
  <si>
    <t>DEL|JAI|AI429|10:20</t>
  </si>
  <si>
    <t>DEL|JAI|AI1719|11:55</t>
  </si>
  <si>
    <t>DEL|JAI|AI2761|16:25</t>
  </si>
  <si>
    <t>DEL|JAI|AI442|20:00</t>
  </si>
  <si>
    <t>DEL|LKO|6E6476|07:20</t>
  </si>
  <si>
    <t>DEL|LKO|6E2319|09:55</t>
  </si>
  <si>
    <t>DEL|LKO|6E2147|11:10</t>
  </si>
  <si>
    <t>DEL|LKO|6E5206|13:20</t>
  </si>
  <si>
    <t>DEL|LKO|6E2331|14:55</t>
  </si>
  <si>
    <t>DEL|LKO|6E2176|16:35</t>
  </si>
  <si>
    <t>DEL|LKO|6E6440|16:40</t>
  </si>
  <si>
    <t>DEL|LKO|6E5161|18:20</t>
  </si>
  <si>
    <t>DEL|LKO|6E2151|19:45</t>
  </si>
  <si>
    <t>DEL|LKO|6E6479|21:25</t>
  </si>
  <si>
    <t>DEL|LKO|AI2499|06:00</t>
  </si>
  <si>
    <t>DEL|LKO|AI2763|13:55</t>
  </si>
  <si>
    <t>DEL|LKO|AI1710|18:35</t>
  </si>
  <si>
    <t>DEL|LKO|AI1720|20:30</t>
  </si>
  <si>
    <t>DEL|LKO|IX1617|11:50</t>
  </si>
  <si>
    <t>DEL|LKO|IX1392|23:25</t>
  </si>
  <si>
    <t>DEL|NAG|6E6018|04:40</t>
  </si>
  <si>
    <t>DEL|NAG|6E6443|09:00</t>
  </si>
  <si>
    <t>DEL|NAG|6E6433|16:30</t>
  </si>
  <si>
    <t>DEL|NAG|6E2032|18:55</t>
  </si>
  <si>
    <t>DEL|NAG|6E6265|19:00</t>
  </si>
  <si>
    <t>DEL|NAG|6E6435|21:10</t>
  </si>
  <si>
    <t>DEL|NAG|AI415|12:40</t>
  </si>
  <si>
    <t>DEL|NAG|AI465|16:20</t>
  </si>
  <si>
    <t>DEL|PAT|6E6245|06:20</t>
  </si>
  <si>
    <t>DEL|PAT|6E2769|08:15</t>
  </si>
  <si>
    <t>DEL|PAT|6E2373|11:10</t>
  </si>
  <si>
    <t>DEL|PAT|6E2453|13:35</t>
  </si>
  <si>
    <t>DEL|PAT|6E6236|16:20</t>
  </si>
  <si>
    <t>DEL|PAT|6E6497|18:45</t>
  </si>
  <si>
    <t>DEL|PAT|6E2482|19:55</t>
  </si>
  <si>
    <t>DEL|PAT|AI1749|08:00</t>
  </si>
  <si>
    <t>Rs 8 Air India sector surcharge; Rs 5 SS surcharge on all domestic shipments (AI Notation 1(iv))</t>
  </si>
  <si>
    <t>Sector ₹8 + SS ₹5</t>
  </si>
  <si>
    <t>DEL|PAT|AI2523|10:45</t>
  </si>
  <si>
    <t>DEL|PAT|AI2645|13:05</t>
  </si>
  <si>
    <t>DEL|PAT|AI1746|16:45</t>
  </si>
  <si>
    <t>DEL|PAT|SG473|19:00</t>
  </si>
  <si>
    <t>DEL|PAT|SG2473|19:45</t>
  </si>
  <si>
    <t>DEL|PAT|IX1346|05:35</t>
  </si>
  <si>
    <t>DEL|PAT|IX1510|11:15</t>
  </si>
  <si>
    <t>DEL|PAT|IX1197|19:05</t>
  </si>
  <si>
    <t>DEL|IXR|6E6370|06:40</t>
  </si>
  <si>
    <t>DEL|IXR|6E2259|12:20</t>
  </si>
  <si>
    <t>DEL|IXR|6E2614|14:40</t>
  </si>
  <si>
    <t>DEL|IXR|6E5023|18:10</t>
  </si>
  <si>
    <t>DEL|IXR|IX1046|07:05</t>
  </si>
  <si>
    <t>Applicable Flight: (IX-1116, IX-1046)</t>
  </si>
  <si>
    <t>DEL|IXR|IX2378|09:25</t>
  </si>
  <si>
    <t>DEL|IXR|IX1054|12:25</t>
  </si>
  <si>
    <t>DEL|IXR|IX1051|18:10</t>
  </si>
  <si>
    <t>DEL|RPR|6E2345|05:55</t>
  </si>
  <si>
    <t>DEL|RPR|6E6459|05:55</t>
  </si>
  <si>
    <t>DEL|RPR|6E6312|14:25</t>
  </si>
  <si>
    <t>DEL|RPR|6E734|16:20</t>
  </si>
  <si>
    <t>DEL|RPR|6E5138|19:10</t>
  </si>
  <si>
    <t>DEL|RPR|AI1729|06:30</t>
  </si>
  <si>
    <t>Applicable Flight 
(AI-2793, AI-1729)</t>
  </si>
  <si>
    <t>Rs 8 Air India flight surcharge; Rs 5 SS surcharge on all domestic shipments (AI Notation 1(iv))</t>
  </si>
  <si>
    <t>Flight ₹8 + SS ₹5</t>
  </si>
  <si>
    <t>DEL|RPR|AI1718|17:55</t>
  </si>
  <si>
    <t>DEL|IXC|6E6050|08:15</t>
  </si>
  <si>
    <t>DEL|IXC|6E5038|14:00</t>
  </si>
  <si>
    <t>DEL|IXC|6E2037|17:45</t>
  </si>
  <si>
    <t>DEL|IXC|6E6632|17:50</t>
  </si>
  <si>
    <t>DEL|IXC|AI1743|06:15</t>
  </si>
  <si>
    <t>DEL|IXC|AI2532|11:20</t>
  </si>
  <si>
    <t>DEL|IXC|AI2706|14:10</t>
  </si>
  <si>
    <t>DEL|IXC|AI2601|17:00</t>
  </si>
  <si>
    <t>DEL|IXC|AI1742|20:00</t>
  </si>
  <si>
    <t>DEL|UDR|6E6376|10:45</t>
  </si>
  <si>
    <t>DEL|UDR|6E2021|12:10</t>
  </si>
  <si>
    <t>DEL|UDR|6E6228|18:10</t>
  </si>
  <si>
    <t>DEL|UDR|AI1737|11:50</t>
  </si>
  <si>
    <t>DEL|UDR|AI2557|11:50</t>
  </si>
  <si>
    <t>DEL|UDR|AI1779|13:45</t>
  </si>
  <si>
    <t>DEL|SXR|6E2044|07:40</t>
  </si>
  <si>
    <t>DEL|SXR|6E5120|08:25</t>
  </si>
  <si>
    <t>DEL|SXR|6E5339|09:45</t>
  </si>
  <si>
    <t>DEL|SXR|6E6132|11:20</t>
  </si>
  <si>
    <t>DEL|SXR|6E2496|12:40</t>
  </si>
  <si>
    <t>DEL|SXR|6E2747|13:40</t>
  </si>
  <si>
    <t>DEL|SXR|6E2248|14:15</t>
  </si>
  <si>
    <t>DEL|SXR|AI1799|06:40</t>
  </si>
  <si>
    <t>DEL|SXR|AI2456|07:35</t>
  </si>
  <si>
    <t>DEL|SXR|AI1792|09:50</t>
  </si>
  <si>
    <t>DEL|SXR|AI1739|11:30</t>
  </si>
  <si>
    <t>DEL|SXR|SG709|08:35</t>
  </si>
  <si>
    <t>DEL|SXR|SG253|11:00</t>
  </si>
  <si>
    <t>DEL|SXR|SG980|11:30</t>
  </si>
  <si>
    <t>DEL|SXR|IX1012|06:40</t>
  </si>
  <si>
    <t>DEL|SXR|IX1980|10:15</t>
  </si>
  <si>
    <t>DEL|SXR|IX1017|14:30</t>
  </si>
  <si>
    <t>DEL|IXJ|6E6474|07:20</t>
  </si>
  <si>
    <t>DEL|IXJ|6E6092|08:00</t>
  </si>
  <si>
    <t>DEL|IXJ|6E6010|11:20</t>
  </si>
  <si>
    <t>DEL|IXJ|6E6384|16:15</t>
  </si>
  <si>
    <t>DEL|IXJ|6E5161|18:20</t>
  </si>
  <si>
    <t>DEL|IXJ|SG2160|07:40</t>
  </si>
  <si>
    <t>DEL|IXJ|IX1074|10:55</t>
  </si>
  <si>
    <t>DEL|IXJ|IX1390|16:10</t>
  </si>
  <si>
    <t>DEL|TVM|6E772|20:10</t>
  </si>
  <si>
    <t>DEL|TVM|AI2555|07:10</t>
  </si>
  <si>
    <t>DEL|TVM|AI2747|07:10</t>
  </si>
  <si>
    <t>DEL|TVM|AI2611|13:10</t>
  </si>
  <si>
    <t>DEL|TVM|AI2563|15:30</t>
  </si>
  <si>
    <t>DEL|TVM|AI2725|15:30</t>
  </si>
  <si>
    <t>DEL|TVM|AI829|22:55</t>
  </si>
  <si>
    <t>DEL|VTZ|6E6425|05:10</t>
  </si>
  <si>
    <t>DEL|VTZ|6E2213|19:50</t>
  </si>
  <si>
    <t>DEL|VTZ|AI419|13:35</t>
  </si>
  <si>
    <t>DEL|VTZ|AI1702|18:30</t>
  </si>
  <si>
    <t>DEL|IMF|6E6211|09:10</t>
  </si>
  <si>
    <t>DEL|IMF|6E5118|10:30</t>
  </si>
  <si>
    <t>DEL|IMF|IX1461|05:35</t>
  </si>
  <si>
    <t>DEL|BHO|AI1705|06:30</t>
  </si>
  <si>
    <t>DEL|BHO|6E6569|05:00</t>
  </si>
  <si>
    <t>DEL|BHO|6E2249|15:00</t>
  </si>
  <si>
    <t>DEL|BHO|6E6273|19:10</t>
  </si>
  <si>
    <t>DEL|BHO|IX1789|10:40</t>
  </si>
  <si>
    <t>DEL|BHO|IX1791|15:05</t>
  </si>
  <si>
    <t>DEL|VNS|6E6246|05:25</t>
  </si>
  <si>
    <t>DEL|VNS|6E5025|10:25</t>
  </si>
  <si>
    <t>DEL|VNS|6E2361|14:35</t>
  </si>
  <si>
    <t>DEL|VNS|6E6179|19:00</t>
  </si>
  <si>
    <t>DEL|VNS|AI2717|06:55</t>
  </si>
  <si>
    <t>DEL|VNS|AI2623|13:35</t>
  </si>
  <si>
    <t>DEL|VNS|IX2146|06:20</t>
  </si>
  <si>
    <t>DEL|VNS|IX1251|18:00</t>
  </si>
  <si>
    <t>DEL|IXL|AI2479|04:55</t>
  </si>
  <si>
    <t>DEL|IXL|AI2463|07:05</t>
  </si>
  <si>
    <t>DEL|IXL|AI2461|07:50</t>
  </si>
  <si>
    <t>DEL|IXL|AI2454|08:00</t>
  </si>
  <si>
    <t>DEL|IXL|SG127|04:50</t>
  </si>
  <si>
    <t>DEL|IXL|SG121|06:10</t>
  </si>
  <si>
    <t>DEL|IXL|SG125|08:45</t>
  </si>
  <si>
    <t>DEL|IXL|SG123|10:25</t>
  </si>
  <si>
    <t>DEL|IXL|6E6004|05:30</t>
  </si>
  <si>
    <t>DEL|IXL|6E2006|06:20</t>
  </si>
  <si>
    <t>DEL|IXL|6E6448|09:20</t>
  </si>
  <si>
    <t>DEL|IXL|6E6084|10:45</t>
  </si>
  <si>
    <t>DEL|IXL|6E6350|11:30</t>
  </si>
  <si>
    <t>DEL|IXL|6E6429|11:45</t>
  </si>
  <si>
    <t>DEL|VGA|AI2571|05:45</t>
  </si>
  <si>
    <t>Rs 5 Air India sector surcharge; Rs 5 SS surcharge on all domestic shipments (AI Notation 1(iv))</t>
  </si>
  <si>
    <t>Sector ₹5 + SS ₹5</t>
  </si>
  <si>
    <t>DEL|VGA|AI2903|17:40</t>
  </si>
  <si>
    <t>DEL|VGA|6E6446|07:30</t>
  </si>
  <si>
    <t>DEL|TRZ|6E769|15:45</t>
  </si>
  <si>
    <t>HYD|BBI|6E6242|07:25</t>
  </si>
  <si>
    <t>HYD|BBI|6E6911|11:05</t>
  </si>
  <si>
    <t>HYD|BBI|6E922|19:15</t>
  </si>
  <si>
    <t>HYD|CJB|6E6646|07:20</t>
  </si>
  <si>
    <t>HYD|CJB|6E468|10:10</t>
  </si>
  <si>
    <t>HYD|CJB|6E6424|14:10</t>
  </si>
  <si>
    <t>HYD|CJB|6E6308|18:10</t>
  </si>
  <si>
    <t>HYD|COK|6E752|07:20</t>
  </si>
  <si>
    <t>HYD|COK|6E6707|09:55</t>
  </si>
  <si>
    <t>HYD|COK|6E6099|12:35</t>
  </si>
  <si>
    <t>HYD|COK|6E6682|13:55</t>
  </si>
  <si>
    <t>HYD|COK|6E6234|16:05</t>
  </si>
  <si>
    <t>HYD|GOI|6E362|11:20</t>
  </si>
  <si>
    <t>HYD|GOI|6E121|15:35</t>
  </si>
  <si>
    <t>HYD|GOI|6E6329|18:20</t>
  </si>
  <si>
    <t>HYD|GOI|6E984|19:40</t>
  </si>
  <si>
    <t>HYD|GAU|6E972|05:30</t>
  </si>
  <si>
    <t>HYD|GAU|6E567|17:35</t>
  </si>
  <si>
    <t>HYD|IDR|6E6915|14:20</t>
  </si>
  <si>
    <t>HYD|IDR|6E621|20:25</t>
  </si>
  <si>
    <t>HYD|IXB|6E6872|08:15</t>
  </si>
  <si>
    <t>HYD|IXB|IX2746|15:05</t>
  </si>
  <si>
    <t>HYD|IXM|6E6781|15:00</t>
  </si>
  <si>
    <t>HYD|JAI|6E815|05:55</t>
  </si>
  <si>
    <t>HYD|JAI|6E913|11:50</t>
  </si>
  <si>
    <t>HYD|JAI|6E6638|19:30</t>
  </si>
  <si>
    <t>HYD|LKO|6E179|07:15</t>
  </si>
  <si>
    <t>HYD|LKO|6E6167|18:05</t>
  </si>
  <si>
    <t>HYD|NAG|6E7452|06:00</t>
  </si>
  <si>
    <t>HYD|NAG|6E7543|18:25</t>
  </si>
  <si>
    <t>HYD|PAT|6E6207|05:45</t>
  </si>
  <si>
    <t>HYD|PAT|6E6719|08:30</t>
  </si>
  <si>
    <t>HYD|PAT|6E6223|15:25</t>
  </si>
  <si>
    <t>HYD|PAT|6E2185|19:05</t>
  </si>
  <si>
    <t>HYD|IXR|6E421|09:15</t>
  </si>
  <si>
    <t>HYD|IXR|6E186|18:35</t>
  </si>
  <si>
    <t>HYD|RPR|6E7554|06:50</t>
  </si>
  <si>
    <t>HYD|RPR|6E6291|09:20</t>
  </si>
  <si>
    <t>HYD|RPR|6E7248|18:00</t>
  </si>
  <si>
    <t>HYD|IXC|6E108|13:20</t>
  </si>
  <si>
    <t>HYD|IXC|6E6252|19:40</t>
  </si>
  <si>
    <t>HYD|UDR|6E6323|07:50</t>
  </si>
  <si>
    <t>HYD|SXR|6E6409|12:15</t>
  </si>
  <si>
    <t>HYD|TVM|6E5278|06:10</t>
  </si>
  <si>
    <t>HYD|TVM|6E5381|21:50</t>
  </si>
  <si>
    <t>HYD|VTZ|6E6408|07:15</t>
  </si>
  <si>
    <t>HYD|VTZ|6E714|08:45</t>
  </si>
  <si>
    <t>HYD|VTZ|6E879|11:10</t>
  </si>
  <si>
    <t>HYD|VTZ|6E409|13:10</t>
  </si>
  <si>
    <t>HYD|VTZ|6E504|14:35</t>
  </si>
  <si>
    <t>HYD|VTZ|6E208|17:25</t>
  </si>
  <si>
    <t>HYD|VTZ|6E384|19:25</t>
  </si>
  <si>
    <t>HYD|VTZ|IX2082|06:50</t>
  </si>
  <si>
    <t>HYD|VTZ|IX2837|07:00</t>
  </si>
  <si>
    <t>HYD|VTZ|IX2925|12:45</t>
  </si>
  <si>
    <t>HYD|VTZ|IX2819|14:30</t>
  </si>
  <si>
    <t>HYD|BHO|6E7121|12:25</t>
  </si>
  <si>
    <t>HYD|VNS|6E392|09:15</t>
  </si>
  <si>
    <t>HYD|VNS|6E501|16:15</t>
  </si>
  <si>
    <t>HYD|VGA|6E7201|06:15</t>
  </si>
  <si>
    <t>HYD|VGA|6E7208|09:05</t>
  </si>
  <si>
    <t>HYD|VGA|6E6574|12:05</t>
  </si>
  <si>
    <t>HYD|VGA|6E7283|19:20</t>
  </si>
  <si>
    <t>HYD|VGA|IX2743|18:40</t>
  </si>
  <si>
    <t>HYD|TRZ|6E2073|15:30</t>
  </si>
  <si>
    <t>MAA|BBI|6E143|17:15</t>
  </si>
  <si>
    <t>MAA|BBI|6E288|06:05</t>
  </si>
  <si>
    <t>MAA|CJB|6E479|09:55</t>
  </si>
  <si>
    <t>MAA|CJB|6E447|12:25</t>
  </si>
  <si>
    <t>MAA|CJB|6E881|14:15</t>
  </si>
  <si>
    <t>MAA|CJB|6E726|18:20</t>
  </si>
  <si>
    <t>MAA|CJB|6E6812|20:00</t>
  </si>
  <si>
    <t>MAA|CJB|6E731|21:05</t>
  </si>
  <si>
    <t>MAA|COK|6E5394|08:00</t>
  </si>
  <si>
    <t>MAA|COK|6E597|11:15</t>
  </si>
  <si>
    <t>MAA|COK|6E927|12:10</t>
  </si>
  <si>
    <t>MAA|COK|6E6903|19:50</t>
  </si>
  <si>
    <t>MAA|COK|6E156|21:40</t>
  </si>
  <si>
    <t>MAA|GOI|6E588|17:40</t>
  </si>
  <si>
    <t>MAA|GAU|6E6771|04:55</t>
  </si>
  <si>
    <t>MAA|GAU|6E6011|15:50</t>
  </si>
  <si>
    <t>MAA|GAU|IX1354|14:40</t>
  </si>
  <si>
    <t>MAA|IDR|6E991|09:30</t>
  </si>
  <si>
    <t>MAA|IDR|6E489|18:15</t>
  </si>
  <si>
    <t>MAA|IXB|6E6518|12:15</t>
  </si>
  <si>
    <t>MAA|IXM|6E7183|06:50</t>
  </si>
  <si>
    <t>MAA|IXM|6E7515|14:25</t>
  </si>
  <si>
    <t>MAA|IXM|6E7592|20:45</t>
  </si>
  <si>
    <t>MAA|IXM|AI2739|11:50</t>
  </si>
  <si>
    <t>MAA|IXZ|6E845|10:45</t>
  </si>
  <si>
    <t>MAA|IXZ|QP1145|07:40</t>
  </si>
  <si>
    <t>MAA|JAI|6E6381|19:00</t>
  </si>
  <si>
    <t>MAA|LKO|6E515|12:30</t>
  </si>
  <si>
    <t>MAA|PAT|6E539|11:25</t>
  </si>
  <si>
    <t>MAA|IXR|6E6113|17:00</t>
  </si>
  <si>
    <t>MAA|RPR|6E6797|13:10</t>
  </si>
  <si>
    <t>MAA|IXC|6E6005|15:45</t>
  </si>
  <si>
    <t>MAA|TVM|6E6001|07:15</t>
  </si>
  <si>
    <t>MAA|TVM|6E927|12:10</t>
  </si>
  <si>
    <t>MAA|TVM|6E6149|19:10</t>
  </si>
  <si>
    <t>MAA|VTZ|6E6181|10:15</t>
  </si>
  <si>
    <t>MAA|VTZ|6E2698|16:30</t>
  </si>
  <si>
    <t>MAA|VNS|6E401|08:10</t>
  </si>
  <si>
    <t>MAA|VGA|6E7084|07:35</t>
  </si>
  <si>
    <t>MAA|VGA|6E7291|14:10</t>
  </si>
  <si>
    <t>MAA|TRZ|6E7298|07:10</t>
  </si>
  <si>
    <t>MAA|TRZ|6E7191|09:30</t>
  </si>
  <si>
    <t>MAA|TRZ|6E7028|12:40</t>
  </si>
  <si>
    <t>MAA|TRZ|6E7199|15:05</t>
  </si>
  <si>
    <t>MAA|TRZ|6E7238|18:25</t>
  </si>
  <si>
    <t>MAA|TRZ|6E7051|20:20</t>
  </si>
  <si>
    <t>PNQ|BBI|IX1098|21:15</t>
  </si>
  <si>
    <t>PNQ|CJB|6E6472|04:00</t>
  </si>
  <si>
    <t>PNQ|COK|6E6129|03:05</t>
  </si>
  <si>
    <t>PNQ|COK|IX2739|01:35</t>
  </si>
  <si>
    <t>PNQ|GOI|6E367|13:55</t>
  </si>
  <si>
    <t>PNQ|GAU|6E623|02:50</t>
  </si>
  <si>
    <t>PNQ|IDR|6E119|01:10</t>
  </si>
  <si>
    <t>PNQ|IDR|6E284|05:20</t>
  </si>
  <si>
    <t>PNQ|IDR|6E6191|14:00</t>
  </si>
  <si>
    <t>PNQ|IDR|IX1236|08:10</t>
  </si>
  <si>
    <t>PNQ|IXB|IX1249|13:15</t>
  </si>
  <si>
    <t>PNQ|JAI|6E6117|23:30</t>
  </si>
  <si>
    <t>PNQ|JAI|IX2458|15:00</t>
  </si>
  <si>
    <t>PNQ|LKO|6E338|00:10</t>
  </si>
  <si>
    <t>PNQ|LKO|IX1618|16:35</t>
  </si>
  <si>
    <t>PNQ|NAG|6E2447|05:10</t>
  </si>
  <si>
    <t>PNQ|NAG|6E2481|13:45</t>
  </si>
  <si>
    <t>PNQ|NAG|6E6798|23:55</t>
  </si>
  <si>
    <t>PNQ|PAT|6E653|23:40</t>
  </si>
  <si>
    <t>PNQ|PAT|6E2184|18:40</t>
  </si>
  <si>
    <t>PNQ|IXR|6E6484|05:50</t>
  </si>
  <si>
    <t>PNQ|RPR|6E6905|17:40</t>
  </si>
  <si>
    <t>PNQ|IXC|6E242|03:00</t>
  </si>
  <si>
    <t>PNQ|IXC|IX1686|03:45</t>
  </si>
  <si>
    <t>PNQ|BHO|6E254|01:00</t>
  </si>
  <si>
    <t>PNQ|VNS|6E672|16:45</t>
  </si>
  <si>
    <t>BLR|GAU|6E457|05:15</t>
  </si>
  <si>
    <t>BLR|GAU|6E6774|16:25</t>
  </si>
  <si>
    <t>BLR|GAU|IX2881|05:50</t>
  </si>
  <si>
    <t>BLR|GAU|IX2931|08:25</t>
  </si>
  <si>
    <t>BLR|GAU|IX2945|16:35</t>
  </si>
  <si>
    <t>BLR|GAU|QP1372|05:25</t>
  </si>
  <si>
    <t>BLR|GAU|QP1323|09:45</t>
  </si>
  <si>
    <t>AMD|BOM|6E6205|01:15</t>
  </si>
  <si>
    <t>AMD|BOM|6E6285|04:00</t>
  </si>
  <si>
    <t>AMD|BOM|6E5146|08:05</t>
  </si>
  <si>
    <t>AMD|BOM|6E6468|09:00</t>
  </si>
  <si>
    <t>AMD|BOM|6E5078|10:55</t>
  </si>
  <si>
    <t>AMD|BOM|6E5139|17:05</t>
  </si>
  <si>
    <t>AMD|BOM|6E5160|19:35</t>
  </si>
  <si>
    <t>AMD|BOM|6E868|21:25</t>
  </si>
  <si>
    <t>AMD|BOM|6E6351|23:15</t>
  </si>
  <si>
    <t>AMD|BOM|AI2918|06:00</t>
  </si>
  <si>
    <t>Rs 5 SS surcharge on all domestic shipments (AI Notation 1(iv)); Rs 6 Additional surcharge India to BOM (AI Notation 1(viii))</t>
  </si>
  <si>
    <t>SS ₹5 + To-BOM ₹6</t>
  </si>
  <si>
    <t>AMD|BOM|AI2848|12:00</t>
  </si>
  <si>
    <t>AMD|BOM|AI2494|21:00</t>
  </si>
  <si>
    <t>AMD|BOM|QP1194|04:45</t>
  </si>
  <si>
    <t>AMD|BOM|QP1102|10:20</t>
  </si>
  <si>
    <t>AMD|BOM|QP1104|22:40</t>
  </si>
  <si>
    <t>AMD|BOM|IX2387|15:55</t>
  </si>
  <si>
    <t>AMD|BLR|6E823|08:20</t>
  </si>
  <si>
    <t>Except for 6E 6422</t>
  </si>
  <si>
    <t>AMD|BLR|6E863|16:55</t>
  </si>
  <si>
    <t>AMD|BLR|6E481|19:45</t>
  </si>
  <si>
    <t>AMD|BLR|6E996|23:00</t>
  </si>
  <si>
    <t>AMD|BLR|QP1901|04:50</t>
  </si>
  <si>
    <t>AMD|BLR|IX1508|13:35</t>
  </si>
  <si>
    <t>AMD|DEL|6E5385|00:05</t>
  </si>
  <si>
    <t>For All Flights departed between 06:31 TO 01:00 HRS</t>
  </si>
  <si>
    <t>AMD|DEL|6E2209|05:00</t>
  </si>
  <si>
    <t>For All Flights departed between 01:01 TO 06:30 HRS</t>
  </si>
  <si>
    <t>AMD|DEL|6E983|07:30</t>
  </si>
  <si>
    <t>AMD|DEL|6E2179|09:50</t>
  </si>
  <si>
    <t>AMD|DEL|6E2340|12:15</t>
  </si>
  <si>
    <t>AMD|DEL|6E396|0</t>
  </si>
  <si>
    <t>CHECK</t>
  </si>
  <si>
    <t>Departure time '0' in schedule is not a valid time - can't pick the time-based rate</t>
  </si>
  <si>
    <t>AMD|DEL|6E5072|14:35</t>
  </si>
  <si>
    <t>AMD|DEL|6E980|17:05</t>
  </si>
  <si>
    <t>AMD|DEL|6E2263|19:25</t>
  </si>
  <si>
    <t>AMD|DEL|6E932|21:50</t>
  </si>
  <si>
    <t>AMD|DEL|AI2906|06:25</t>
  </si>
  <si>
    <t>Applicable Flights 01:00 to 08:00 Hours
(AI-2906)</t>
  </si>
  <si>
    <t>Rs 5 Air India flight surcharge - Increase Commercial Surcharge from INR 3 to INR 5 per kg Effective 21-Jul-26 till 31-Aug-26 (Flight Number AI-2906) [validity ended 31-Aug-26 - confirm with airline]; Rs 5 SS surcharge on all domestic shipments (AI Notation 1(iv))</t>
  </si>
  <si>
    <t>Flight ₹5 (ended 31-Aug-26 - confirm) + SS ₹5</t>
  </si>
  <si>
    <t>AMD|DEL|AI818|08:25</t>
  </si>
  <si>
    <t>Applicable Flights 01:00 to 08:00 Hours
(AI-0818)</t>
  </si>
  <si>
    <t>AMD|DEL|AI2946|09:30</t>
  </si>
  <si>
    <t>Applicable Flight (AI-2946)</t>
  </si>
  <si>
    <t>AMD|DEL|AI424|12:30</t>
  </si>
  <si>
    <t>AMD|DEL|AI2716|14:00</t>
  </si>
  <si>
    <t>AMD|DEL|AI882|15:55</t>
  </si>
  <si>
    <t>AMD|DEL|AI2482|17:20</t>
  </si>
  <si>
    <t>AMD|DEL|AI2938|18:55</t>
  </si>
  <si>
    <t>AMD|DEL|AI810|20:15</t>
  </si>
  <si>
    <t>AMD|DEL|AI532|21:30</t>
  </si>
  <si>
    <t>AMD|DEL|AI2546|23:00</t>
  </si>
  <si>
    <t>AMD|CCU|6E751|09:20</t>
  </si>
  <si>
    <t>For All Flights departed between 08:01 TO 23:59 HRS</t>
  </si>
  <si>
    <t>AMD|CCU|6E6556|17:25</t>
  </si>
  <si>
    <t>AMD|CCU|6E6556|17:10</t>
  </si>
  <si>
    <t>AMD|CCU|6E319|22:00</t>
  </si>
  <si>
    <t>AMD|HYD|6E5208|06:20</t>
  </si>
  <si>
    <t>For All Flights departed between 00:00 TO 09:00 HRS</t>
  </si>
  <si>
    <t>AMD|HYD|6E879|08:30</t>
  </si>
  <si>
    <t>AMD|HYD|6E6098|15:00</t>
  </si>
  <si>
    <t>For All Flights departed between 09:01 TO 23:59 HRS</t>
  </si>
  <si>
    <t>AMD|HYD|6E6728|20:55</t>
  </si>
  <si>
    <t>AMD|PNQ|6E699|02:40</t>
  </si>
  <si>
    <t>Except for 6E 2154</t>
  </si>
  <si>
    <t>AMD|PNQ|6E2154|06:40</t>
  </si>
  <si>
    <t>Applicable for 6E 2154</t>
  </si>
  <si>
    <t>AMD|PNQ|6E522|13:55</t>
  </si>
  <si>
    <t>AMD|PNQ|6E794|20:45</t>
  </si>
  <si>
    <t>AMD|PNQ|QP1911|05:45</t>
  </si>
  <si>
    <t>AMD|PNQ|QP1917|20:40</t>
  </si>
  <si>
    <t>AMD|MAA|6E479|06:50</t>
  </si>
  <si>
    <t>For All Flights departed between 00:01 TO 11:00 HRS</t>
  </si>
  <si>
    <t>AMD|MAA|6E6539|16:50</t>
  </si>
  <si>
    <t>For All Flights departed between 11:01 TO 23:59 HRS</t>
  </si>
  <si>
    <t>AMD|MAA|6E348|21:45</t>
  </si>
  <si>
    <t>AMD|MAA|QP1319|11:00</t>
  </si>
  <si>
    <t>BOM|AMD|6E911|01:30</t>
  </si>
  <si>
    <t>All Flights Except 6E632 &amp; 6E446</t>
  </si>
  <si>
    <t>BOM|AMD|6E632|04:00</t>
  </si>
  <si>
    <t>Applicable for 6E632 &amp; 6E446</t>
  </si>
  <si>
    <t>BOM|AMD|6E5144|05:55</t>
  </si>
  <si>
    <t>BOM|AMD|6E2347|08:50</t>
  </si>
  <si>
    <t>BOM|AMD|6E5201|14:55</t>
  </si>
  <si>
    <t>BOM|AMD|6E2237|18:40</t>
  </si>
  <si>
    <t>BOM|AMD|6E5107|20:00</t>
  </si>
  <si>
    <t>BOM|AMD|6E5283|21:50</t>
  </si>
  <si>
    <t>BOM|AMD|6E5152|23:10</t>
  </si>
  <si>
    <t>BOM|AMD|AI2847|10:20</t>
  </si>
  <si>
    <t>BOM|AMD|AI2847|09:20</t>
  </si>
  <si>
    <t>BOM|AMD|AI2493|18:05</t>
  </si>
  <si>
    <t>BOM|AMD|AI2919|21:35</t>
  </si>
  <si>
    <t>BOM|AMD|AI2823|22:45</t>
  </si>
  <si>
    <t>BOM|AMD|QP1195|19:20</t>
  </si>
  <si>
    <t>BOM|BLR|6E5323|01:10</t>
  </si>
  <si>
    <t>For All Flights departed between 08:01 TO 01:59 HRS</t>
  </si>
  <si>
    <t>BOM|BLR|6E6284|02:45</t>
  </si>
  <si>
    <t>For All Flights departed between 02:00 TO 08:00 HRS</t>
  </si>
  <si>
    <t>BOM|BLR|6E5294|04:30</t>
  </si>
  <si>
    <t>BOM|BLR|6E5296|06:30</t>
  </si>
  <si>
    <t>BOM|BLR|6E5193|08:05</t>
  </si>
  <si>
    <t>BOM|BLR|6E5092|09:50</t>
  </si>
  <si>
    <t>BOM|BLR|6E5092|10:00</t>
  </si>
  <si>
    <t>BOM|BLR|6E5217|11:00</t>
  </si>
  <si>
    <t>BOM|BLR|6E5184|12:30</t>
  </si>
  <si>
    <t>BOM|BLR|6E5382|14:30</t>
  </si>
  <si>
    <t>BOM|BLR|6E5071|15:35</t>
  </si>
  <si>
    <t>BOM|BLR|6E5221|17:00</t>
  </si>
  <si>
    <t>BOM|BLR|6E5047|18:30</t>
  </si>
  <si>
    <t>BOM|BLR|6E5032|19:55</t>
  </si>
  <si>
    <t>BOM|BLR|6E6188|21:30</t>
  </si>
  <si>
    <t>BOM|BLR|6E5388|22:20</t>
  </si>
  <si>
    <t>BOM|BLR|AI2812|02:05</t>
  </si>
  <si>
    <t>Applicable Flights 01:00 to 08:00 Hours
(AI-2603, AI-0621, AI-2845, AI-2812, AI-2851)</t>
  </si>
  <si>
    <t>BOM|BLR|AI2410|05:30</t>
  </si>
  <si>
    <t>BOM|BLR|AI2845|05:30</t>
  </si>
  <si>
    <t>BOM|BLR|AI2603|06:35</t>
  </si>
  <si>
    <t>BOM|BLR|AI2851|07:55</t>
  </si>
  <si>
    <t>BOM|BLR|AI2863|10:00</t>
  </si>
  <si>
    <t>BOM|BLR|AI2632|12:00</t>
  </si>
  <si>
    <t>BOM|BLR|AI2853|15:25</t>
  </si>
  <si>
    <t>BOM|BLR|AI2849|17:30</t>
  </si>
  <si>
    <t>BOM|BLR|AI2641|18:30</t>
  </si>
  <si>
    <t>BOM|BLR|AI2865|19:45</t>
  </si>
  <si>
    <t>BOM|BLR|AI2401|20:45</t>
  </si>
  <si>
    <t>BOM|BLR|AI2497|22:10</t>
  </si>
  <si>
    <t>BOM|BLR|AI2857|23:30</t>
  </si>
  <si>
    <t>BOM|BLR|AI3305|23:40</t>
  </si>
  <si>
    <t>BOM|BLR|SG555|21:30</t>
  </si>
  <si>
    <t>BOM|BLR|SG476|21:40</t>
  </si>
  <si>
    <t>BOM|BLR|QP1516|00:40</t>
  </si>
  <si>
    <t>BOM|BLR|QP1149|05:35</t>
  </si>
  <si>
    <t>BOM|BLR|QP1527|07:35</t>
  </si>
  <si>
    <t>BOM|BLR|QP1527|07:40</t>
  </si>
  <si>
    <t>BOM|BLR|QP1129|08:45</t>
  </si>
  <si>
    <t>BOM|BLR|QP1131|10:15</t>
  </si>
  <si>
    <t>BOM|BLR|QP1382|18:25</t>
  </si>
  <si>
    <t>BOM|BLR|QP1382|18:20</t>
  </si>
  <si>
    <t>BOM|BLR|QP1133|19:50</t>
  </si>
  <si>
    <t>BOM|BLR|QP1133|20:05</t>
  </si>
  <si>
    <t>BOM|BLR|QP1518|21:45</t>
  </si>
  <si>
    <t>BOM|BLR|QP1384|23:15</t>
  </si>
  <si>
    <t>BOM|BLR|QP1985|23:20</t>
  </si>
  <si>
    <t>BOM|CCU|6E6367|05:30</t>
  </si>
  <si>
    <t>For All Flights departed between 00:01 TO 07:00 HRS</t>
  </si>
  <si>
    <t>BOM|CCU|6E5329|07:45</t>
  </si>
  <si>
    <t>For All Flights departed between 07:01 TO 23:59 HRS</t>
  </si>
  <si>
    <t>BOM|CCU|6E5165|10:05</t>
  </si>
  <si>
    <t>BOM|CCU|6E5239|12:45</t>
  </si>
  <si>
    <t>BOM|CCU|6E5354|15:15</t>
  </si>
  <si>
    <t>BOM|CCU|6E5086|18:00</t>
  </si>
  <si>
    <t>BOM|CCU|6E6287|19:50</t>
  </si>
  <si>
    <t>BOM|CCU|AI2771|06:55</t>
  </si>
  <si>
    <t>Applicable Flights 01:00 to 08:00 Hours
(AI-2741, AI-2771, AI-2688)</t>
  </si>
  <si>
    <t>BOM|CCU|AI2773|13:55</t>
  </si>
  <si>
    <t>Applicable Flights 
(AI-2471, AI-2773, AI-2411, AI-0675)</t>
  </si>
  <si>
    <t>BOM|CCU|AI2773|14:05</t>
  </si>
  <si>
    <t>BOM|CCU|AI2411|19:20</t>
  </si>
  <si>
    <t>BOM|CCU|QP1135|00:35</t>
  </si>
  <si>
    <t>BOM|CCU|QP1125|19:25</t>
  </si>
  <si>
    <t>BOM|CCU|QP1107|20:55</t>
  </si>
  <si>
    <t>BOM|DEL|6E656|05:00</t>
  </si>
  <si>
    <t>For All Flights departed between 02:00 TO 07:30 HRS</t>
  </si>
  <si>
    <t>BOM|DEL|6E762|06:00</t>
  </si>
  <si>
    <t>BOM|DEL|6E301|07:00</t>
  </si>
  <si>
    <t>BOM|DEL|6E333|08:00</t>
  </si>
  <si>
    <t>For All Flights departed between 07:31 TO 12:00 HRS</t>
  </si>
  <si>
    <t>BOM|DEL|6E355|09:00</t>
  </si>
  <si>
    <t>BOM|DEL|6E6052|10:00</t>
  </si>
  <si>
    <t>BOM|DEL|6E310|10:35</t>
  </si>
  <si>
    <t>BOM|DEL|6E6827|11:30</t>
  </si>
  <si>
    <t>BOM|DEL|6E6028|12:15</t>
  </si>
  <si>
    <t>For All Flights departed between 12:01 TO 01:59 HRS</t>
  </si>
  <si>
    <t>BOM|DEL|6E615|13:00</t>
  </si>
  <si>
    <t>BOM|DEL|6E6704|14:00</t>
  </si>
  <si>
    <t>BOM|DEL|6E6704|13:50</t>
  </si>
  <si>
    <t>BOM|DEL|6E349|15:00</t>
  </si>
  <si>
    <t>BOM|DEL|6E313|16:00</t>
  </si>
  <si>
    <t>BOM|DEL|6E6082|16:45</t>
  </si>
  <si>
    <t>BOM|DEL|6E315|17:20</t>
  </si>
  <si>
    <t>BOM|DEL|6E6613|18:15</t>
  </si>
  <si>
    <t>BOM|DEL|6E317|19:00</t>
  </si>
  <si>
    <t>BOM|DEL|6E6049|19:45</t>
  </si>
  <si>
    <t>BOM|DEL|6E330|20:20</t>
  </si>
  <si>
    <t>BOM|DEL|6E102|21:15</t>
  </si>
  <si>
    <t>BOM|DEL|6E651|22:15</t>
  </si>
  <si>
    <t>BOM|DEL|6E350|23:45</t>
  </si>
  <si>
    <t>BOM|DEL|AI2422|01:00</t>
  </si>
  <si>
    <t>BOM|DEL|AI2452|03:05</t>
  </si>
  <si>
    <t>Applicable Flights 01:00 to 07:00 Hours
(AI-2424, AI-2928, IX-1282, AI-2452, AI-0866)</t>
  </si>
  <si>
    <t>BOM|DEL|AI2928|06:30</t>
  </si>
  <si>
    <t>BOM|DEL|AI2424|07:00</t>
  </si>
  <si>
    <t>BOM|DEL|AI2930|07:30</t>
  </si>
  <si>
    <t>BOM|DEL|AI2428|08:00</t>
  </si>
  <si>
    <t>BOM|DEL|AI2970|08:30</t>
  </si>
  <si>
    <t>BOM|DEL|AI1890|09:00</t>
  </si>
  <si>
    <t>BOM|DEL|AI2432|09:30</t>
  </si>
  <si>
    <t>BOM|DEL|AI2430|10:00</t>
  </si>
  <si>
    <t>BOM|DEL|AI2738|10:30</t>
  </si>
  <si>
    <t>BOM|DEL|AI2952|11:25</t>
  </si>
  <si>
    <t>BOM|DEL|AI2687|16:40</t>
  </si>
  <si>
    <t>BOM|DEL|AI2419|12:00</t>
  </si>
  <si>
    <t>BOM|DEL|AI2677|13:00</t>
  </si>
  <si>
    <t>BOM|DEL|AI2965|14:05</t>
  </si>
  <si>
    <t>BOM|DEL|AI2960|14:05</t>
  </si>
  <si>
    <t>BOM|DEL|AI2944|14:35</t>
  </si>
  <si>
    <t>BOM|DEL|AI2442|15:00</t>
  </si>
  <si>
    <t>BOM|DEL|AI1851|15:30</t>
  </si>
  <si>
    <t>BOM|DEL|AI2910|17:30</t>
  </si>
  <si>
    <t>BOM|DEL|AI2440|18:00</t>
  </si>
  <si>
    <t>BOM|DEL|AI2996|18:30</t>
  </si>
  <si>
    <t>BOM|DEL|AI2426|19:00</t>
  </si>
  <si>
    <t>BOM|DEL|AI2408|19:30</t>
  </si>
  <si>
    <t>BOM|DEL|AI2940|20:00</t>
  </si>
  <si>
    <t>BOM|DEL|AI2988|20:30</t>
  </si>
  <si>
    <t>BOM|DEL|AI816|21:00</t>
  </si>
  <si>
    <t>BOM|DEL|AI2748|21:30</t>
  </si>
  <si>
    <t>BOM|DEL|AI1895|21:30</t>
  </si>
  <si>
    <t>BOM|DEL|AI2986|22:35</t>
  </si>
  <si>
    <t>BOM|DEL|AI2614|23:30</t>
  </si>
  <si>
    <t>BOM|DEL|AI1882|23:55</t>
  </si>
  <si>
    <t>BOM|DEL|SG803|01:50</t>
  </si>
  <si>
    <t>BOM|DEL|SG252|06:25</t>
  </si>
  <si>
    <t>BOM|DEL|SG816|15:55</t>
  </si>
  <si>
    <t>BOM|DEL|SG809|17:55</t>
  </si>
  <si>
    <t>BOM|DEL|SG9090|18:00</t>
  </si>
  <si>
    <t>BOM|DEL|SG511|22:30</t>
  </si>
  <si>
    <t>BOM|DEL|SG164|23:25</t>
  </si>
  <si>
    <t>BOM|DEL|SG801|23:55</t>
  </si>
  <si>
    <t>BOM|DEL|QP1111|05:10</t>
  </si>
  <si>
    <t>BOM|DEL|QP1111|05:25</t>
  </si>
  <si>
    <t>BOM|DEL|QP1109|07:00</t>
  </si>
  <si>
    <t>BOM|DEL|QP1834|10:00</t>
  </si>
  <si>
    <t>BOM|DEL|QP1834|10:20</t>
  </si>
  <si>
    <t>BOM|DEL|QP1835|11:50</t>
  </si>
  <si>
    <t>BOM|DEL|QP1127|13:00</t>
  </si>
  <si>
    <t>BOM|DEL|QP1127|12:55</t>
  </si>
  <si>
    <t>BOM|DEL|QP1819|14:30</t>
  </si>
  <si>
    <t>BOM|DEL|QP1825|17:00</t>
  </si>
  <si>
    <t>BOM|DEL|QP1825|16:50</t>
  </si>
  <si>
    <t>BOM|DEL|QP1808|16:50</t>
  </si>
  <si>
    <t>BOM|DEL|QP1120|19:00</t>
  </si>
  <si>
    <t>BOM|DEL|QP1120|18:45</t>
  </si>
  <si>
    <t>BOM|DEL|IX2952|09:05</t>
  </si>
  <si>
    <t>BOM|DEL|IX1050|14:45</t>
  </si>
  <si>
    <t>BOM|DEL|IX1671|16:45</t>
  </si>
  <si>
    <t>BOM|HYD|6E6187|00:30</t>
  </si>
  <si>
    <t>For flights departed between 00:00 HRS to 07:00 HRS</t>
  </si>
  <si>
    <t>BOM|HYD|6E6362|05:45</t>
  </si>
  <si>
    <t>BOM|HYD|6E5246|07:15</t>
  </si>
  <si>
    <t>For flights departed between 07:01 HRS to 23:59 HRS</t>
  </si>
  <si>
    <t>BOM|HYD|6E5318|10:15</t>
  </si>
  <si>
    <t>BOM|HYD|6E5178|11:45</t>
  </si>
  <si>
    <t>BOM|HYD|6E5178|11:40</t>
  </si>
  <si>
    <t>BOM|HYD|6E5386|15:10</t>
  </si>
  <si>
    <t>BOM|HYD|6E5228|16:45</t>
  </si>
  <si>
    <t>BOM|HYD|6E5326|19:40</t>
  </si>
  <si>
    <t>BOM|HYD|6E5056|21:10</t>
  </si>
  <si>
    <t>BOM|HYD|6E6195|23:00</t>
  </si>
  <si>
    <t>BOM|HYD|AI2625|06:00</t>
  </si>
  <si>
    <t>Applicable Flights 01:00 to 08:00 Hours
(AI-2873, AI-2625)</t>
  </si>
  <si>
    <t>BOM|HYD|AI417|08:55</t>
  </si>
  <si>
    <t>BOM|HYD|AI2444|10:50</t>
  </si>
  <si>
    <t>BOM|HYD|AI2531|15:05</t>
  </si>
  <si>
    <t>BOM|HYD|AI2619|18:00</t>
  </si>
  <si>
    <t>BOM|HYD|AI2875|19:35</t>
  </si>
  <si>
    <t>BOM|HYD|AI2875|19:10</t>
  </si>
  <si>
    <t>BOM|HYD|AI2450|20:25</t>
  </si>
  <si>
    <t>BOM|HYD|AI2869|21:25</t>
  </si>
  <si>
    <t>BOM|MAA|6E136|04:05</t>
  </si>
  <si>
    <t>BOM|MAA|6E5188|06:15</t>
  </si>
  <si>
    <t>BOM|MAA|6E5204|08:15</t>
  </si>
  <si>
    <t>BOM|MAA|6E5313|09:50</t>
  </si>
  <si>
    <t>BOM|MAA|6E6349|11:40</t>
  </si>
  <si>
    <t>BOM|MAA|6E5337|13:45</t>
  </si>
  <si>
    <t>BOM|MAA|6E5196|15:25</t>
  </si>
  <si>
    <t>BOM|MAA|6E5048|17:25</t>
  </si>
  <si>
    <t>BOM|MAA|6E5105|19:25</t>
  </si>
  <si>
    <t>BOM|MAA|6E5291|21:00</t>
  </si>
  <si>
    <t>BOM|MAA|6E6137|23:00</t>
  </si>
  <si>
    <t>BOM|MAA|AI2718|05:55</t>
  </si>
  <si>
    <t>Applicable Flights 01:00 to 09:00 Hours
(AI-2821, AI-2739, AI-2718)</t>
  </si>
  <si>
    <t>Rs 1 Air India flight surcharge; Rs 5 SS surcharge on all domestic shipments (AI Notation 1(iv)); Rs 8 Additional surcharge ex-BOM to India (AI Notation 1(viii))</t>
  </si>
  <si>
    <t>Flight ₹1 + SS ₹5 + Ex-BOM ₹8</t>
  </si>
  <si>
    <t>BOM|MAA|AI2821|06:40</t>
  </si>
  <si>
    <t>BOM|MAA|AI2739|09:00</t>
  </si>
  <si>
    <t>BOM|MAA|AI2780|14:00</t>
  </si>
  <si>
    <t>BOM|MAA|AI2780|12:45</t>
  </si>
  <si>
    <t>BOM|MAA|AI435|18:10</t>
  </si>
  <si>
    <t>BOM|MAA|AI2827|20:30</t>
  </si>
  <si>
    <t>BOM|MAA|AI639|22:55</t>
  </si>
  <si>
    <t>BOM|MAA|QP1145|05:00</t>
  </si>
  <si>
    <t>BOM|MAA|QP1145|04:50</t>
  </si>
  <si>
    <t>BLR|AMD|6E586|05:10</t>
  </si>
  <si>
    <t>Applicable for 6E 586</t>
  </si>
  <si>
    <t>BLR|AMD|6E6595|13:55</t>
  </si>
  <si>
    <t>BLR|AMD|6E239|16:50</t>
  </si>
  <si>
    <t>BLR|AMD|6E6423|20:00</t>
  </si>
  <si>
    <t>BLR|AMD|QP1906|21:40</t>
  </si>
  <si>
    <t>BLR|AMD|QP1906|21:35</t>
  </si>
  <si>
    <t>BLR|AMD|IX2001|11:00</t>
  </si>
  <si>
    <t>BLR|AMD|IX2001|09:00</t>
  </si>
  <si>
    <t>BLR|BOM|6E5293|01:00</t>
  </si>
  <si>
    <t>BLR|BOM|6E5205|03:45</t>
  </si>
  <si>
    <t>BLR|BOM|6E5089|05:30</t>
  </si>
  <si>
    <t>BLR|BOM|6E5216|07:25</t>
  </si>
  <si>
    <t>BLR|BOM|6E5051|08:30</t>
  </si>
  <si>
    <t>BLR|BOM|6E5237|10:15</t>
  </si>
  <si>
    <t>BLR|BOM|6E5069|11:30</t>
  </si>
  <si>
    <t>BLR|BOM|6E5218|13:00</t>
  </si>
  <si>
    <t>BLR|BOM|6E5351|14:20</t>
  </si>
  <si>
    <t>BLR|BOM|6E5031|16:00</t>
  </si>
  <si>
    <t>BLR|BOM|6E5255|17:25</t>
  </si>
  <si>
    <t>BLR|BOM|6E6283|19:05</t>
  </si>
  <si>
    <t>BLR|BOM|6E5376|20:15</t>
  </si>
  <si>
    <t>BLR|BOM|6E5094|22:20</t>
  </si>
  <si>
    <t>BLR|BOM|6E6189|23:30</t>
  </si>
  <si>
    <t>BLR|BOM|AI2498|00:45</t>
  </si>
  <si>
    <t>BLR|BOM|AI2402|06:35</t>
  </si>
  <si>
    <t>Applicable Flights 02:00 to 07:30 Hours
(AI-2402)</t>
  </si>
  <si>
    <t>Rs 3 Air India flight surcharge; Rs 5 SS surcharge on all domestic shipments (AI Notation 1(iv)); Rs 6 Additional surcharge India to BOM (AI Notation 1(viii))</t>
  </si>
  <si>
    <t>Flight ₹3 + SS ₹5 + To-BOM ₹6</t>
  </si>
  <si>
    <t>BLR|BOM|AI2846|08:05</t>
  </si>
  <si>
    <t>BLR|BOM|AI2604|09:15</t>
  </si>
  <si>
    <t>BLR|BOM|AI2852|10:30</t>
  </si>
  <si>
    <t>BLR|BOM|AI2854|16:40</t>
  </si>
  <si>
    <t>BLR|BOM|AI2610|19:00</t>
  </si>
  <si>
    <t>BLR|BOM|AI2850|20:30</t>
  </si>
  <si>
    <t>BLR|BOM|AI2642|21:30</t>
  </si>
  <si>
    <t>BLR|BOM|AI2811|23:40</t>
  </si>
  <si>
    <t>BLR|BOM|SG369|00:45</t>
  </si>
  <si>
    <t>BLR|BOM|SG115|04:55</t>
  </si>
  <si>
    <t>BLR|BOM|QP1381|04:40</t>
  </si>
  <si>
    <t>BLR|BOM|QP1383|05:25</t>
  </si>
  <si>
    <t>BLR|BOM|QP1515|06:10</t>
  </si>
  <si>
    <t>BLR|BOM|QP1517|07:40</t>
  </si>
  <si>
    <t>BLR|BOM|QP1528|10:20</t>
  </si>
  <si>
    <t>BLR|BOM|QP1130|11:20</t>
  </si>
  <si>
    <t>BLR|BOM|QP1132|15:20</t>
  </si>
  <si>
    <t>BLR|BOM|QP1986|17:45</t>
  </si>
  <si>
    <t>BLR|BOM|QP1134|22:55</t>
  </si>
  <si>
    <t>BLR|CCU|6E6439|06:30</t>
  </si>
  <si>
    <t>For All Flights departed between 00:01 TO 09:00 HRS</t>
  </si>
  <si>
    <t>BLR|CCU|6E442|08:10</t>
  </si>
  <si>
    <t>BLR|CCU|6E177|09:30</t>
  </si>
  <si>
    <t>BLR|CCU|6E503|10:00</t>
  </si>
  <si>
    <t>BLR|CCU|6E172|13:40</t>
  </si>
  <si>
    <t>BLR|CCU|6E6572|15:05</t>
  </si>
  <si>
    <t>BLR|CCU|6E223|17:05</t>
  </si>
  <si>
    <t>BLR|CCU|6E676|18:30</t>
  </si>
  <si>
    <t>BLR|CCU|6E975|20:20</t>
  </si>
  <si>
    <t>BLR|CCU|6E952|22:20</t>
  </si>
  <si>
    <t>BLR|CCU|QP1561|06:15</t>
  </si>
  <si>
    <t>BLR|CCU|IX1131|07:05</t>
  </si>
  <si>
    <t>BLR|CCU|IX1537|12:00</t>
  </si>
  <si>
    <t>BLR|CCU|IX1871|19:10</t>
  </si>
  <si>
    <t>BLR|DEL|6E804|03:00</t>
  </si>
  <si>
    <t>BLR|DEL|6E836|05:05</t>
  </si>
  <si>
    <t>BLR|DEL|6E844|07:00</t>
  </si>
  <si>
    <t>BLR|DEL|6E849|08:15</t>
  </si>
  <si>
    <t>BLR|DEL|6E830|09:30</t>
  </si>
  <si>
    <t>BLR|DEL|6E175|10:45</t>
  </si>
  <si>
    <t>BLR|DEL|6E809|12:00</t>
  </si>
  <si>
    <t>BLR|DEL|6E869|13:10</t>
  </si>
  <si>
    <t>BLR|DEL|6E840|13:55</t>
  </si>
  <si>
    <t>BLR|DEL|6E860|15:45</t>
  </si>
  <si>
    <t>BLR|DEL|6E6039|17:00</t>
  </si>
  <si>
    <t>BLR|DEL|6E6034|18:15</t>
  </si>
  <si>
    <t>BLR|DEL|6E870|19:30</t>
  </si>
  <si>
    <t>BLR|DEL|6E817|20:40</t>
  </si>
  <si>
    <t>BLR|DEL|6E6406|22:00</t>
  </si>
  <si>
    <t>BLR|DEL|6E2313|23:30</t>
  </si>
  <si>
    <t>BLR|DEL|AI2758|00:15</t>
  </si>
  <si>
    <t>BLR|DEL|AI2756|02:15</t>
  </si>
  <si>
    <t>BLR|DEL|AI2414|05:30</t>
  </si>
  <si>
    <t>BLR|DEL|AI2810|06:00</t>
  </si>
  <si>
    <t>Applicable Flights 02:00 to 08:00 Hours
(IX-5253, AI-2810, IX-2542, AI-2654)</t>
  </si>
  <si>
    <t>BLR|DEL|AI2654|07:00</t>
  </si>
  <si>
    <t>BLR|DEL|AI2868|09:00</t>
  </si>
  <si>
    <t>BLR|DEL|AI2406|11:00</t>
  </si>
  <si>
    <t>BLR|DEL|AI1868|12:25</t>
  </si>
  <si>
    <t>BLR|DEL|AI2796|12:25</t>
  </si>
  <si>
    <t>BLR|DEL|AI2486|14:00</t>
  </si>
  <si>
    <t>BLR|DEL|AI428|14:55</t>
  </si>
  <si>
    <t>BLR|DEL|AI2511|15:45</t>
  </si>
  <si>
    <t>BLR|DEL|AI2418|16:30</t>
  </si>
  <si>
    <t>BLR|DEL|AI2802|18:20</t>
  </si>
  <si>
    <t>BLR|DEL|AI2818|20:00</t>
  </si>
  <si>
    <t>BLR|DEL|AI2798|20:25</t>
  </si>
  <si>
    <t>BLR|DEL|AI1869|20:25</t>
  </si>
  <si>
    <t>BLR|DEL|AI2421|21:40</t>
  </si>
  <si>
    <t>BLR|DEL|AI2488|22:30</t>
  </si>
  <si>
    <t>BLR|DEL|AI2501|23:30</t>
  </si>
  <si>
    <t>BLR|DEL|QP1811|04:15</t>
  </si>
  <si>
    <t>BLR|DEL|QP1359|05:00</t>
  </si>
  <si>
    <t>BLR|DEL|QP1823|06:05</t>
  </si>
  <si>
    <t>BLR|DEL|QP1821|13:10</t>
  </si>
  <si>
    <t>BLR|DEL|QP1307|17:20</t>
  </si>
  <si>
    <t>BLR|DEL|QP1336|18:35</t>
  </si>
  <si>
    <t>BLR|DEL|IX1481|05:00</t>
  </si>
  <si>
    <t>BLR|DEL|IX2410|22:15</t>
  </si>
  <si>
    <t>BLR|HYD|6E6178|06:25</t>
  </si>
  <si>
    <t>BLR|HYD|6E484|08:15</t>
  </si>
  <si>
    <t>BLR|HYD|6E312|09:15</t>
  </si>
  <si>
    <t>BLR|HYD|6E537|10:15</t>
  </si>
  <si>
    <t>BLR|HYD|6E6404|11:35</t>
  </si>
  <si>
    <t>BLR|HYD|6E407|14:50</t>
  </si>
  <si>
    <t>BLR|HYD|6E6067|16:30</t>
  </si>
  <si>
    <t>BLR|HYD|6E638|18:35</t>
  </si>
  <si>
    <t>BLR|HYD|6E855|19:45</t>
  </si>
  <si>
    <t>BLR|HYD|6E6784|21:30</t>
  </si>
  <si>
    <t>BLR|HYD|IX2018|06:00</t>
  </si>
  <si>
    <t>BLR|HYD|IX2935|08:55</t>
  </si>
  <si>
    <t>BLR|HYD|IX2051|10:55</t>
  </si>
  <si>
    <t>BLR|HYD|IX2051|14:55</t>
  </si>
  <si>
    <t>BLR|HYD|IX2819|12:30</t>
  </si>
  <si>
    <t>BLR|HYD|IX2506|17:20</t>
  </si>
  <si>
    <t>BLR|HYD|IX1250|19:15</t>
  </si>
  <si>
    <t>BLR|MAA|6E6269|07:15</t>
  </si>
  <si>
    <t>BLR|MAA|6E904|10:45</t>
  </si>
  <si>
    <t>BLR|MAA|6E904|10:50</t>
  </si>
  <si>
    <t>BLR|MAA|6E6208|12:45</t>
  </si>
  <si>
    <t>BLR|MAA|6E6208|12:50</t>
  </si>
  <si>
    <t>BLR|MAA|6E182|15:00</t>
  </si>
  <si>
    <t>BLR|MAA|6E356|17:15</t>
  </si>
  <si>
    <t>BLR|MAA|6E6017|18:15</t>
  </si>
  <si>
    <t>BLR|MAA|6E6012|19:30</t>
  </si>
  <si>
    <t>BLR|MAA|6E6077|20:20</t>
  </si>
  <si>
    <t>BLR|MAA|6E6562|21:50</t>
  </si>
  <si>
    <t>BLR|MAA|IX1472|07:05</t>
  </si>
  <si>
    <t>BLR|MAA|IX2025|12:30</t>
  </si>
  <si>
    <t>BLR|MAA|IX2505|14:45</t>
  </si>
  <si>
    <t>BLR|MAA|IX1168|19:40</t>
  </si>
  <si>
    <t>BLR|MAA|IX2787|22:10</t>
  </si>
  <si>
    <t>BLR|PNQ|6E6563|01:05</t>
  </si>
  <si>
    <t>BLR|PNQ|6E6876|02:40</t>
  </si>
  <si>
    <t>BLR|PNQ|6E408|04:30</t>
  </si>
  <si>
    <t>BLR|PNQ|6E6104|11:40</t>
  </si>
  <si>
    <t>BLR|PNQ|6E414|14:45</t>
  </si>
  <si>
    <t>BLR|PNQ|6E173|15:30</t>
  </si>
  <si>
    <t>BLR|PNQ|6E576|16:25</t>
  </si>
  <si>
    <t>BLR|PNQ|6E105|18:45</t>
  </si>
  <si>
    <t>BLR|PNQ|6e+105|18:50</t>
  </si>
  <si>
    <t>BLR|PNQ|6E441|20:40</t>
  </si>
  <si>
    <t>BLR|PNQ|6E528|21:40</t>
  </si>
  <si>
    <t>BLR|PNQ|6E116|23:05</t>
  </si>
  <si>
    <t>BLR|PNQ|QP1311|05:10</t>
  </si>
  <si>
    <t>BLR|PNQ|QP1565|08:10</t>
  </si>
  <si>
    <t>BLR|PNQ|QP1313|10:10</t>
  </si>
  <si>
    <t>BLR|PNQ|QP1325|14:30</t>
  </si>
  <si>
    <t>BLR|PNQ|QP1325|14:20</t>
  </si>
  <si>
    <t>BLR|PNQ|QP1315|15:20</t>
  </si>
  <si>
    <t>BLR|PNQ|QP1317|20:05</t>
  </si>
  <si>
    <t>BLR|PNQ|IX2873|04:00</t>
  </si>
  <si>
    <t>BLR|PNQ|IX1971|12:45</t>
  </si>
  <si>
    <t>BLR|PNQ|IX2913|17:25</t>
  </si>
  <si>
    <t>BLR|PNQ|IX2913|17:35</t>
  </si>
  <si>
    <t>BLR|PNQ|IX2680|21:50</t>
  </si>
  <si>
    <t>CCU|AMD|6E245|06:00</t>
  </si>
  <si>
    <t>For all flights departed between 00:01 hrs to 08:00 hrs</t>
  </si>
  <si>
    <t>CCU|AMD|6E318|14:20</t>
  </si>
  <si>
    <t>For all flights departed between 08:01 hrs to 24:00 hrs</t>
  </si>
  <si>
    <t>CCU|AMD|6E318|13:30</t>
  </si>
  <si>
    <t>CCU|AMD|6E292|16:05</t>
  </si>
  <si>
    <t>CCU|BLR|6E771|06:20</t>
  </si>
  <si>
    <t>CCU|BLR|6E496|08:20</t>
  </si>
  <si>
    <t>CCU|BLR|6E386|10:15</t>
  </si>
  <si>
    <t>CCU|BLR|6E235|11:45</t>
  </si>
  <si>
    <t>CCU|BLR|6E455|13:25</t>
  </si>
  <si>
    <t>CCU|BLR|6E757|17:00</t>
  </si>
  <si>
    <t>CCU|BLR|6E6251|19:00</t>
  </si>
  <si>
    <t>CCU|BLR|6E6314|20:35</t>
  </si>
  <si>
    <t>CCU|BLR|6E573|22:00</t>
  </si>
  <si>
    <t>CCU|BLR|QP1564|20:20</t>
  </si>
  <si>
    <t>CCU|BLR|IX1496|11:15</t>
  </si>
  <si>
    <t>CCU|BLR|IX1543|15:15</t>
  </si>
  <si>
    <t>CCU|BLR|IX1382|22:20</t>
  </si>
  <si>
    <t>CCU|DEL|6E474|05:20</t>
  </si>
  <si>
    <t>For All Flights departed between 00:01 TO 06:00 HRS</t>
  </si>
  <si>
    <t>CCU|DEL|6E891|07:00</t>
  </si>
  <si>
    <t>For All Flights departed between 06:01 TO 09:00 HRS</t>
  </si>
  <si>
    <t>CCU|DEL|6E896|08:25</t>
  </si>
  <si>
    <t>CCU|DEL|6E899|10:15</t>
  </si>
  <si>
    <t>For All Flights departed between 09:01 TO 24:00 HRS</t>
  </si>
  <si>
    <t>CCU|DEL|6E6358|12:00</t>
  </si>
  <si>
    <t>CCU|DEL|6E2275|14:00</t>
  </si>
  <si>
    <t>CCU|DEL|6E2285|14:40</t>
  </si>
  <si>
    <t>CCU|DEL|6E6516|16:10</t>
  </si>
  <si>
    <t>CCU|DEL|6E6183|17:30</t>
  </si>
  <si>
    <t>CCU|DEL|6E493|19:15</t>
  </si>
  <si>
    <t>CCU|DEL|6E917|21:00</t>
  </si>
  <si>
    <t>CCU|DEL|6E5190|22:30</t>
  </si>
  <si>
    <t>CCU|DEL|AI2720|07:00</t>
  </si>
  <si>
    <t>Applicable Flight: AI-2720</t>
  </si>
  <si>
    <t>CCU|DEL|AI2778|08:30</t>
  </si>
  <si>
    <t>CCU|DEL|AI2536|09:30</t>
  </si>
  <si>
    <t>CCU|DEL|AI2704|10:30</t>
  </si>
  <si>
    <t>CCU|DEL|AI1874|12:55</t>
  </si>
  <si>
    <t>CCU|DEL|AI1807|15:10</t>
  </si>
  <si>
    <t>CCU|DEL|AI1805|16:10</t>
  </si>
  <si>
    <t>CCU|DEL|AI4174|17:50</t>
  </si>
  <si>
    <t>CCU|DEL|AI1863|19:15</t>
  </si>
  <si>
    <t>CCU|DEL|AI2708|21:00</t>
  </si>
  <si>
    <t>CCU|DEL|AI2710|22:00</t>
  </si>
  <si>
    <t>CCU|DEL|SG906|23:10</t>
  </si>
  <si>
    <t>CCU|DEL|SG906|20:55</t>
  </si>
  <si>
    <t>CCU|DEL|QP1802|08:55</t>
  </si>
  <si>
    <t>CCU|DEL|QP1804|20:05</t>
  </si>
  <si>
    <t>CCU|HYD|6E6623|05:20</t>
  </si>
  <si>
    <t>CCU|HYD|6E6513|08:40</t>
  </si>
  <si>
    <t>CCU|HYD|6E334|10:55</t>
  </si>
  <si>
    <t>CCU|HYD|6E6908|15:00</t>
  </si>
  <si>
    <t>CCU|HYD|6E6528|17:00</t>
  </si>
  <si>
    <t>CCU|HYD|6E6154|20:45</t>
  </si>
  <si>
    <t>CCU|PNQ|6E6037|02:20</t>
  </si>
  <si>
    <t>All Flights Except 6E135</t>
  </si>
  <si>
    <t>CCU|PNQ|6E135|10:20</t>
  </si>
  <si>
    <t>Applicable for 6E135</t>
  </si>
  <si>
    <t>CCU|PNQ|6e+135|15:00</t>
  </si>
  <si>
    <t>CCU|PNQ|6E476|20:00</t>
  </si>
  <si>
    <t>CCU|PNQ|QP1562|09:30</t>
  </si>
  <si>
    <t>CCU|MAA|6E344|05:05</t>
  </si>
  <si>
    <t>CCU|MAA|6E563|08:35</t>
  </si>
  <si>
    <t>CCU|MAA|6E892|15:00</t>
  </si>
  <si>
    <t>CCU|MAA|6E234|18:10</t>
  </si>
  <si>
    <t>CCU|MAA|6E723|21:15</t>
  </si>
  <si>
    <t>CCU|MAA|IX1254|06:30</t>
  </si>
  <si>
    <t>Applicable Flight: IX-1254</t>
  </si>
  <si>
    <t>CCU|MAA|IX1259|16:35</t>
  </si>
  <si>
    <t>CCU|BOM|6E5194|06:25</t>
  </si>
  <si>
    <t>CCU|BOM|6E5183|09:15</t>
  </si>
  <si>
    <t>CCU|BOM|6E5288|11:35</t>
  </si>
  <si>
    <t>CCU|BOM|6E5227|13:45</t>
  </si>
  <si>
    <t>CCU|BOM|6E6206|16:15</t>
  </si>
  <si>
    <t>CCU|BOM|6E5128|18:45</t>
  </si>
  <si>
    <t>CCU|BOM|6E115|21:40</t>
  </si>
  <si>
    <t>CCU|BOM|AI2792|06:00</t>
  </si>
  <si>
    <t>Applicable Flights: 04:00 to 07:00 Hours
AI-2792</t>
  </si>
  <si>
    <t>CCU|BOM|AI2644|06:55</t>
  </si>
  <si>
    <t>CCU|BOM|AI2772|10:30</t>
  </si>
  <si>
    <t>CCU|BOM|AI2472|15:10</t>
  </si>
  <si>
    <t>CCU|BOM|AI2774|17:40</t>
  </si>
  <si>
    <t>CCU|BOM|AI2482|20:35</t>
  </si>
  <si>
    <t>CCU|BOM|AI2410|23:00</t>
  </si>
  <si>
    <t>CCU|BOM|QP1136|05:10</t>
  </si>
  <si>
    <t>CCU|BOM|QP1136|05:00</t>
  </si>
  <si>
    <t>CCU|BOM|QP1108|17:05</t>
  </si>
  <si>
    <t>CCU|BOM|QP1126|23:00</t>
  </si>
  <si>
    <t>DEL|AMD|6E6261|00:15</t>
  </si>
  <si>
    <t>DEL|AMD|6E5119|05:10</t>
  </si>
  <si>
    <t>DEL|AMD|6E2076|07:30</t>
  </si>
  <si>
    <t>DEL|AMD|6E907|10:00</t>
  </si>
  <si>
    <t>DEL|AMD|6E5137|10:50</t>
  </si>
  <si>
    <t>DEL|AMD|6E2331|12:20</t>
  </si>
  <si>
    <t>DEL|AMD|6E2341|14:50</t>
  </si>
  <si>
    <t>DEL|AMD|6E5073|17:05</t>
  </si>
  <si>
    <t>DEL|AMD|6E931|19:35</t>
  </si>
  <si>
    <t>DEL|AMD|6E2013|21:50</t>
  </si>
  <si>
    <t>DEL|AMD|AI817|05:55</t>
  </si>
  <si>
    <t>Applicable Flights 00:00 to 09:00 Hours
(AI-0817, AI-2959)
Excluding AI-0423</t>
  </si>
  <si>
    <t>DEL|AMD|AI423|09:50</t>
  </si>
  <si>
    <t>DEL|AMD|AI2715|11:40</t>
  </si>
  <si>
    <t>DEL|AMD|AI881|13:35</t>
  </si>
  <si>
    <t>DEL|AMD|AI2481|15:00</t>
  </si>
  <si>
    <t>DEL|AMD|AI2939|16:40</t>
  </si>
  <si>
    <t>DEL|AMD|AI531|19:20</t>
  </si>
  <si>
    <t>DEL|AMD|AI2909|22:30</t>
  </si>
  <si>
    <t>DEL|BOM|6E449|05:00</t>
  </si>
  <si>
    <t>DEL|BOM|6E6218|06:05</t>
  </si>
  <si>
    <t>DEL|BOM|6E6814|07:15</t>
  </si>
  <si>
    <t>DEL|BOM|6E320|08:00</t>
  </si>
  <si>
    <t>DEL|BOM|6E675|08:45</t>
  </si>
  <si>
    <t>DEL|BOM|6E6107|09:30</t>
  </si>
  <si>
    <t>DEL|BOM|6E6328|10:15</t>
  </si>
  <si>
    <t>DEL|BOM|6E6047|11:00</t>
  </si>
  <si>
    <t>DEL|BOM|6E6676|12:00</t>
  </si>
  <si>
    <t>DEL|BOM|6E324|13:00</t>
  </si>
  <si>
    <t>DEL|BOM|6E6022|14:00</t>
  </si>
  <si>
    <t>DEL|BOM|6E6318|14:45</t>
  </si>
  <si>
    <t>DEL|BOM|6E864|15:30</t>
  </si>
  <si>
    <t>DEL|BOM|6E327|16:15</t>
  </si>
  <si>
    <t>DEL|BOM|6E6706|17:00</t>
  </si>
  <si>
    <t>DEL|BOM|6E329|18:00</t>
  </si>
  <si>
    <t>DEL|BOM|6E354|19:00</t>
  </si>
  <si>
    <t>DEL|BOM|6E303|20:00</t>
  </si>
  <si>
    <t>DEL|BOM|6E853|20:45</t>
  </si>
  <si>
    <t>DEL|BOM|6E395|21:45</t>
  </si>
  <si>
    <t>DEL|BOM|6E6114|22:45</t>
  </si>
  <si>
    <t>DEL|BOM|6E322|23:30</t>
  </si>
  <si>
    <t>DEL|BOM|AI2615|02:45</t>
  </si>
  <si>
    <t>DEL|BOM|AI1745|05:30</t>
  </si>
  <si>
    <t>Applicable Flights 00:00 to 08:00 Hours
(AI-2421, AI-2429, AI-2975, AI-2943, AI-1745, AI-2435, AI-0887, AI-2953, AI-2451, IX-1605)</t>
  </si>
  <si>
    <t>DEL|BOM|AI2975|06:30</t>
  </si>
  <si>
    <t>DEL|BOM|AI2429|07:00</t>
  </si>
  <si>
    <t>DEL|BOM|AI2943|07:30</t>
  </si>
  <si>
    <t>DEL|BOM|AI2737|08:00</t>
  </si>
  <si>
    <t>DEL|BOM|AI2678|08:30</t>
  </si>
  <si>
    <t>DEL|BOM|AI2964|08:55</t>
  </si>
  <si>
    <t>DEL|BOM|AI2963|09:00</t>
  </si>
  <si>
    <t>DEL|BOM|AI2927|09:30</t>
  </si>
  <si>
    <t>DEL|BOM|AI2425|10:30</t>
  </si>
  <si>
    <t>DEL|BOM|AI2945|11:00</t>
  </si>
  <si>
    <t>DEL|BOM|AI1785|12:00</t>
  </si>
  <si>
    <t>DEL|BOM|AI2951|13:30</t>
  </si>
  <si>
    <t>DEL|BOM|AI2933|15:30</t>
  </si>
  <si>
    <t>DEL|BOM|AI1777|16:00</t>
  </si>
  <si>
    <t>DEL|BOM|AI2941|16:30</t>
  </si>
  <si>
    <t>DEL|BOM|AI441|17:00</t>
  </si>
  <si>
    <t>DEL|BOM|AI2751|17:30</t>
  </si>
  <si>
    <t>DEL|BOM|AI2955|18:00</t>
  </si>
  <si>
    <t>DEL|BOM|AI2441|18:25</t>
  </si>
  <si>
    <t>DEL|BOM|AI2977|19:00</t>
  </si>
  <si>
    <t>DEL|BOM|AI2985|19:30</t>
  </si>
  <si>
    <t>DEL|BOM|AI2805|20:00</t>
  </si>
  <si>
    <t>DEL|BOM|AI2957|20:30</t>
  </si>
  <si>
    <t>DEL|BOM|AI2981|21:00</t>
  </si>
  <si>
    <t>DEL|BOM|AI2433|21:30</t>
  </si>
  <si>
    <t>DEL|BOM|AI2999|22:00</t>
  </si>
  <si>
    <t>DEL|BOM|AI2437|22:30</t>
  </si>
  <si>
    <t>DEL|BOM|AI2439|23:00</t>
  </si>
  <si>
    <t>DEL|BOM|SG815|09:15</t>
  </si>
  <si>
    <t>DEL|BOM|SG808|14:30</t>
  </si>
  <si>
    <t>DEL|BOM|SG476|18:35</t>
  </si>
  <si>
    <t>DEL|BOM|SG162|20:10</t>
  </si>
  <si>
    <t>DEL|BOM|SG800|21:00</t>
  </si>
  <si>
    <t>DEL|BOM|SG802|22:30</t>
  </si>
  <si>
    <t>DEL|BOM|QP1833|06:50</t>
  </si>
  <si>
    <t>DEL|BOM|QP1119|08:40</t>
  </si>
  <si>
    <t>DEL|BOM|QP1112|09:20</t>
  </si>
  <si>
    <t>DEL|BOM|QP1110|10:30</t>
  </si>
  <si>
    <t>DEL|BOM|QP1836|12:05</t>
  </si>
  <si>
    <t>DEL|BOM|QP1807|13:40</t>
  </si>
  <si>
    <t>DEL|BOM|QP1128|16:00</t>
  </si>
  <si>
    <t>DEL|BOM|QP1820|17:30</t>
  </si>
  <si>
    <t>DEL|BOM|QP1826|19:55</t>
  </si>
  <si>
    <t>DEL|BOM|IX1605|06:00</t>
  </si>
  <si>
    <t>DEL|BOM|IX1056|17:50</t>
  </si>
  <si>
    <t>DEL|BLR|6E820|03:00</t>
  </si>
  <si>
    <t>DEL|BLR|6E2314|05:45</t>
  </si>
  <si>
    <t>DEL|BLR|6E810|07:05</t>
  </si>
  <si>
    <t>DEL|BLR|6E873|08:20</t>
  </si>
  <si>
    <t>DEL|BLR|6E826|09:30</t>
  </si>
  <si>
    <t>DEL|BLR|6E842|10:45</t>
  </si>
  <si>
    <t>DEL|BLR|6E850|12:20</t>
  </si>
  <si>
    <t>DEL|BLR|6E176|13:15</t>
  </si>
  <si>
    <t>DEL|BLR|6E828|14:30</t>
  </si>
  <si>
    <t>DEL|BLR|6E880|15:45</t>
  </si>
  <si>
    <t>DEL|BLR|6E837|17:00</t>
  </si>
  <si>
    <t>DEL|BLR|6E811|18:20</t>
  </si>
  <si>
    <t>DEL|BLR|6E861|19:30</t>
  </si>
  <si>
    <t>DEL|BLR|6E6515|20:45</t>
  </si>
  <si>
    <t>DEL|BLR|6E846|22:00</t>
  </si>
  <si>
    <t>DEL|BLR|6E871|23:30</t>
  </si>
  <si>
    <t>DEL|BLR|AI2757|00:15</t>
  </si>
  <si>
    <t>Applicable Flights 00:00 to 09:00 Hours
(AI-2653, AI-2815, AI-2803, AI-2651, IX-1170, IX-2508, AI-2409, AI-2801, AI-1506, AI-2894, AI-2757, AI-0427, AI-0507, AI-2415, AI-2502, AI-2795, IX-1482)</t>
  </si>
  <si>
    <t>Rs 4 Air India flight surcharge; Rs 5 SS surcharge on all domestic shipments (AI Notation 1(iv))</t>
  </si>
  <si>
    <t>Flight ₹4 + SS ₹5</t>
  </si>
  <si>
    <t>DEL|BLR|AI2502|03:15</t>
  </si>
  <si>
    <t>DEL|BLR|AI2653|04:30</t>
  </si>
  <si>
    <t>DEL|BLR|AI2803|06:30</t>
  </si>
  <si>
    <t>DEL|BLR|AI2795|07:30</t>
  </si>
  <si>
    <t>DEL|BLR|AI427|08:30</t>
  </si>
  <si>
    <t>DEL|BLR|AI1769|08:40</t>
  </si>
  <si>
    <t>DEL|BLR|AI2415|09:30</t>
  </si>
  <si>
    <t>DEL|BLR|AI2485|12:00</t>
  </si>
  <si>
    <t>DEL|BLR|AI2417|13:00</t>
  </si>
  <si>
    <t>DEL|BLR|AI2819|15:00</t>
  </si>
  <si>
    <t>DEL|BLR|AI2797|16:30</t>
  </si>
  <si>
    <t>DEL|BLR|AI1768|16:30</t>
  </si>
  <si>
    <t>DEL|BLR|AI2420|18:00</t>
  </si>
  <si>
    <t>DEL|BLR|AI2487|18:30</t>
  </si>
  <si>
    <t>DEL|BLR|AI2512|19:00</t>
  </si>
  <si>
    <t>DEL|BLR|AI2809|19:30</t>
  </si>
  <si>
    <t>DEL|BLR|AI2412|21:30</t>
  </si>
  <si>
    <t>DEL|BLR|AI2755|22:30</t>
  </si>
  <si>
    <t>DEL|BLR|QP1335|14:55</t>
  </si>
  <si>
    <t>DEL|BLR|QP1822|16:40</t>
  </si>
  <si>
    <t>DEL|BLR|QP1824|20:10</t>
  </si>
  <si>
    <t>DEL|BLR|QP1308|20:55</t>
  </si>
  <si>
    <t>DEL|BLR|QP1350|21:55</t>
  </si>
  <si>
    <t>DEL|BLR|QP1812|22:55</t>
  </si>
  <si>
    <t>DEL|BLR|IX1482|08:30</t>
  </si>
  <si>
    <t>DEL|BLR|IX1070|18:35</t>
  </si>
  <si>
    <t>DEL|BLR|IX5984|23:25</t>
  </si>
  <si>
    <t>DEL|CCU|6E5191|04:45</t>
  </si>
  <si>
    <t>DEL|CCU|6E340|07:20</t>
  </si>
  <si>
    <t>DEL|CCU|6E513|08:30</t>
  </si>
  <si>
    <t>DEL|CCU|6E894|10:15</t>
  </si>
  <si>
    <t>DEL|CCU|6E2487|11:50</t>
  </si>
  <si>
    <t>DEL|CCU|6E897|12:45</t>
  </si>
  <si>
    <t>DEL|CCU|6E910|14:25</t>
  </si>
  <si>
    <t>DEL|CCU|6E6415|16:00</t>
  </si>
  <si>
    <t>DEL|CCU|6E2276|17:55</t>
  </si>
  <si>
    <t>DEL|CCU|6E6517|19:30</t>
  </si>
  <si>
    <t>DEL|CCU|6E389|21:50</t>
  </si>
  <si>
    <t>DEL|CCU|6E247|23:30</t>
  </si>
  <si>
    <t>DEL|CCU|AI173|00:05</t>
  </si>
  <si>
    <t>DEL|CCU|AI185|01:40</t>
  </si>
  <si>
    <t>DEL|CCU|AI2702|02:30</t>
  </si>
  <si>
    <t>Applicable Flights 00:00 to 09:00 Hours
(AI-2535, AI-2702, AI-2747, AI-2705, AI-2764, AI-2912, AI-2931)</t>
  </si>
  <si>
    <t>DEL|CCU|AI2535|06:15</t>
  </si>
  <si>
    <t>DEL|CCU|AI2535|06:40</t>
  </si>
  <si>
    <t>DEL|CCU|AI2705|07:30</t>
  </si>
  <si>
    <t>DEL|CCU|AI1791|09:30</t>
  </si>
  <si>
    <t>DEL|CCU|AI1791|09:55</t>
  </si>
  <si>
    <t>DEL|CCU|AI183|10:50</t>
  </si>
  <si>
    <t>DEL|CCU|AI1704|13:00</t>
  </si>
  <si>
    <t>DEL|CCU|AI2767|13:00</t>
  </si>
  <si>
    <t>DEL|CCU|AI1733|16:15</t>
  </si>
  <si>
    <t>DEL|CCU|AI2707|18:00</t>
  </si>
  <si>
    <t>DEL|CCU|AI2709|19:10</t>
  </si>
  <si>
    <t>DEL|CCU|AI2709|19:40</t>
  </si>
  <si>
    <t>DEL|CCU|AI1714|21:00</t>
  </si>
  <si>
    <t>DEL|CCU|AI2727|22:00</t>
  </si>
  <si>
    <t>DEL|CCU|SG905|20:10</t>
  </si>
  <si>
    <t>DEL|CCU|QP1801|05:55</t>
  </si>
  <si>
    <t>DEL|CCU|QP1803|17:05</t>
  </si>
  <si>
    <t>DEL|CCU|QP1803|17:10</t>
  </si>
  <si>
    <t>DEL|HYD|6E704|02:25</t>
  </si>
  <si>
    <t>DEL|HYD|6E203|07:10</t>
  </si>
  <si>
    <t>DEL|HYD|6E705|08:30</t>
  </si>
  <si>
    <t>DEL|HYD|6E6293|09:55</t>
  </si>
  <si>
    <t>DEL|HYD|6E884|11:45</t>
  </si>
  <si>
    <t>DEL|HYD|6E6282|13:30</t>
  </si>
  <si>
    <t>DEL|HYD|6E6212|14:45</t>
  </si>
  <si>
    <t>DEL|HYD|6E6217|16:15</t>
  </si>
  <si>
    <t>DEL|HYD|6E717|17:55</t>
  </si>
  <si>
    <t>DEL|HYD|6E6601|19:45</t>
  </si>
  <si>
    <t>DEL|HYD|6E382|21:00</t>
  </si>
  <si>
    <t>DEL|HYD|6E882|23:15</t>
  </si>
  <si>
    <t>DEL|HYD|AI2577|02:00</t>
  </si>
  <si>
    <t>Applicable Flights 00:00 to 09:00 Hours
(AI-2577, AI-2560, AI-2829, AI-1793, AI-2513)</t>
  </si>
  <si>
    <t>DEL|HYD|AI1793|06:00</t>
  </si>
  <si>
    <t>DEL|HYD|AI2560|07:00</t>
  </si>
  <si>
    <t>DEL|HYD|AI2542|09:40</t>
  </si>
  <si>
    <t>DEL|HYD|AI2859|10:30</t>
  </si>
  <si>
    <t>DEL|HYD|AI2471|11:30</t>
  </si>
  <si>
    <t>DEL|HYD|AI2899|12:30</t>
  </si>
  <si>
    <t>DEL|HYD|AI2465|14:30</t>
  </si>
  <si>
    <t>DEL|HYD|AI2519|16:00</t>
  </si>
  <si>
    <t>DEL|HYD|AI2879|18:00</t>
  </si>
  <si>
    <t>DEL|HYD|AI2721|19:30</t>
  </si>
  <si>
    <t>DEL|HYD|AI2871|21:00</t>
  </si>
  <si>
    <t>DEL|HYD|AI2449|22:00</t>
  </si>
  <si>
    <t>Flight Number AI-2449 AI-1706</t>
  </si>
  <si>
    <t>DEL|HYD|AI1706|23:00</t>
  </si>
  <si>
    <t>DEL|HYD|QP1406|14:10</t>
  </si>
  <si>
    <t>DEL|HYD|QP1409|20:40</t>
  </si>
  <si>
    <t>DEL|MAA|6E2368|07:15</t>
  </si>
  <si>
    <t>DEL|MAA|6E940|09:15</t>
  </si>
  <si>
    <t>DEL|MAA|6E434|11:00</t>
  </si>
  <si>
    <t>DEL|MAA|6E6115|13:10</t>
  </si>
  <si>
    <t>DEL|MAA|6E6091|15:15</t>
  </si>
  <si>
    <t>DEL|MAA|6E947|16:40</t>
  </si>
  <si>
    <t>DEL|MAA|6E950|18:15</t>
  </si>
  <si>
    <t>DEL|MAA|6E6341|20:30</t>
  </si>
  <si>
    <t>DEL|MAA|6E6061|22:55</t>
  </si>
  <si>
    <t>DEL|MAA|AI2496|03:00</t>
  </si>
  <si>
    <t>Applicable Flight 
(AI-2525, AI-2833, AI-0891, AI-2467, AI 2693, AI-2885, AI-0537, AI-2895, AI-2496)</t>
  </si>
  <si>
    <t>DEL|MAA|AI2525|06:00</t>
  </si>
  <si>
    <t>DEL|MAA|AI2833|07:30</t>
  </si>
  <si>
    <t>DEL|MAA|AI2467|10:00</t>
  </si>
  <si>
    <t>DEL|MAA|AI2475|10:45</t>
  </si>
  <si>
    <t>DEL|MAA|AI2877|12:45</t>
  </si>
  <si>
    <t>DEL|MAA|AI537|15:45</t>
  </si>
  <si>
    <t>DEL|MAA|AI2835|19:30</t>
  </si>
  <si>
    <t>DEL|MAA|AI2759|20:00</t>
  </si>
  <si>
    <t>DEL|MAA|AI2895|21:50</t>
  </si>
  <si>
    <t>DEL|PNQ|6E2343|02:20</t>
  </si>
  <si>
    <t>DEL|PNQ|6E5322|04:40</t>
  </si>
  <si>
    <t>DEL|PNQ|6E2262|06:10</t>
  </si>
  <si>
    <t>DEL|PNQ|6E2132|09:40</t>
  </si>
  <si>
    <t>DEL|PNQ|6E2487|11:50</t>
  </si>
  <si>
    <t>DEL|PNQ|6E6437|16:25</t>
  </si>
  <si>
    <t>DEL|PNQ|6E2623|18:15</t>
  </si>
  <si>
    <t>DEL|PNQ|6E6673|21:15</t>
  </si>
  <si>
    <t>DEL|PNQ|6E2618|23:00</t>
  </si>
  <si>
    <t>DEL|PNQ|AI2711|02:10</t>
  </si>
  <si>
    <t>DEL|PNQ|AI2711|02:00</t>
  </si>
  <si>
    <t>DEL|PNQ|AI2469|04:45</t>
  </si>
  <si>
    <t>Applicable Flights 00:00 to 09:00 Hours
(AI-0853, IX-1011, AI-0871, AI-2469, IX-1230, AI-1797)</t>
  </si>
  <si>
    <t>Rs 2 Air India flight surcharge; Rs 5 SS surcharge on all domestic shipments (AI Notation 1(iv))</t>
  </si>
  <si>
    <t>Flight ₹2 + SS ₹5</t>
  </si>
  <si>
    <t>DEL|PNQ|AI1797|05:45</t>
  </si>
  <si>
    <t>DEL|PNQ|AI1735|13:10</t>
  </si>
  <si>
    <t>DEL|PNQ|AI1735|13:00</t>
  </si>
  <si>
    <t>DEL|PNQ|AI2971|16:00</t>
  </si>
  <si>
    <t>DEL|PNQ|AI1740|17:40</t>
  </si>
  <si>
    <t>DEL|PNQ|AI2547|17:40</t>
  </si>
  <si>
    <t>DEL|PNQ|AI1730|19:10</t>
  </si>
  <si>
    <t>DEL|PNQ|AI2973|20:50</t>
  </si>
  <si>
    <t>DEL|PNQ|AI2609|23:50</t>
  </si>
  <si>
    <t>DEL|PNQ|SG939|16:55</t>
  </si>
  <si>
    <t>DEL|PNQ|SG105|21:45</t>
  </si>
  <si>
    <t>DEL|PNQ|QP1871|10:50</t>
  </si>
  <si>
    <t>DEL|PNQ|QP1608|15:00</t>
  </si>
  <si>
    <t>DEL|PNQ|QP1809|18:10</t>
  </si>
  <si>
    <t>DEL|PNQ|IX1230|04:25</t>
  </si>
  <si>
    <t>DEL|PNQ|IX1230|04:40</t>
  </si>
  <si>
    <t>DEL|PNQ|IX1257|22:25</t>
  </si>
  <si>
    <t>HYD|AMD|6E134|08:50</t>
  </si>
  <si>
    <t>HYD|AMD|6E6099|12:30</t>
  </si>
  <si>
    <t>HYD|AMD|6E6727|18:15</t>
  </si>
  <si>
    <t>HYD|AMD|6E216|21:15</t>
  </si>
  <si>
    <t>HYD|BOM|6E5143|03:00</t>
  </si>
  <si>
    <t>For All Flights (Except 6E 5245)</t>
  </si>
  <si>
    <t>HYD|BOM|6E5245|05:00</t>
  </si>
  <si>
    <t>Applicable for 6E 5245</t>
  </si>
  <si>
    <t>HYD|BOM|6E6196|06:30</t>
  </si>
  <si>
    <t>HYD|BOM|6E5213|08:00</t>
  </si>
  <si>
    <t>HYD|BOM|6E5174|09:30</t>
  </si>
  <si>
    <t>HYD|BOM|6E5384|12:55</t>
  </si>
  <si>
    <t>HYD|BOM|6E5099|14:15</t>
  </si>
  <si>
    <t>HYD|BOM|6E5259|17:20</t>
  </si>
  <si>
    <t>HYD|BOM|6E5039|19:00</t>
  </si>
  <si>
    <t>HYD|BOM|6E5203|22:05</t>
  </si>
  <si>
    <t>HYD|BOM|6E6363|23:30</t>
  </si>
  <si>
    <t>HYD|BOM|AI2872|05:50</t>
  </si>
  <si>
    <t>HYD|BOM|AI2626|07:25</t>
  </si>
  <si>
    <t>HYD|BOM|AI418|11:30</t>
  </si>
  <si>
    <t>HYD|BOM|AI2447|17:25</t>
  </si>
  <si>
    <t>HYD|BOM|AI2699|22:20</t>
  </si>
  <si>
    <t>HYD|BOM|AI2451|22:50</t>
  </si>
  <si>
    <t>HYD|BLR|6E413|06:30</t>
  </si>
  <si>
    <t>Applicable for 6E413 &amp; 6E887</t>
  </si>
  <si>
    <t>HYD|BLR|6E151|08:05</t>
  </si>
  <si>
    <t>For All Flights (Except 6E413 &amp; 6E887)</t>
  </si>
  <si>
    <t>HYD|BLR|6E6066|09:35</t>
  </si>
  <si>
    <t>HYD|BLR|6E311|12:50</t>
  </si>
  <si>
    <t>HYD|BLR|6E6405|14:30</t>
  </si>
  <si>
    <t>HYD|BLR|6E314|16:30</t>
  </si>
  <si>
    <t>HYD|BLR|6E6417|17:45</t>
  </si>
  <si>
    <t>HYD|BLR|6E6783|18:45</t>
  </si>
  <si>
    <t>HYD|BLR|6E285|20:00</t>
  </si>
  <si>
    <t>HYD|BLR|6E6505|21:25</t>
  </si>
  <si>
    <t>HYD|BLR|IX2934|06:20</t>
  </si>
  <si>
    <t>HYD|BLR|IX2934|10:10</t>
  </si>
  <si>
    <t>HYD|BLR|IX2019|08:05</t>
  </si>
  <si>
    <t>HYD|BLR|IX1407|11:15</t>
  </si>
  <si>
    <t>HYD|BLR|IX1345|16:50</t>
  </si>
  <si>
    <t>HYD|BLR|IX2983|19:20</t>
  </si>
  <si>
    <t>HYD|BLR|IX1378|21:15</t>
  </si>
  <si>
    <t>HYD|CCU|6E6494|05:55</t>
  </si>
  <si>
    <t>HYD|CCU|6E664|08:15</t>
  </si>
  <si>
    <t>HYD|CCU|6E376|11:55</t>
  </si>
  <si>
    <t>HYD|CCU|6E6907|14:00</t>
  </si>
  <si>
    <t>HYD|CCU|6E283|17:55</t>
  </si>
  <si>
    <t>HYD|CCU|6E944|21:15</t>
  </si>
  <si>
    <t>HYD|DEL|6E706|02:15</t>
  </si>
  <si>
    <t>HYD|DEL|6E709|05:20</t>
  </si>
  <si>
    <t>HYD|DEL|6E707|06:25</t>
  </si>
  <si>
    <t>HYD|DEL|6E6281|10:00</t>
  </si>
  <si>
    <t>For All Flights departed between 07:01 TO 24:00 HRS</t>
  </si>
  <si>
    <t>HYD|DEL|6E6202|11:35</t>
  </si>
  <si>
    <t>HYD|DEL|6E6031|13:00</t>
  </si>
  <si>
    <t>HYD|DEL|6E711|14:40</t>
  </si>
  <si>
    <t>HYD|DEL|6E6372|16:25</t>
  </si>
  <si>
    <t>HYD|DEL|6E710|17:45</t>
  </si>
  <si>
    <t>HYD|DEL|6E6043|19:10</t>
  </si>
  <si>
    <t>HYD|DEL|6E890|21:00</t>
  </si>
  <si>
    <t>HYD|DEL|6E6025|23:50</t>
  </si>
  <si>
    <t>HYD|DEL|AI1806|05:30</t>
  </si>
  <si>
    <t>Applicable Flights 04:00 to 07:00 Hours
(AI-2578, AI-1806)</t>
  </si>
  <si>
    <t>HYD|DEL|AI2860|07:30</t>
  </si>
  <si>
    <t>HYD|DEL|AI2466|08:35</t>
  </si>
  <si>
    <t>HYD|DEL|AI1866|09:40</t>
  </si>
  <si>
    <t>HYD|DEL|AI2543|10:35</t>
  </si>
  <si>
    <t>HYD|DEL|AI2559|12:45</t>
  </si>
  <si>
    <t>HYD|DEL|AI2472|14:45</t>
  </si>
  <si>
    <t>HYD|DEL|AI2541|15:25</t>
  </si>
  <si>
    <t>HYD|DEL|AI2890|17:30</t>
  </si>
  <si>
    <t>HYD|DEL|AI2880|18:25</t>
  </si>
  <si>
    <t>HYD|DEL|AI2520|20:00</t>
  </si>
  <si>
    <t>HYD|DEL|AI2870|21:30</t>
  </si>
  <si>
    <t>HYD|DEL|AI2722|22:30</t>
  </si>
  <si>
    <t>HYD|DEL|AI2776|23:50</t>
  </si>
  <si>
    <t>HYD|DEL|QP1405|06:00</t>
  </si>
  <si>
    <t>HYD|DEL|QP1407|17:30</t>
  </si>
  <si>
    <t>HYD|MAA|6E243|07:05</t>
  </si>
  <si>
    <t>HYD|MAA|6E6151|10:00</t>
  </si>
  <si>
    <t>HYD|MAA|6E514|14:10</t>
  </si>
  <si>
    <t>HYD|MAA|6E668|16:20</t>
  </si>
  <si>
    <t>HYD|MAA|6E598|17:55</t>
  </si>
  <si>
    <t>HYD|MAA|6E6486|19:00</t>
  </si>
  <si>
    <t>HYD|MAA|6E6174|20:40</t>
  </si>
  <si>
    <t>HYD|PNQ|6E337|01:10</t>
  </si>
  <si>
    <t>HYD|PNQ|6E351|04:35</t>
  </si>
  <si>
    <t>HYD|PNQ|6E6471|10:50</t>
  </si>
  <si>
    <t>HYD|PNQ|6E311|12:50</t>
  </si>
  <si>
    <t>HYD|PNQ|6E522|13:40</t>
  </si>
  <si>
    <t>HYD|PNQ|6E157|14:40</t>
  </si>
  <si>
    <t>HYD|PNQ|6E402|15:35</t>
  </si>
  <si>
    <t>HYD|PNQ|6E576|16:15</t>
  </si>
  <si>
    <t>HYD|PNQ|6E426|20:20</t>
  </si>
  <si>
    <t>PNQ|AMD|6E819|04:40</t>
  </si>
  <si>
    <t>For all flights departed between 01:00 Hrs to 17:30 Hrs</t>
  </si>
  <si>
    <t>PNQ|AMD|6E2155|08:55</t>
  </si>
  <si>
    <t>PNQ|AMD|6E6553|15:50</t>
  </si>
  <si>
    <t>PNQ|AMD|6E547|22:40</t>
  </si>
  <si>
    <t>For all flights departed between 17:31 Hrs to 00:59 Hrs</t>
  </si>
  <si>
    <t>PNQ|AMD|QP1916|17:55</t>
  </si>
  <si>
    <t>PNQ|AMD|QP1918|22:50</t>
  </si>
  <si>
    <t>PNQ|BLR|6E361|01:15</t>
  </si>
  <si>
    <t>All Flights Except 6E 6877, 6E 6564</t>
  </si>
  <si>
    <t>PNQ|BLR|6E6564|03:15</t>
  </si>
  <si>
    <t>Applicable for 6E 6877, 6E 6564</t>
  </si>
  <si>
    <t>PNQ|BLR|6E6877|05:00</t>
  </si>
  <si>
    <t>PNQ|BLR|6E6877|04:50</t>
  </si>
  <si>
    <t>PNQ|BLR|6E391|06:40</t>
  </si>
  <si>
    <t>PNQ|BLR|6E133|10:55</t>
  </si>
  <si>
    <t>PNQ|BLR|6E302|14:40</t>
  </si>
  <si>
    <t>PNQ|BLR|6E137|16:55</t>
  </si>
  <si>
    <t>PNQ|BLR|6E174|17:40</t>
  </si>
  <si>
    <t>PNQ|BLR|6E577|18:30</t>
  </si>
  <si>
    <t>PNQ|BLR|6E107|20:55</t>
  </si>
  <si>
    <t>PNQ|BLR|6E6055|23:50</t>
  </si>
  <si>
    <t>PNQ|BLR|QP1312|07:25</t>
  </si>
  <si>
    <t>PNQ|BLR|QP1326|13:00</t>
  </si>
  <si>
    <t>PNQ|BLR|QP1326|10:25</t>
  </si>
  <si>
    <t>PNQ|BLR|QP1314|12:30</t>
  </si>
  <si>
    <t>PNQ|BLR|QP1316|17:35</t>
  </si>
  <si>
    <t>PNQ|BLR|QP1318|22:10</t>
  </si>
  <si>
    <t>PNQ|BLR|IX2681|00:05</t>
  </si>
  <si>
    <t>PNQ|BLR|IX2706|05:10</t>
  </si>
  <si>
    <t>PNQ|BLR|IX2718|14:55</t>
  </si>
  <si>
    <t>PNQ|BLR|IX2874|18:35</t>
  </si>
  <si>
    <t>PNQ|BLR|IX2839|20:35</t>
  </si>
  <si>
    <t>PNQ|CCU|6E6359|05:35</t>
  </si>
  <si>
    <t>Applicable for 6E 6359</t>
  </si>
  <si>
    <t>PNQ|CCU|6E6561|17:40</t>
  </si>
  <si>
    <t>All Flights Except 6E6359</t>
  </si>
  <si>
    <t>PNQ|CCU|6E6561|18:05</t>
  </si>
  <si>
    <t>PNQ|CCU|6E6921|23:45</t>
  </si>
  <si>
    <t>PNQ|CCU|QP1563|16:50</t>
  </si>
  <si>
    <t>PNQ|DEL|6E5321|00:15</t>
  </si>
  <si>
    <t>All flights Except 6E 2419</t>
  </si>
  <si>
    <t>PNQ|DEL|6E2418|01:45</t>
  </si>
  <si>
    <t>PNQ|DEL|6E6253|05:05</t>
  </si>
  <si>
    <t>PNQ|DEL|6E2419|05:05</t>
  </si>
  <si>
    <t>Applicable for 6E 2419</t>
  </si>
  <si>
    <t>PNQ|DEL|6E2375|07:25</t>
  </si>
  <si>
    <t>PNQ|DEL|6E2661|08:50</t>
  </si>
  <si>
    <t>PNQ|DEL|6E6431|12:25</t>
  </si>
  <si>
    <t>PNQ|DEL|6E2285|14:45</t>
  </si>
  <si>
    <t>PNQ|DEL|6E2126|19:10</t>
  </si>
  <si>
    <t>PNQ|DEL|6E2624|21:00</t>
  </si>
  <si>
    <t>PNQ|DEL|AI2608|00:35</t>
  </si>
  <si>
    <t>Applicable Flights: AI-2608, AI-2712, AI-2404</t>
  </si>
  <si>
    <t>PNQ|DEL|AI2712|04:55</t>
  </si>
  <si>
    <t>PNQ|DEL|AI2404|05:15</t>
  </si>
  <si>
    <t>PNQ|DEL|AI2470|07:40</t>
  </si>
  <si>
    <t>PNQ|DEL|AI1838|08:45</t>
  </si>
  <si>
    <t>PNQ|DEL|AI1839|15:50</t>
  </si>
  <si>
    <t>PNQ|DEL|AI2972|18:45</t>
  </si>
  <si>
    <t>PNQ|DEL|AI1853|20:30</t>
  </si>
  <si>
    <t>PNQ|DEL|AI1804|22:00</t>
  </si>
  <si>
    <t>PNQ|DEL|SG106|00:55</t>
  </si>
  <si>
    <t>PNQ|DEL|SG937|05:55</t>
  </si>
  <si>
    <t>PNQ|DEL|QP1607|07:50</t>
  </si>
  <si>
    <t>PNQ|DEL|QP1872|14:05</t>
  </si>
  <si>
    <t>PNQ|DEL|QP1810|21:05</t>
  </si>
  <si>
    <t>PNQ|DEL|IX1672|07:40</t>
  </si>
  <si>
    <t>PNQ|DEL|IX1672|08:00</t>
  </si>
  <si>
    <t>PNQ|DEL|IX1231|18:50</t>
  </si>
  <si>
    <t>PNQ|HYD|6E336|01:50</t>
  </si>
  <si>
    <t>PNQ|HYD|6E352|06:25</t>
  </si>
  <si>
    <t>PNQ|HYD|6E6473|12:40</t>
  </si>
  <si>
    <t>PNQ|HYD|6E407|14:50</t>
  </si>
  <si>
    <t>PNQ|HYD|6E158|16:25</t>
  </si>
  <si>
    <t>PNQ|HYD|6E403|17:30</t>
  </si>
  <si>
    <t>PNQ|HYD|6E577|18:30</t>
  </si>
  <si>
    <t>PNQ|HYD|6E103|22:20</t>
  </si>
  <si>
    <t>PNQ|MAA|6E6745|00:45</t>
  </si>
  <si>
    <t>PNQ|MAA|6E159|05:30</t>
  </si>
  <si>
    <t>PNQ|MAA|6E625|13:35</t>
  </si>
  <si>
    <t>PNQ|MAA|6E6714|19:00</t>
  </si>
  <si>
    <t>PNQ|MAA|6E238|22:45</t>
  </si>
  <si>
    <t>PNQ|MAA|IX2660|00:15</t>
  </si>
  <si>
    <t>MAA|AMD|6E244|03:55</t>
  </si>
  <si>
    <t>Rs 2 IndiGo sector surcharge; Rs 4 Fuel surcharge, PAN India on chargeable weight (IndiGo footnotes)</t>
  </si>
  <si>
    <t>Sector ₹2 + Fuel ₹4</t>
  </si>
  <si>
    <t>MAA|AMD|6E6374|13:50</t>
  </si>
  <si>
    <t>MAA|AMD|6E848|17:50</t>
  </si>
  <si>
    <t>MAA|AMD|QP1320|18:10</t>
  </si>
  <si>
    <t>MAA|BOM|6E6140|02:30</t>
  </si>
  <si>
    <t>For flights departed between 01:00 HRS to 07:30 HRS</t>
  </si>
  <si>
    <t>MAA|BOM|6E5093|05:00</t>
  </si>
  <si>
    <t>MAA|BOM|6E5314|06:45</t>
  </si>
  <si>
    <t>MAA|BOM|6E6348|09:00</t>
  </si>
  <si>
    <t>For flights departed between 07:31 HRS to 00:59 HRS</t>
  </si>
  <si>
    <t>MAA|BOM|6E5214|11:00</t>
  </si>
  <si>
    <t>MAA|BOM|6E5258|12:45</t>
  </si>
  <si>
    <t>MAA|BOM|6E5371|14:45</t>
  </si>
  <si>
    <t>MAA|BOM|6E5104|16:40</t>
  </si>
  <si>
    <t>MAA|BOM|6E5367|18:15</t>
  </si>
  <si>
    <t>MAA|BOM|6E5149|20:15</t>
  </si>
  <si>
    <t>MAA|BOM|6E6225|22:30</t>
  </si>
  <si>
    <t>MAA|BOM|AI2779|07:00</t>
  </si>
  <si>
    <t>Applicable Flight 
(AI-2828, AI-0571, AI-2779)</t>
  </si>
  <si>
    <t>MAA|BOM|AI2779|06:25</t>
  </si>
  <si>
    <t>MAA|BOM|AI2822|09:35</t>
  </si>
  <si>
    <t>MAA|BOM|AI2740|16:00</t>
  </si>
  <si>
    <t>MAA|BOM|AI640|18:00</t>
  </si>
  <si>
    <t>MAA|BOM|AI436|21:05</t>
  </si>
  <si>
    <t>MAA|BOM|AI2760|23:30</t>
  </si>
  <si>
    <t>MAA|BOM|QP1146|13:35</t>
  </si>
  <si>
    <t>MAA|BLR|6E6081|07:05</t>
  </si>
  <si>
    <t>MAA|BLR|6E6815|08:55</t>
  </si>
  <si>
    <t>MAA|BLR|6E6892|10:55</t>
  </si>
  <si>
    <t>MAA|BLR|6E6209|14:35</t>
  </si>
  <si>
    <t>MAA|BLR|6E847|16:15</t>
  </si>
  <si>
    <t>MAA|BLR|6E365|17:45</t>
  </si>
  <si>
    <t>MAA|BLR|6E189|19:05</t>
  </si>
  <si>
    <t>MAA|BLR|6E796|22:00</t>
  </si>
  <si>
    <t>MAA|BLR|IX2975|06:25</t>
  </si>
  <si>
    <t>MAA|BLR|IX1929|07:05</t>
  </si>
  <si>
    <t>MAA|BLR|IX1385|08:45</t>
  </si>
  <si>
    <t>MAA|BLR|IX1384|08:55</t>
  </si>
  <si>
    <t>MAA|BLR|IX2507|17:15</t>
  </si>
  <si>
    <t>MAA|BLR|IX2507|16:30</t>
  </si>
  <si>
    <t>MAA|BLR|IX2662|22:25</t>
  </si>
  <si>
    <t>MAA|BLR|IX2662|21:25</t>
  </si>
  <si>
    <t>MAA|CCU|6E987|05:25</t>
  </si>
  <si>
    <t>MAA|CCU|6E321|08:20</t>
  </si>
  <si>
    <t>MAA|CCU|6E6326|11:45</t>
  </si>
  <si>
    <t>MAA|CCU|6E606|18:05</t>
  </si>
  <si>
    <t>MAA|CCU|6E923|21:10</t>
  </si>
  <si>
    <t>MAA|CCU|IX1256|09:40</t>
  </si>
  <si>
    <t>MAA|CCU|IX1577|19:40</t>
  </si>
  <si>
    <t>MAA|DEL|6E937|06:30</t>
  </si>
  <si>
    <t>For All Flights departed between 00:00 TO 09:30 HRS</t>
  </si>
  <si>
    <t>MAA|DEL|6E404|09:15</t>
  </si>
  <si>
    <t>MAA|DEL|6E6002|11:10</t>
  </si>
  <si>
    <t>For All Flights departed between 09:31 TO 23:59 HRS</t>
  </si>
  <si>
    <t>MAA|DEL|6E939|13:00</t>
  </si>
  <si>
    <t>MAA|DEL|6E948|14:30</t>
  </si>
  <si>
    <t>MAA|DEL|6E698|16:45</t>
  </si>
  <si>
    <t>MAA|DEL|6E613|19:00</t>
  </si>
  <si>
    <t>MAA|DEL|6E951|21:50</t>
  </si>
  <si>
    <t>MAA|DEL|6E2369|23:45</t>
  </si>
  <si>
    <t>MAA|DEL|AI2832|06:55</t>
  </si>
  <si>
    <t>Applicable Flight 
(AI-2550, AI-2832, AI-2896)</t>
  </si>
  <si>
    <t>MAA|DEL|AI2886|08:05</t>
  </si>
  <si>
    <t>Applicable Flight 
(AI-2886)</t>
  </si>
  <si>
    <t>MAA|DEL|AI2526|09:50</t>
  </si>
  <si>
    <t>MAA|DEL|AI2836|11:00</t>
  </si>
  <si>
    <t>MAA|DEL|AI2468|14:00</t>
  </si>
  <si>
    <t>MAA|DEL|AI538|20:10</t>
  </si>
  <si>
    <t>MAA|HYD|6E495|07:10</t>
  </si>
  <si>
    <t>MAA|HYD|6E834|09:05</t>
  </si>
  <si>
    <t>MAA|HYD|6E6925|12:00</t>
  </si>
  <si>
    <t>MAA|HYD|6E6158|16:10</t>
  </si>
  <si>
    <t>MAA|HYD|6E562|18:20</t>
  </si>
  <si>
    <t>MAA|HYD|6E193|20:00</t>
  </si>
  <si>
    <t>MAA|HYD|6E6487|21:25</t>
  </si>
  <si>
    <t>MAA|HYD|IX2844|13:45</t>
  </si>
  <si>
    <t>MAA|PNQ|6E253|03:10</t>
  </si>
  <si>
    <t>MAA|PNQ|6E607|05:40</t>
  </si>
  <si>
    <t>MAA|PNQ|6E607|04:50</t>
  </si>
  <si>
    <t>MAA|PNQ|6E502|11:10</t>
  </si>
  <si>
    <t>MAA|PNQ|6E183|16:35</t>
  </si>
  <si>
    <t>MAA|PNQ|6E561|22:20</t>
  </si>
  <si>
    <t>MAA|PNQ|IX2661|22:05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</si>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</sst>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\-mmm\-yy"/>
    <numFmt numFmtId="168" formatCode="dd\-mmm\-yy\ hh:mm"/>
  </numFmts>
  <fonts count="22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i/>
      <sz val="9"/>
      <color rgb="FF999999"/>
      <name val="Arial"/>
      <family val="2"/>
    </font>
    <font>
      <b/>
      <sz val="18"/>
      <color rgb="FFFFFFFF"/>
      <name val="Aptos Narrow"/>
      <family val="2"/>
    </font>
    <font>
      <sz val="11"/>
      <color theme="1"/>
      <name val="Aptos Narrow"/>
      <family val="2"/>
    </font>
    <font>
      <i/>
      <sz val="10"/>
      <color rgb="FF595959"/>
      <name val="Aptos Narrow"/>
      <family val="2"/>
    </font>
    <font>
      <b/>
      <sz val="11"/>
      <name val="Aptos Narrow"/>
      <family val="2"/>
    </font>
    <font>
      <b/>
      <sz val="12"/>
      <color rgb="FF1F4E78"/>
      <name val="Aptos Narrow"/>
      <family val="2"/>
    </font>
    <font>
      <i/>
      <sz val="11"/>
      <color rgb="FF595959"/>
      <name val="Aptos Narrow"/>
      <family val="2"/>
    </font>
    <font>
      <b/>
      <sz val="13"/>
      <color rgb="FF1F4E78"/>
      <name val="Aptos Narrow"/>
      <family val="2"/>
    </font>
    <font>
      <b/>
      <sz val="16"/>
      <color rgb="FF1F4E78"/>
      <name val="Aptos Narrow"/>
      <family val="2"/>
    </font>
    <font>
      <b/>
      <sz val="14"/>
      <name val="Aptos Narrow"/>
      <family val="2"/>
    </font>
    <font>
      <b/>
      <sz val="11"/>
      <color rgb="FF833C0C"/>
      <name val="Aptos Narrow"/>
      <family val="2"/>
    </font>
    <font>
      <sz val="10"/>
      <name val="Aptos Narrow"/>
      <family val="2"/>
    </font>
    <font>
      <b/>
      <sz val="9"/>
      <name val="Aptos Narrow"/>
      <family val="2"/>
    </font>
    <font>
      <b/>
      <sz val="10"/>
      <color rgb="FFFFFFFF"/>
      <name val="Aptos Narrow"/>
      <family val="2"/>
    </font>
    <font>
      <b/>
      <sz val="10"/>
      <name val="Aptos Narrow"/>
      <family val="2"/>
    </font>
    <font>
      <b/>
      <sz val="11"/>
      <color rgb="FF375623"/>
      <name val="Aptos Narrow"/>
      <family val="2"/>
    </font>
    <font>
      <i/>
      <sz val="8"/>
      <color rgb="FF595959"/>
      <name val="Aptos Narrow"/>
      <family val="2"/>
    </font>
    <font>
      <i/>
      <sz val="9"/>
      <color rgb="FF595959"/>
      <name val="Aptos Narrow"/>
      <family val="2"/>
    </font>
    <font>
      <b/>
      <sz val="11"/>
      <color rgb="FF1F4E78"/>
      <name val="Aptos Narrow"/>
      <family val="2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DCE6F1"/>
        <bgColor rgb="FFF2F2F2"/>
      </patternFill>
    </fill>
    <fill>
      <patternFill patternType="solid">
        <fgColor rgb="FF2E74B5"/>
        <bgColor rgb="FF0066CC"/>
      </patternFill>
    </fill>
    <fill>
      <patternFill patternType="solid">
        <fgColor rgb="FF375623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2E74B5"/>
      </patternFill>
    </fill>
    <fill>
      <patternFill patternType="solid">
        <fgColor rgb="FFC55A11"/>
      </patternFill>
    </fill>
  </fills>
  <borders count="1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7B7B7"/>
      </right>
      <top/>
      <bottom style="medium">
        <color indexed="64"/>
      </bottom>
      <diagonal/>
    </border>
    <border>
      <left/>
      <right style="thin">
        <color rgb="FFB7B7B7"/>
      </right>
      <top/>
      <bottom style="medium">
        <color indexed="64"/>
      </bottom>
      <diagonal/>
    </border>
    <border>
      <left style="medium">
        <color indexed="64"/>
      </left>
      <right style="thin">
        <color rgb="FFB7B7B7"/>
      </right>
      <top style="medium">
        <color indexed="64"/>
      </top>
      <bottom style="medium">
        <color indexed="64"/>
      </bottom>
      <diagonal/>
    </border>
    <border>
      <left/>
      <right style="thin">
        <color rgb="FFB7B7B7"/>
      </right>
      <top style="medium">
        <color indexed="64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left" vertical="center" indent="1"/>
    </xf>
    <xf numFmtId="0" fontId="13" fillId="0" borderId="7" xfId="0" applyFont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5" fillId="7" borderId="0" xfId="0" applyFont="1" applyFill="1" applyAlignment="1">
      <alignment horizontal="center" vertical="center" wrapText="1"/>
    </xf>
    <xf numFmtId="0" fontId="20" fillId="8" borderId="0" xfId="0" applyFont="1" applyFill="1"/>
    <xf numFmtId="0" fontId="19" fillId="0" borderId="0" xfId="0" applyFont="1"/>
    <xf numFmtId="0" fontId="15" fillId="9" borderId="0" xfId="0" applyFont="1" applyFill="1" applyAlignment="1">
      <alignment horizontal="center" vertical="center" wrapText="1"/>
    </xf>
    <xf numFmtId="0" fontId="21" fillId="0" borderId="0" xfId="0" applyFont="1"/>
    <xf numFmtId="0" fontId="0" fillId="8" borderId="0" xfId="0" applyFill="1"/>
    <xf numFmtId="166" fontId="0" fillId="8" borderId="0" xfId="0" applyNumberFormat="1" applyFill="1"/>
    <xf numFmtId="0" fontId="15" fillId="10" borderId="0" xfId="0" applyFont="1" applyFill="1" applyAlignment="1">
      <alignment horizontal="center" vertical="center" wrapText="1"/>
    </xf>
    <xf numFmtId="0" fontId="15" fillId="10" borderId="0" xfId="0" applyFont="1" applyFill="1"/>
    <xf numFmtId="166" fontId="0" fillId="0" borderId="0" xfId="0" applyNumberFormat="1"/>
    <xf numFmtId="168" fontId="0" fillId="0" borderId="0" xfId="0" applyNumberFormat="1"/>
    <xf numFmtId="0" fontId="15" fillId="11" borderId="0" xfId="0" applyFont="1" applyFill="1"/>
    <xf numFmtId="0" fontId="14" fillId="4" borderId="5" xfId="0" applyFont="1" applyFill="1" applyBorder="1" applyAlignment="1">
      <alignment horizontal="left"/>
    </xf>
    <xf numFmtId="0" fontId="0" fillId="0" borderId="8" xfId="0" applyBorder="1"/>
    <xf numFmtId="0" fontId="0" fillId="0" borderId="6" xfId="0" applyBorder="1"/>
    <xf numFmtId="0" fontId="15" fillId="5" borderId="2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0" xfId="0" applyFont="1" applyAlignment="1">
      <alignment vertical="top" wrapText="1"/>
    </xf>
    <xf numFmtId="0" fontId="4" fillId="0" borderId="0" xfId="0" applyFont="1"/>
    <xf numFmtId="0" fontId="0" fillId="0" borderId="0" xfId="0"/>
    <xf numFmtId="0" fontId="3" fillId="2" borderId="0" xfId="0" applyFont="1" applyFill="1" applyAlignment="1">
      <alignment horizontal="center" vertical="center"/>
    </xf>
    <xf numFmtId="0" fontId="15" fillId="6" borderId="2" xfId="0" applyFont="1" applyFill="1" applyBorder="1" applyAlignment="1">
      <alignment horizontal="center" vertical="center" wrapText="1"/>
    </xf>
    <xf numFmtId="0" fontId="0" fillId="0" borderId="11" xfId="0" applyBorder="1"/>
    <xf numFmtId="0" fontId="14" fillId="4" borderId="6" xfId="0" applyFont="1" applyFill="1" applyBorder="1" applyAlignment="1">
      <alignment horizontal="left"/>
    </xf>
    <xf numFmtId="0" fontId="10" fillId="4" borderId="3" xfId="0" applyFont="1" applyFill="1" applyBorder="1" applyAlignment="1">
      <alignment horizontal="left"/>
    </xf>
    <xf numFmtId="0" fontId="0" fillId="0" borderId="4" xfId="0" applyBorder="1"/>
    <xf numFmtId="0" fontId="8" fillId="0" borderId="0" xfId="0" applyFont="1" applyAlignment="1">
      <alignment horizontal="left" vertical="center"/>
    </xf>
    <xf numFmtId="0" fontId="9" fillId="4" borderId="3" xfId="0" applyFont="1" applyFill="1" applyBorder="1" applyAlignment="1">
      <alignment horizontal="left"/>
    </xf>
    <xf numFmtId="0" fontId="0" fillId="0" borderId="9" xfId="0" applyBorder="1"/>
    <xf numFmtId="0" fontId="5" fillId="0" borderId="0" xfId="0" applyFont="1" applyAlignment="1">
      <alignment horizontal="center" vertical="center"/>
    </xf>
    <xf numFmtId="0" fontId="11" fillId="4" borderId="4" xfId="0" applyFont="1" applyFill="1" applyBorder="1" applyAlignment="1">
      <alignment horizontal="left"/>
    </xf>
    <xf numFmtId="0" fontId="12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6"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ont>
        <i/>
        <color rgb="FF808080"/>
      </font>
    </dxf>
    <dxf>
      <fill>
        <patternFill patternType="solid">
          <fgColor rgb="FFFFE699"/>
          <bgColor rgb="FFFFE699"/>
        </patternFill>
      </fill>
    </dxf>
    <dxf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FF99"/>
      <rgbColor rgb="FF99CCFF"/>
      <rgbColor rgb="FFFF99CC"/>
      <rgbColor rgb="FFCC99FF"/>
      <rgbColor rgb="FFF8CBAD"/>
      <rgbColor rgb="FF2E74B5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833C0C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3"/>
  <sheetViews>
    <sheetView showGridLines="0" tabSelected="1" zoomScaleNormal="100" workbookViewId="0">
      <pane ySplit="11" topLeftCell="A12" activePane="bottomLeft" state="frozen"/>
      <selection pane="bottomLeft" activeCell="J11" sqref="J11"/>
    </sheetView>
  </sheetViews>
  <sheetFormatPr defaultColWidth="8.7109375" defaultRowHeight="15" x14ac:dyDescent="0.25"/>
  <cols>
    <col min="1" max="1" width="16" style="3" customWidth="1"/>
    <col min="2" max="2" width="11" style="3" customWidth="1"/>
    <col min="3" max="3" width="11" customWidth="1"/>
    <col min="4" max="4" width="9" style="3" customWidth="1"/>
    <col min="5" max="6" width="12" customWidth="1"/>
    <col min="7" max="10" width="9" customWidth="1"/>
    <col min="11" max="11" width="9" style="3" customWidth="1"/>
    <col min="12" max="12" width="8.7109375" style="3" customWidth="1"/>
    <col min="13" max="13" width="13" style="3" customWidth="1"/>
    <col min="14" max="14" width="8.7109375" style="3" customWidth="1"/>
    <col min="20" max="21" width="13" hidden="1" customWidth="1"/>
    <col min="24" max="26" width="13" hidden="1" customWidth="1"/>
  </cols>
  <sheetData>
    <row r="1" spans="1:26" ht="31.5" customHeight="1" x14ac:dyDescent="0.25">
      <c r="A1" s="31" t="s">
        <v>0</v>
      </c>
      <c r="B1" s="29"/>
      <c r="C1" s="30"/>
      <c r="D1" s="29"/>
      <c r="E1" s="30"/>
      <c r="F1" s="30"/>
      <c r="G1" s="30"/>
      <c r="H1" s="30"/>
      <c r="I1" s="30"/>
      <c r="J1" s="30"/>
      <c r="K1" s="29"/>
    </row>
    <row r="2" spans="1:26" ht="18" customHeight="1" x14ac:dyDescent="0.25">
      <c r="A2" s="40"/>
      <c r="B2" s="29"/>
      <c r="C2" s="30"/>
      <c r="D2" s="29"/>
      <c r="E2" s="30"/>
      <c r="F2" s="30"/>
      <c r="G2" s="30"/>
      <c r="H2" s="30"/>
      <c r="I2" s="30"/>
      <c r="J2" s="30"/>
      <c r="K2" s="29"/>
    </row>
    <row r="3" spans="1:26" ht="21.75" customHeight="1" x14ac:dyDescent="0.25">
      <c r="A3" s="4" t="s">
        <v>1</v>
      </c>
      <c r="B3" s="5" t="s">
        <v>4</v>
      </c>
      <c r="C3" s="37" t="str">
        <f>IFERROR(INDEX(Lists!$B:$B,MATCH($B3,Lists!$A:$A,0)),"")</f>
        <v>Delhi</v>
      </c>
      <c r="D3" s="29"/>
      <c r="E3" s="44" t="s">
        <v>3</v>
      </c>
      <c r="F3" s="30"/>
      <c r="G3" s="5" t="s">
        <v>50</v>
      </c>
      <c r="H3" s="37" t="str">
        <f>IFERROR(INDEX(Lists!$B:$B,MATCH($G3,Lists!$A:$A,0)),"")</f>
        <v>Coimbatore</v>
      </c>
      <c r="I3" s="30"/>
      <c r="J3" s="30"/>
    </row>
    <row r="4" spans="1:26" ht="15" customHeight="1" thickBot="1" x14ac:dyDescent="0.3">
      <c r="A4" s="43" t="str">
        <f>IFERROR("Rates: IndiGo eff. "&amp;TEXT('Flight Rates'!$X$4,"dd-mmm-yy")&amp;"  |  Air India eff. "&amp;TEXT('Flight Rates'!$X$6,"dd-mmm-yy")&amp;"  |  Linked "&amp;TEXT('Flight Rates'!$X$2,"dd-mmm-yy"),"Rates not linked yet - run link_rates.py")</f>
        <v>Rates: IndiGo eff. 16-Aug-26  |  Air India eff. 20-Aug-26  |  Linked 29-Sep-26</v>
      </c>
      <c r="B4" s="29"/>
      <c r="C4" s="30"/>
      <c r="D4" s="29"/>
      <c r="E4" s="30"/>
      <c r="F4" s="30"/>
      <c r="G4" s="30"/>
      <c r="H4" s="30"/>
      <c r="I4" s="30"/>
      <c r="J4" s="30"/>
      <c r="K4" s="29"/>
    </row>
    <row r="5" spans="1:26" ht="13.5" customHeight="1" thickBot="1" x14ac:dyDescent="0.3">
      <c r="A5" s="23" t="s">
        <v>5</v>
      </c>
      <c r="B5" s="24"/>
      <c r="C5" s="24"/>
      <c r="D5" s="25"/>
      <c r="E5" s="23" t="s">
        <v>6</v>
      </c>
      <c r="F5" s="25"/>
      <c r="G5" s="23" t="s">
        <v>7</v>
      </c>
      <c r="H5" s="25"/>
      <c r="I5" s="34" t="s">
        <v>8</v>
      </c>
      <c r="J5" s="24"/>
      <c r="K5" s="25"/>
    </row>
    <row r="6" spans="1:26" ht="21.75" customHeight="1" thickBot="1" x14ac:dyDescent="0.4">
      <c r="A6" s="38" t="str">
        <f>C3&amp;" ("&amp;$B$3&amp;")  →  "&amp;H3&amp;" ("&amp;$G$3&amp;")"</f>
        <v>Delhi (DEL)  →  Coimbatore (CJB)</v>
      </c>
      <c r="B6" s="39"/>
      <c r="C6" s="39"/>
      <c r="D6" s="36"/>
      <c r="E6" s="35">
        <f>SUMIFS('Raw Data'!$N$2:$N$1680,'Raw Data'!$A$2:$A$1680,$B$3,'Raw Data'!$B$2:$B$1680,$G$3)</f>
        <v>24</v>
      </c>
      <c r="F6" s="36"/>
      <c r="G6" s="35">
        <f>COUNT('Raw Data'!$O$2:$O$1680)</f>
        <v>4</v>
      </c>
      <c r="H6" s="36"/>
      <c r="I6" s="41" t="str">
        <f>IF($B$3=$G$3,"SAME CITY",IF(E6=0,"NO SERVICE","ACTIVE"))</f>
        <v>ACTIVE</v>
      </c>
      <c r="J6" s="39"/>
      <c r="K6" s="36"/>
    </row>
    <row r="8" spans="1:26" ht="19.5" customHeight="1" x14ac:dyDescent="0.25">
      <c r="A8" s="42" t="str">
        <f>IF($I$6="SAME CITY","⚠  Please select two different cities as Origin and Destination.",IF($I$6="NO SERVICE","✈  No nonstop flights currently operate on this route. Please try a different Origin / Destination combination.",""))</f>
        <v/>
      </c>
      <c r="B8" s="29"/>
      <c r="C8" s="30"/>
      <c r="D8" s="29"/>
      <c r="E8" s="30"/>
      <c r="F8" s="30"/>
      <c r="G8" s="30"/>
      <c r="H8" s="30"/>
      <c r="I8" s="30"/>
      <c r="J8" s="30"/>
      <c r="K8" s="29"/>
    </row>
    <row r="9" spans="1:26" ht="14.65" customHeight="1" thickBot="1" x14ac:dyDescent="0.3"/>
    <row r="10" spans="1:26" ht="18" customHeight="1" thickBot="1" x14ac:dyDescent="0.3">
      <c r="A10" s="26" t="s">
        <v>9</v>
      </c>
      <c r="B10" s="26" t="s">
        <v>10</v>
      </c>
      <c r="C10" s="26" t="s">
        <v>11</v>
      </c>
      <c r="D10" s="26" t="s">
        <v>12</v>
      </c>
      <c r="E10" s="32" t="s">
        <v>13</v>
      </c>
      <c r="F10" s="33"/>
    </row>
    <row r="11" spans="1:26" ht="18" customHeight="1" x14ac:dyDescent="0.25">
      <c r="A11" s="27"/>
      <c r="B11" s="27"/>
      <c r="C11" s="27"/>
      <c r="D11" s="27"/>
      <c r="E11" s="8" t="s">
        <v>14</v>
      </c>
      <c r="F11" s="8" t="s">
        <v>15</v>
      </c>
    </row>
    <row r="12" spans="1:26" x14ac:dyDescent="0.25">
      <c r="A12" s="6" t="str">
        <f>IF($X12="","",INDEX('Raw Data'!$D:$D,$X12))</f>
        <v>INDIGO</v>
      </c>
      <c r="B12" s="6" t="str">
        <f>IF($X12="","",INDEX('Raw Data'!$E:$E,$X12))</f>
        <v>6E6804</v>
      </c>
      <c r="C12" s="9" t="str">
        <f>IF($X12="","",IF($Y12="","Not linked",IF(INDEX('Flight Rates'!$G:$G,$Y12)&lt;&gt;"",INDEX('Flight Rates'!$G:$G,$Y12),IF($Z12="NO TARIFF LOADED","No tariff","No rate"))))</f>
        <v>GCR</v>
      </c>
      <c r="D12" s="7" t="str">
        <f>IF($X12="","",INDEX('Raw Data'!$F:$F,$X12))</f>
        <v>05:10</v>
      </c>
      <c r="E12" s="10">
        <f>IF($Y12="","",IF(INDEX('Flight Rates'!$K:$K,$Y12)="","",INDEX('Flight Rates'!$K:$K,$Y12)+N($T12)+N($U12)))</f>
        <v>92</v>
      </c>
      <c r="F12" s="10">
        <f>IF($Y12="","",IF(INDEX('Flight Rates'!$L:$L,$Y12)="","",INDEX('Flight Rates'!$L:$L,$Y12)+N($T12)+N($U12)))</f>
        <v>90</v>
      </c>
      <c r="T12">
        <f>IF($Y12="","",N(INDEX('Flight Rates'!$S:$S,$Y12)))</f>
        <v>4</v>
      </c>
      <c r="U12">
        <f>IF(OR($Y12="",$C12="No tariff",$C12="No rate"),"",IFERROR(N(INDEX('Add-on Rates'!$C:$C,MATCH($A12,'Add-on Rates'!$A:$A,0))),0))</f>
        <v>18</v>
      </c>
      <c r="X12">
        <f>IFERROR(SMALL('Raw Data'!$O$2:$O$1680,1),"")</f>
        <v>325</v>
      </c>
      <c r="Y12">
        <f>IF($X12="","",IFERROR(MATCH($B$3&amp;"|"&amp;$G$3&amp;"|"&amp;$B12&amp;"|"&amp;$D12,'Flight Rates'!$A:$A,0),""))</f>
        <v>300</v>
      </c>
      <c r="Z12" t="str">
        <f>IF($Y12="","",INDEX('Flight Rates'!$P:$P,$Y12))</f>
        <v>OK</v>
      </c>
    </row>
    <row r="13" spans="1:26" x14ac:dyDescent="0.25">
      <c r="A13" s="6" t="str">
        <f>IF($X13="","",INDEX('Raw Data'!$D:$D,$X13))</f>
        <v>INDIGO</v>
      </c>
      <c r="B13" s="6" t="str">
        <f>IF($X13="","",INDEX('Raw Data'!$E:$E,$X13))</f>
        <v>6E232</v>
      </c>
      <c r="C13" s="9" t="str">
        <f>IF($X13="","",IF($Y13="","Not linked",IF(INDEX('Flight Rates'!$G:$G,$Y13)&lt;&gt;"",INDEX('Flight Rates'!$G:$G,$Y13),IF($Z13="NO TARIFF LOADED","No tariff","No rate"))))</f>
        <v>GCR</v>
      </c>
      <c r="D13" s="7" t="str">
        <f>IF($X13="","",INDEX('Raw Data'!$F:$F,$X13))</f>
        <v>18:30</v>
      </c>
      <c r="E13" s="10">
        <f>IF($Y13="","",IF(INDEX('Flight Rates'!$K:$K,$Y13)="","",INDEX('Flight Rates'!$K:$K,$Y13)+N($T13)+N($U13)))</f>
        <v>92</v>
      </c>
      <c r="F13" s="10">
        <f>IF($Y13="","",IF(INDEX('Flight Rates'!$L:$L,$Y13)="","",INDEX('Flight Rates'!$L:$L,$Y13)+N($T13)+N($U13)))</f>
        <v>90</v>
      </c>
      <c r="T13">
        <f>IF($Y13="","",N(INDEX('Flight Rates'!$S:$S,$Y13)))</f>
        <v>4</v>
      </c>
      <c r="U13">
        <f>IF(OR($Y13="",$C13="No tariff",$C13="No rate"),"",IFERROR(N(INDEX('Add-on Rates'!$C:$C,MATCH($A13,'Add-on Rates'!$A:$A,0))),0))</f>
        <v>18</v>
      </c>
      <c r="X13">
        <f>IFERROR(SMALL('Raw Data'!$O$2:$O$1680,2),"")</f>
        <v>326</v>
      </c>
      <c r="Y13">
        <f>IF($X13="","",IFERROR(MATCH($B$3&amp;"|"&amp;$G$3&amp;"|"&amp;$B13&amp;"|"&amp;$D13,'Flight Rates'!$A:$A,0),""))</f>
        <v>301</v>
      </c>
      <c r="Z13" t="str">
        <f>IF($Y13="","",INDEX('Flight Rates'!$P:$P,$Y13))</f>
        <v>OK</v>
      </c>
    </row>
    <row r="14" spans="1:26" x14ac:dyDescent="0.25">
      <c r="A14" s="6" t="str">
        <f>IF($X14="","",INDEX('Raw Data'!$D:$D,$X14))</f>
        <v>AIRINDIA</v>
      </c>
      <c r="B14" s="6" t="str">
        <f>IF($X14="","",INDEX('Raw Data'!$E:$E,$X14))</f>
        <v>AI1721</v>
      </c>
      <c r="C14" s="9" t="str">
        <f>IF($X14="","",IF($Y14="","Not linked",IF(INDEX('Flight Rates'!$G:$G,$Y14)&lt;&gt;"",INDEX('Flight Rates'!$G:$G,$Y14),IF($Z14="NO TARIFF LOADED","No tariff","No rate"))))</f>
        <v>PRIME</v>
      </c>
      <c r="D14" s="7" t="str">
        <f>IF($X14="","",INDEX('Raw Data'!$F:$F,$X14))</f>
        <v>11:30</v>
      </c>
      <c r="E14" s="10">
        <f>IF($Y14="","",IF(INDEX('Flight Rates'!$K:$K,$Y14)="","",INDEX('Flight Rates'!$K:$K,$Y14)+N($T14)+N($U14)))</f>
        <v>102</v>
      </c>
      <c r="F14" s="10">
        <f>IF($Y14="","",IF(INDEX('Flight Rates'!$L:$L,$Y14)="","",INDEX('Flight Rates'!$L:$L,$Y14)+N($T14)+N($U14)))</f>
        <v>92</v>
      </c>
      <c r="T14">
        <f>IF($Y14="","",N(INDEX('Flight Rates'!$S:$S,$Y14)))</f>
        <v>15</v>
      </c>
      <c r="U14">
        <f>IF(OR($Y14="",$C14="No tariff",$C14="No rate"),"",IFERROR(N(INDEX('Add-on Rates'!$C:$C,MATCH($A14,'Add-on Rates'!$A:$A,0))),0))</f>
        <v>12</v>
      </c>
      <c r="X14">
        <f>IFERROR(SMALL('Raw Data'!$O$2:$O$1680,3),"")</f>
        <v>327</v>
      </c>
      <c r="Y14">
        <f>IF($X14="","",IFERROR(MATCH($B$3&amp;"|"&amp;$G$3&amp;"|"&amp;$B14&amp;"|"&amp;$D14,'Flight Rates'!$A:$A,0),""))</f>
        <v>302</v>
      </c>
      <c r="Z14" t="str">
        <f>IF($Y14="","",INDEX('Flight Rates'!$P:$P,$Y14))</f>
        <v>OK</v>
      </c>
    </row>
    <row r="15" spans="1:26" x14ac:dyDescent="0.25">
      <c r="A15" s="6" t="str">
        <f>IF($X15="","",INDEX('Raw Data'!$D:$D,$X15))</f>
        <v>AIRINDIA</v>
      </c>
      <c r="B15" s="6" t="str">
        <f>IF($X15="","",INDEX('Raw Data'!$E:$E,$X15))</f>
        <v>AI1753</v>
      </c>
      <c r="C15" s="9" t="str">
        <f>IF($X15="","",IF($Y15="","Not linked",IF(INDEX('Flight Rates'!$G:$G,$Y15)&lt;&gt;"",INDEX('Flight Rates'!$G:$G,$Y15),IF($Z15="NO TARIFF LOADED","No tariff","No rate"))))</f>
        <v>PRIME</v>
      </c>
      <c r="D15" s="7" t="str">
        <f>IF($X15="","",INDEX('Raw Data'!$F:$F,$X15))</f>
        <v>15:00</v>
      </c>
      <c r="E15" s="10">
        <f>IF($Y15="","",IF(INDEX('Flight Rates'!$K:$K,$Y15)="","",INDEX('Flight Rates'!$K:$K,$Y15)+N($T15)+N($U15)))</f>
        <v>102</v>
      </c>
      <c r="F15" s="10">
        <f>IF($Y15="","",IF(INDEX('Flight Rates'!$L:$L,$Y15)="","",INDEX('Flight Rates'!$L:$L,$Y15)+N($T15)+N($U15)))</f>
        <v>92</v>
      </c>
      <c r="T15">
        <f>IF($Y15="","",N(INDEX('Flight Rates'!$S:$S,$Y15)))</f>
        <v>15</v>
      </c>
      <c r="U15">
        <f>IF(OR($Y15="",$C15="No tariff",$C15="No rate"),"",IFERROR(N(INDEX('Add-on Rates'!$C:$C,MATCH($A15,'Add-on Rates'!$A:$A,0))),0))</f>
        <v>12</v>
      </c>
      <c r="X15">
        <f>IFERROR(SMALL('Raw Data'!$O$2:$O$1680,4),"")</f>
        <v>328</v>
      </c>
      <c r="Y15">
        <f>IF($X15="","",IFERROR(MATCH($B$3&amp;"|"&amp;$G$3&amp;"|"&amp;$B15&amp;"|"&amp;$D15,'Flight Rates'!$A:$A,0),""))</f>
        <v>303</v>
      </c>
      <c r="Z15" t="str">
        <f>IF($Y15="","",INDEX('Flight Rates'!$P:$P,$Y15))</f>
        <v>OK</v>
      </c>
    </row>
    <row r="16" spans="1:26" x14ac:dyDescent="0.25">
      <c r="A16" s="6" t="str">
        <f>IF($X16="","",INDEX('Raw Data'!$D:$D,$X16))</f>
        <v/>
      </c>
      <c r="B16" s="6" t="str">
        <f>IF($X16="","",INDEX('Raw Data'!$E:$E,$X16))</f>
        <v/>
      </c>
      <c r="C16" s="9" t="str">
        <f>IF($X16="","",IF($Y16="","Not linked",IF(INDEX('Flight Rates'!$G:$G,$Y16)&lt;&gt;"",INDEX('Flight Rates'!$G:$G,$Y16),IF($Z16="NO TARIFF LOADED","No tariff","No rate"))))</f>
        <v/>
      </c>
      <c r="D16" s="7" t="str">
        <f>IF($X16="","",INDEX('Raw Data'!$F:$F,$X16))</f>
        <v/>
      </c>
      <c r="E16" s="10" t="str">
        <f>IF($Y16="","",IF(INDEX('Flight Rates'!$K:$K,$Y16)="","",INDEX('Flight Rates'!$K:$K,$Y16)+N($T16)+N($U16)))</f>
        <v/>
      </c>
      <c r="F16" s="10" t="str">
        <f>IF($Y16="","",IF(INDEX('Flight Rates'!$L:$L,$Y16)="","",INDEX('Flight Rates'!$L:$L,$Y16)+N($T16)+N($U16)))</f>
        <v/>
      </c>
      <c r="T16" t="str">
        <f>IF($Y16="","",N(INDEX('Flight Rates'!$S:$S,$Y16)))</f>
        <v/>
      </c>
      <c r="U16" t="str">
        <f>IF(OR($Y16="",$C16="No tariff",$C16="No rate"),"",IFERROR(N(INDEX('Add-on Rates'!$C:$C,MATCH($A16,'Add-on Rates'!$A:$A,0))),0))</f>
        <v/>
      </c>
      <c r="X16" t="str">
        <f>IFERROR(SMALL('Raw Data'!$O$2:$O$1680,5),"")</f>
        <v/>
      </c>
      <c r="Y16" t="str">
        <f>IF($X16="","",IFERROR(MATCH($B$3&amp;"|"&amp;$G$3&amp;"|"&amp;$B16&amp;"|"&amp;$D16,'Flight Rates'!$A:$A,0),""))</f>
        <v/>
      </c>
      <c r="Z16" t="str">
        <f>IF($Y16="","",INDEX('Flight Rates'!$P:$P,$Y16))</f>
        <v/>
      </c>
    </row>
    <row r="17" spans="1:26" x14ac:dyDescent="0.25">
      <c r="A17" s="6" t="str">
        <f>IF($X17="","",INDEX('Raw Data'!$D:$D,$X17))</f>
        <v/>
      </c>
      <c r="B17" s="6" t="str">
        <f>IF($X17="","",INDEX('Raw Data'!$E:$E,$X17))</f>
        <v/>
      </c>
      <c r="C17" s="9" t="str">
        <f>IF($X17="","",IF($Y17="","Not linked",IF(INDEX('Flight Rates'!$G:$G,$Y17)&lt;&gt;"",INDEX('Flight Rates'!$G:$G,$Y17),IF($Z17="NO TARIFF LOADED","No tariff","No rate"))))</f>
        <v/>
      </c>
      <c r="D17" s="7" t="str">
        <f>IF($X17="","",INDEX('Raw Data'!$F:$F,$X17))</f>
        <v/>
      </c>
      <c r="E17" s="10" t="str">
        <f>IF($Y17="","",IF(INDEX('Flight Rates'!$K:$K,$Y17)="","",INDEX('Flight Rates'!$K:$K,$Y17)+N($T17)+N($U17)))</f>
        <v/>
      </c>
      <c r="F17" s="10" t="str">
        <f>IF($Y17="","",IF(INDEX('Flight Rates'!$L:$L,$Y17)="","",INDEX('Flight Rates'!$L:$L,$Y17)+N($T17)+N($U17)))</f>
        <v/>
      </c>
      <c r="T17" t="str">
        <f>IF($Y17="","",N(INDEX('Flight Rates'!$S:$S,$Y17)))</f>
        <v/>
      </c>
      <c r="U17" t="str">
        <f>IF(OR($Y17="",$C17="No tariff",$C17="No rate"),"",IFERROR(N(INDEX('Add-on Rates'!$C:$C,MATCH($A17,'Add-on Rates'!$A:$A,0))),0))</f>
        <v/>
      </c>
      <c r="X17" t="str">
        <f>IFERROR(SMALL('Raw Data'!$O$2:$O$1680,6),"")</f>
        <v/>
      </c>
      <c r="Y17" t="str">
        <f>IF($X17="","",IFERROR(MATCH($B$3&amp;"|"&amp;$G$3&amp;"|"&amp;$B17&amp;"|"&amp;$D17,'Flight Rates'!$A:$A,0),""))</f>
        <v/>
      </c>
      <c r="Z17" t="str">
        <f>IF($Y17="","",INDEX('Flight Rates'!$P:$P,$Y17))</f>
        <v/>
      </c>
    </row>
    <row r="18" spans="1:26" x14ac:dyDescent="0.25">
      <c r="A18" s="6" t="str">
        <f>IF($X18="","",INDEX('Raw Data'!$D:$D,$X18))</f>
        <v/>
      </c>
      <c r="B18" s="6" t="str">
        <f>IF($X18="","",INDEX('Raw Data'!$E:$E,$X18))</f>
        <v/>
      </c>
      <c r="C18" s="9" t="str">
        <f>IF($X18="","",IF($Y18="","Not linked",IF(INDEX('Flight Rates'!$G:$G,$Y18)&lt;&gt;"",INDEX('Flight Rates'!$G:$G,$Y18),IF($Z18="NO TARIFF LOADED","No tariff","No rate"))))</f>
        <v/>
      </c>
      <c r="D18" s="7" t="str">
        <f>IF($X18="","",INDEX('Raw Data'!$F:$F,$X18))</f>
        <v/>
      </c>
      <c r="E18" s="10" t="str">
        <f>IF($Y18="","",IF(INDEX('Flight Rates'!$K:$K,$Y18)="","",INDEX('Flight Rates'!$K:$K,$Y18)+N($T18)+N($U18)))</f>
        <v/>
      </c>
      <c r="F18" s="10" t="str">
        <f>IF($Y18="","",IF(INDEX('Flight Rates'!$L:$L,$Y18)="","",INDEX('Flight Rates'!$L:$L,$Y18)+N($T18)+N($U18)))</f>
        <v/>
      </c>
      <c r="T18" t="str">
        <f>IF($Y18="","",N(INDEX('Flight Rates'!$S:$S,$Y18)))</f>
        <v/>
      </c>
      <c r="U18" t="str">
        <f>IF(OR($Y18="",$C18="No tariff",$C18="No rate"),"",IFERROR(N(INDEX('Add-on Rates'!$C:$C,MATCH($A18,'Add-on Rates'!$A:$A,0))),0))</f>
        <v/>
      </c>
      <c r="X18" t="str">
        <f>IFERROR(SMALL('Raw Data'!$O$2:$O$1680,7),"")</f>
        <v/>
      </c>
      <c r="Y18" t="str">
        <f>IF($X18="","",IFERROR(MATCH($B$3&amp;"|"&amp;$G$3&amp;"|"&amp;$B18&amp;"|"&amp;$D18,'Flight Rates'!$A:$A,0),""))</f>
        <v/>
      </c>
      <c r="Z18" t="str">
        <f>IF($Y18="","",INDEX('Flight Rates'!$P:$P,$Y18))</f>
        <v/>
      </c>
    </row>
    <row r="19" spans="1:26" x14ac:dyDescent="0.25">
      <c r="A19" s="6" t="str">
        <f>IF($X19="","",INDEX('Raw Data'!$D:$D,$X19))</f>
        <v/>
      </c>
      <c r="B19" s="6" t="str">
        <f>IF($X19="","",INDEX('Raw Data'!$E:$E,$X19))</f>
        <v/>
      </c>
      <c r="C19" s="9" t="str">
        <f>IF($X19="","",IF($Y19="","Not linked",IF(INDEX('Flight Rates'!$G:$G,$Y19)&lt;&gt;"",INDEX('Flight Rates'!$G:$G,$Y19),IF($Z19="NO TARIFF LOADED","No tariff","No rate"))))</f>
        <v/>
      </c>
      <c r="D19" s="7" t="str">
        <f>IF($X19="","",INDEX('Raw Data'!$F:$F,$X19))</f>
        <v/>
      </c>
      <c r="E19" s="10" t="str">
        <f>IF($Y19="","",IF(INDEX('Flight Rates'!$K:$K,$Y19)="","",INDEX('Flight Rates'!$K:$K,$Y19)+N($T19)+N($U19)))</f>
        <v/>
      </c>
      <c r="F19" s="10" t="str">
        <f>IF($Y19="","",IF(INDEX('Flight Rates'!$L:$L,$Y19)="","",INDEX('Flight Rates'!$L:$L,$Y19)+N($T19)+N($U19)))</f>
        <v/>
      </c>
      <c r="T19" t="str">
        <f>IF($Y19="","",N(INDEX('Flight Rates'!$S:$S,$Y19)))</f>
        <v/>
      </c>
      <c r="U19" t="str">
        <f>IF(OR($Y19="",$C19="No tariff",$C19="No rate"),"",IFERROR(N(INDEX('Add-on Rates'!$C:$C,MATCH($A19,'Add-on Rates'!$A:$A,0))),0))</f>
        <v/>
      </c>
      <c r="X19" t="str">
        <f>IFERROR(SMALL('Raw Data'!$O$2:$O$1680,8),"")</f>
        <v/>
      </c>
      <c r="Y19" t="str">
        <f>IF($X19="","",IFERROR(MATCH($B$3&amp;"|"&amp;$G$3&amp;"|"&amp;$B19&amp;"|"&amp;$D19,'Flight Rates'!$A:$A,0),""))</f>
        <v/>
      </c>
      <c r="Z19" t="str">
        <f>IF($Y19="","",INDEX('Flight Rates'!$P:$P,$Y19))</f>
        <v/>
      </c>
    </row>
    <row r="20" spans="1:26" x14ac:dyDescent="0.25">
      <c r="A20" s="6" t="str">
        <f>IF($X20="","",INDEX('Raw Data'!$D:$D,$X20))</f>
        <v/>
      </c>
      <c r="B20" s="6" t="str">
        <f>IF($X20="","",INDEX('Raw Data'!$E:$E,$X20))</f>
        <v/>
      </c>
      <c r="C20" s="9" t="str">
        <f>IF($X20="","",IF($Y20="","Not linked",IF(INDEX('Flight Rates'!$G:$G,$Y20)&lt;&gt;"",INDEX('Flight Rates'!$G:$G,$Y20),IF($Z20="NO TARIFF LOADED","No tariff","No rate"))))</f>
        <v/>
      </c>
      <c r="D20" s="7" t="str">
        <f>IF($X20="","",INDEX('Raw Data'!$F:$F,$X20))</f>
        <v/>
      </c>
      <c r="E20" s="10" t="str">
        <f>IF($Y20="","",IF(INDEX('Flight Rates'!$K:$K,$Y20)="","",INDEX('Flight Rates'!$K:$K,$Y20)+N($T20)+N($U20)))</f>
        <v/>
      </c>
      <c r="F20" s="10" t="str">
        <f>IF($Y20="","",IF(INDEX('Flight Rates'!$L:$L,$Y20)="","",INDEX('Flight Rates'!$L:$L,$Y20)+N($T20)+N($U20)))</f>
        <v/>
      </c>
      <c r="T20" t="str">
        <f>IF($Y20="","",N(INDEX('Flight Rates'!$S:$S,$Y20)))</f>
        <v/>
      </c>
      <c r="U20" t="str">
        <f>IF(OR($Y20="",$C20="No tariff",$C20="No rate"),"",IFERROR(N(INDEX('Add-on Rates'!$C:$C,MATCH($A20,'Add-on Rates'!$A:$A,0))),0))</f>
        <v/>
      </c>
      <c r="X20" t="str">
        <f>IFERROR(SMALL('Raw Data'!$O$2:$O$1680,9),"")</f>
        <v/>
      </c>
      <c r="Y20" t="str">
        <f>IF($X20="","",IFERROR(MATCH($B$3&amp;"|"&amp;$G$3&amp;"|"&amp;$B20&amp;"|"&amp;$D20,'Flight Rates'!$A:$A,0),""))</f>
        <v/>
      </c>
      <c r="Z20" t="str">
        <f>IF($Y20="","",INDEX('Flight Rates'!$P:$P,$Y20))</f>
        <v/>
      </c>
    </row>
    <row r="21" spans="1:26" x14ac:dyDescent="0.25">
      <c r="A21" s="6" t="str">
        <f>IF($X21="","",INDEX('Raw Data'!$D:$D,$X21))</f>
        <v/>
      </c>
      <c r="B21" s="6" t="str">
        <f>IF($X21="","",INDEX('Raw Data'!$E:$E,$X21))</f>
        <v/>
      </c>
      <c r="C21" s="9" t="str">
        <f>IF($X21="","",IF($Y21="","Not linked",IF(INDEX('Flight Rates'!$G:$G,$Y21)&lt;&gt;"",INDEX('Flight Rates'!$G:$G,$Y21),IF($Z21="NO TARIFF LOADED","No tariff","No rate"))))</f>
        <v/>
      </c>
      <c r="D21" s="7" t="str">
        <f>IF($X21="","",INDEX('Raw Data'!$F:$F,$X21))</f>
        <v/>
      </c>
      <c r="E21" s="10" t="str">
        <f>IF($Y21="","",IF(INDEX('Flight Rates'!$K:$K,$Y21)="","",INDEX('Flight Rates'!$K:$K,$Y21)+N($T21)+N($U21)))</f>
        <v/>
      </c>
      <c r="F21" s="10" t="str">
        <f>IF($Y21="","",IF(INDEX('Flight Rates'!$L:$L,$Y21)="","",INDEX('Flight Rates'!$L:$L,$Y21)+N($T21)+N($U21)))</f>
        <v/>
      </c>
      <c r="T21" t="str">
        <f>IF($Y21="","",N(INDEX('Flight Rates'!$S:$S,$Y21)))</f>
        <v/>
      </c>
      <c r="U21" t="str">
        <f>IF(OR($Y21="",$C21="No tariff",$C21="No rate"),"",IFERROR(N(INDEX('Add-on Rates'!$C:$C,MATCH($A21,'Add-on Rates'!$A:$A,0))),0))</f>
        <v/>
      </c>
      <c r="X21" t="str">
        <f>IFERROR(SMALL('Raw Data'!$O$2:$O$1680,10),"")</f>
        <v/>
      </c>
      <c r="Y21" t="str">
        <f>IF($X21="","",IFERROR(MATCH($B$3&amp;"|"&amp;$G$3&amp;"|"&amp;$B21&amp;"|"&amp;$D21,'Flight Rates'!$A:$A,0),""))</f>
        <v/>
      </c>
      <c r="Z21" t="str">
        <f>IF($Y21="","",INDEX('Flight Rates'!$P:$P,$Y21))</f>
        <v/>
      </c>
    </row>
    <row r="22" spans="1:26" x14ac:dyDescent="0.25">
      <c r="A22" s="6" t="str">
        <f>IF($X22="","",INDEX('Raw Data'!$D:$D,$X22))</f>
        <v/>
      </c>
      <c r="B22" s="6" t="str">
        <f>IF($X22="","",INDEX('Raw Data'!$E:$E,$X22))</f>
        <v/>
      </c>
      <c r="C22" s="9" t="str">
        <f>IF($X22="","",IF($Y22="","Not linked",IF(INDEX('Flight Rates'!$G:$G,$Y22)&lt;&gt;"",INDEX('Flight Rates'!$G:$G,$Y22),IF($Z22="NO TARIFF LOADED","No tariff","No rate"))))</f>
        <v/>
      </c>
      <c r="D22" s="7" t="str">
        <f>IF($X22="","",INDEX('Raw Data'!$F:$F,$X22))</f>
        <v/>
      </c>
      <c r="E22" s="10" t="str">
        <f>IF($Y22="","",IF(INDEX('Flight Rates'!$K:$K,$Y22)="","",INDEX('Flight Rates'!$K:$K,$Y22)+N($T22)+N($U22)))</f>
        <v/>
      </c>
      <c r="F22" s="10" t="str">
        <f>IF($Y22="","",IF(INDEX('Flight Rates'!$L:$L,$Y22)="","",INDEX('Flight Rates'!$L:$L,$Y22)+N($T22)+N($U22)))</f>
        <v/>
      </c>
      <c r="T22" t="str">
        <f>IF($Y22="","",N(INDEX('Flight Rates'!$S:$S,$Y22)))</f>
        <v/>
      </c>
      <c r="U22" t="str">
        <f>IF(OR($Y22="",$C22="No tariff",$C22="No rate"),"",IFERROR(N(INDEX('Add-on Rates'!$C:$C,MATCH($A22,'Add-on Rates'!$A:$A,0))),0))</f>
        <v/>
      </c>
      <c r="X22" t="str">
        <f>IFERROR(SMALL('Raw Data'!$O$2:$O$1680,11),"")</f>
        <v/>
      </c>
      <c r="Y22" t="str">
        <f>IF($X22="","",IFERROR(MATCH($B$3&amp;"|"&amp;$G$3&amp;"|"&amp;$B22&amp;"|"&amp;$D22,'Flight Rates'!$A:$A,0),""))</f>
        <v/>
      </c>
      <c r="Z22" t="str">
        <f>IF($Y22="","",INDEX('Flight Rates'!$P:$P,$Y22))</f>
        <v/>
      </c>
    </row>
    <row r="23" spans="1:26" x14ac:dyDescent="0.25">
      <c r="A23" s="6" t="str">
        <f>IF($X23="","",INDEX('Raw Data'!$D:$D,$X23))</f>
        <v/>
      </c>
      <c r="B23" s="6" t="str">
        <f>IF($X23="","",INDEX('Raw Data'!$E:$E,$X23))</f>
        <v/>
      </c>
      <c r="C23" s="9" t="str">
        <f>IF($X23="","",IF($Y23="","Not linked",IF(INDEX('Flight Rates'!$G:$G,$Y23)&lt;&gt;"",INDEX('Flight Rates'!$G:$G,$Y23),IF($Z23="NO TARIFF LOADED","No tariff","No rate"))))</f>
        <v/>
      </c>
      <c r="D23" s="7" t="str">
        <f>IF($X23="","",INDEX('Raw Data'!$F:$F,$X23))</f>
        <v/>
      </c>
      <c r="E23" s="10" t="str">
        <f>IF($Y23="","",IF(INDEX('Flight Rates'!$K:$K,$Y23)="","",INDEX('Flight Rates'!$K:$K,$Y23)+N($T23)+N($U23)))</f>
        <v/>
      </c>
      <c r="F23" s="10" t="str">
        <f>IF($Y23="","",IF(INDEX('Flight Rates'!$L:$L,$Y23)="","",INDEX('Flight Rates'!$L:$L,$Y23)+N($T23)+N($U23)))</f>
        <v/>
      </c>
      <c r="T23" t="str">
        <f>IF($Y23="","",N(INDEX('Flight Rates'!$S:$S,$Y23)))</f>
        <v/>
      </c>
      <c r="U23" t="str">
        <f>IF(OR($Y23="",$C23="No tariff",$C23="No rate"),"",IFERROR(N(INDEX('Add-on Rates'!$C:$C,MATCH($A23,'Add-on Rates'!$A:$A,0))),0))</f>
        <v/>
      </c>
      <c r="X23" t="str">
        <f>IFERROR(SMALL('Raw Data'!$O$2:$O$1680,12),"")</f>
        <v/>
      </c>
      <c r="Y23" t="str">
        <f>IF($X23="","",IFERROR(MATCH($B$3&amp;"|"&amp;$G$3&amp;"|"&amp;$B23&amp;"|"&amp;$D23,'Flight Rates'!$A:$A,0),""))</f>
        <v/>
      </c>
      <c r="Z23" t="str">
        <f>IF($Y23="","",INDEX('Flight Rates'!$P:$P,$Y23))</f>
        <v/>
      </c>
    </row>
    <row r="24" spans="1:26" x14ac:dyDescent="0.25">
      <c r="A24" s="6" t="str">
        <f>IF($X24="","",INDEX('Raw Data'!$D:$D,$X24))</f>
        <v/>
      </c>
      <c r="B24" s="6" t="str">
        <f>IF($X24="","",INDEX('Raw Data'!$E:$E,$X24))</f>
        <v/>
      </c>
      <c r="C24" s="9" t="str">
        <f>IF($X24="","",IF($Y24="","Not linked",IF(INDEX('Flight Rates'!$G:$G,$Y24)&lt;&gt;"",INDEX('Flight Rates'!$G:$G,$Y24),IF($Z24="NO TARIFF LOADED","No tariff","No rate"))))</f>
        <v/>
      </c>
      <c r="D24" s="7" t="str">
        <f>IF($X24="","",INDEX('Raw Data'!$F:$F,$X24))</f>
        <v/>
      </c>
      <c r="E24" s="10" t="str">
        <f>IF($Y24="","",IF(INDEX('Flight Rates'!$K:$K,$Y24)="","",INDEX('Flight Rates'!$K:$K,$Y24)+N($T24)+N($U24)))</f>
        <v/>
      </c>
      <c r="F24" s="10" t="str">
        <f>IF($Y24="","",IF(INDEX('Flight Rates'!$L:$L,$Y24)="","",INDEX('Flight Rates'!$L:$L,$Y24)+N($T24)+N($U24)))</f>
        <v/>
      </c>
      <c r="T24" t="str">
        <f>IF($Y24="","",N(INDEX('Flight Rates'!$S:$S,$Y24)))</f>
        <v/>
      </c>
      <c r="U24" t="str">
        <f>IF(OR($Y24="",$C24="No tariff",$C24="No rate"),"",IFERROR(N(INDEX('Add-on Rates'!$C:$C,MATCH($A24,'Add-on Rates'!$A:$A,0))),0))</f>
        <v/>
      </c>
      <c r="X24" t="str">
        <f>IFERROR(SMALL('Raw Data'!$O$2:$O$1680,13),"")</f>
        <v/>
      </c>
      <c r="Y24" t="str">
        <f>IF($X24="","",IFERROR(MATCH($B$3&amp;"|"&amp;$G$3&amp;"|"&amp;$B24&amp;"|"&amp;$D24,'Flight Rates'!$A:$A,0),""))</f>
        <v/>
      </c>
      <c r="Z24" t="str">
        <f>IF($Y24="","",INDEX('Flight Rates'!$P:$P,$Y24))</f>
        <v/>
      </c>
    </row>
    <row r="25" spans="1:26" x14ac:dyDescent="0.25">
      <c r="A25" s="6" t="str">
        <f>IF($X25="","",INDEX('Raw Data'!$D:$D,$X25))</f>
        <v/>
      </c>
      <c r="B25" s="6" t="str">
        <f>IF($X25="","",INDEX('Raw Data'!$E:$E,$X25))</f>
        <v/>
      </c>
      <c r="C25" s="9" t="str">
        <f>IF($X25="","",IF($Y25="","Not linked",IF(INDEX('Flight Rates'!$G:$G,$Y25)&lt;&gt;"",INDEX('Flight Rates'!$G:$G,$Y25),IF($Z25="NO TARIFF LOADED","No tariff","No rate"))))</f>
        <v/>
      </c>
      <c r="D25" s="7" t="str">
        <f>IF($X25="","",INDEX('Raw Data'!$F:$F,$X25))</f>
        <v/>
      </c>
      <c r="E25" s="10" t="str">
        <f>IF($Y25="","",IF(INDEX('Flight Rates'!$K:$K,$Y25)="","",INDEX('Flight Rates'!$K:$K,$Y25)+N($T25)+N($U25)))</f>
        <v/>
      </c>
      <c r="F25" s="10" t="str">
        <f>IF($Y25="","",IF(INDEX('Flight Rates'!$L:$L,$Y25)="","",INDEX('Flight Rates'!$L:$L,$Y25)+N($T25)+N($U25)))</f>
        <v/>
      </c>
      <c r="T25" t="str">
        <f>IF($Y25="","",N(INDEX('Flight Rates'!$S:$S,$Y25)))</f>
        <v/>
      </c>
      <c r="U25" t="str">
        <f>IF(OR($Y25="",$C25="No tariff",$C25="No rate"),"",IFERROR(N(INDEX('Add-on Rates'!$C:$C,MATCH($A25,'Add-on Rates'!$A:$A,0))),0))</f>
        <v/>
      </c>
      <c r="X25" t="str">
        <f>IFERROR(SMALL('Raw Data'!$O$2:$O$1680,14),"")</f>
        <v/>
      </c>
      <c r="Y25" t="str">
        <f>IF($X25="","",IFERROR(MATCH($B$3&amp;"|"&amp;$G$3&amp;"|"&amp;$B25&amp;"|"&amp;$D25,'Flight Rates'!$A:$A,0),""))</f>
        <v/>
      </c>
      <c r="Z25" t="str">
        <f>IF($Y25="","",INDEX('Flight Rates'!$P:$P,$Y25))</f>
        <v/>
      </c>
    </row>
    <row r="26" spans="1:26" x14ac:dyDescent="0.25">
      <c r="A26" s="6" t="str">
        <f>IF($X26="","",INDEX('Raw Data'!$D:$D,$X26))</f>
        <v/>
      </c>
      <c r="B26" s="6" t="str">
        <f>IF($X26="","",INDEX('Raw Data'!$E:$E,$X26))</f>
        <v/>
      </c>
      <c r="C26" s="9" t="str">
        <f>IF($X26="","",IF($Y26="","Not linked",IF(INDEX('Flight Rates'!$G:$G,$Y26)&lt;&gt;"",INDEX('Flight Rates'!$G:$G,$Y26),IF($Z26="NO TARIFF LOADED","No tariff","No rate"))))</f>
        <v/>
      </c>
      <c r="D26" s="7" t="str">
        <f>IF($X26="","",INDEX('Raw Data'!$F:$F,$X26))</f>
        <v/>
      </c>
      <c r="E26" s="10" t="str">
        <f>IF($Y26="","",IF(INDEX('Flight Rates'!$K:$K,$Y26)="","",INDEX('Flight Rates'!$K:$K,$Y26)+N($T26)+N($U26)))</f>
        <v/>
      </c>
      <c r="F26" s="10" t="str">
        <f>IF($Y26="","",IF(INDEX('Flight Rates'!$L:$L,$Y26)="","",INDEX('Flight Rates'!$L:$L,$Y26)+N($T26)+N($U26)))</f>
        <v/>
      </c>
      <c r="T26" t="str">
        <f>IF($Y26="","",N(INDEX('Flight Rates'!$S:$S,$Y26)))</f>
        <v/>
      </c>
      <c r="U26" t="str">
        <f>IF(OR($Y26="",$C26="No tariff",$C26="No rate"),"",IFERROR(N(INDEX('Add-on Rates'!$C:$C,MATCH($A26,'Add-on Rates'!$A:$A,0))),0))</f>
        <v/>
      </c>
      <c r="X26" t="str">
        <f>IFERROR(SMALL('Raw Data'!$O$2:$O$1680,15),"")</f>
        <v/>
      </c>
      <c r="Y26" t="str">
        <f>IF($X26="","",IFERROR(MATCH($B$3&amp;"|"&amp;$G$3&amp;"|"&amp;$B26&amp;"|"&amp;$D26,'Flight Rates'!$A:$A,0),""))</f>
        <v/>
      </c>
      <c r="Z26" t="str">
        <f>IF($Y26="","",INDEX('Flight Rates'!$P:$P,$Y26))</f>
        <v/>
      </c>
    </row>
    <row r="27" spans="1:26" x14ac:dyDescent="0.25">
      <c r="A27" s="6" t="str">
        <f>IF($X27="","",INDEX('Raw Data'!$D:$D,$X27))</f>
        <v/>
      </c>
      <c r="B27" s="6" t="str">
        <f>IF($X27="","",INDEX('Raw Data'!$E:$E,$X27))</f>
        <v/>
      </c>
      <c r="C27" s="9" t="str">
        <f>IF($X27="","",IF($Y27="","Not linked",IF(INDEX('Flight Rates'!$G:$G,$Y27)&lt;&gt;"",INDEX('Flight Rates'!$G:$G,$Y27),IF($Z27="NO TARIFF LOADED","No tariff","No rate"))))</f>
        <v/>
      </c>
      <c r="D27" s="7" t="str">
        <f>IF($X27="","",INDEX('Raw Data'!$F:$F,$X27))</f>
        <v/>
      </c>
      <c r="E27" s="10" t="str">
        <f>IF($Y27="","",IF(INDEX('Flight Rates'!$K:$K,$Y27)="","",INDEX('Flight Rates'!$K:$K,$Y27)+N($T27)+N($U27)))</f>
        <v/>
      </c>
      <c r="F27" s="10" t="str">
        <f>IF($Y27="","",IF(INDEX('Flight Rates'!$L:$L,$Y27)="","",INDEX('Flight Rates'!$L:$L,$Y27)+N($T27)+N($U27)))</f>
        <v/>
      </c>
      <c r="T27" t="str">
        <f>IF($Y27="","",N(INDEX('Flight Rates'!$S:$S,$Y27)))</f>
        <v/>
      </c>
      <c r="U27" t="str">
        <f>IF(OR($Y27="",$C27="No tariff",$C27="No rate"),"",IFERROR(N(INDEX('Add-on Rates'!$C:$C,MATCH($A27,'Add-on Rates'!$A:$A,0))),0))</f>
        <v/>
      </c>
      <c r="X27" t="str">
        <f>IFERROR(SMALL('Raw Data'!$O$2:$O$1680,16),"")</f>
        <v/>
      </c>
      <c r="Y27" t="str">
        <f>IF($X27="","",IFERROR(MATCH($B$3&amp;"|"&amp;$G$3&amp;"|"&amp;$B27&amp;"|"&amp;$D27,'Flight Rates'!$A:$A,0),""))</f>
        <v/>
      </c>
      <c r="Z27" t="str">
        <f>IF($Y27="","",INDEX('Flight Rates'!$P:$P,$Y27))</f>
        <v/>
      </c>
    </row>
    <row r="28" spans="1:26" x14ac:dyDescent="0.25">
      <c r="A28" s="6" t="str">
        <f>IF($X28="","",INDEX('Raw Data'!$D:$D,$X28))</f>
        <v/>
      </c>
      <c r="B28" s="6" t="str">
        <f>IF($X28="","",INDEX('Raw Data'!$E:$E,$X28))</f>
        <v/>
      </c>
      <c r="C28" s="9" t="str">
        <f>IF($X28="","",IF($Y28="","Not linked",IF(INDEX('Flight Rates'!$G:$G,$Y28)&lt;&gt;"",INDEX('Flight Rates'!$G:$G,$Y28),IF($Z28="NO TARIFF LOADED","No tariff","No rate"))))</f>
        <v/>
      </c>
      <c r="D28" s="7" t="str">
        <f>IF($X28="","",INDEX('Raw Data'!$F:$F,$X28))</f>
        <v/>
      </c>
      <c r="E28" s="10" t="str">
        <f>IF($Y28="","",IF(INDEX('Flight Rates'!$K:$K,$Y28)="","",INDEX('Flight Rates'!$K:$K,$Y28)+N($T28)+N($U28)))</f>
        <v/>
      </c>
      <c r="F28" s="10" t="str">
        <f>IF($Y28="","",IF(INDEX('Flight Rates'!$L:$L,$Y28)="","",INDEX('Flight Rates'!$L:$L,$Y28)+N($T28)+N($U28)))</f>
        <v/>
      </c>
      <c r="T28" t="str">
        <f>IF($Y28="","",N(INDEX('Flight Rates'!$S:$S,$Y28)))</f>
        <v/>
      </c>
      <c r="U28" t="str">
        <f>IF(OR($Y28="",$C28="No tariff",$C28="No rate"),"",IFERROR(N(INDEX('Add-on Rates'!$C:$C,MATCH($A28,'Add-on Rates'!$A:$A,0))),0))</f>
        <v/>
      </c>
      <c r="X28" t="str">
        <f>IFERROR(SMALL('Raw Data'!$O$2:$O$1680,17),"")</f>
        <v/>
      </c>
      <c r="Y28" t="str">
        <f>IF($X28="","",IFERROR(MATCH($B$3&amp;"|"&amp;$G$3&amp;"|"&amp;$B28&amp;"|"&amp;$D28,'Flight Rates'!$A:$A,0),""))</f>
        <v/>
      </c>
      <c r="Z28" t="str">
        <f>IF($Y28="","",INDEX('Flight Rates'!$P:$P,$Y28))</f>
        <v/>
      </c>
    </row>
    <row r="29" spans="1:26" x14ac:dyDescent="0.25">
      <c r="A29" s="6" t="str">
        <f>IF($X29="","",INDEX('Raw Data'!$D:$D,$X29))</f>
        <v/>
      </c>
      <c r="B29" s="6" t="str">
        <f>IF($X29="","",INDEX('Raw Data'!$E:$E,$X29))</f>
        <v/>
      </c>
      <c r="C29" s="9" t="str">
        <f>IF($X29="","",IF($Y29="","Not linked",IF(INDEX('Flight Rates'!$G:$G,$Y29)&lt;&gt;"",INDEX('Flight Rates'!$G:$G,$Y29),IF($Z29="NO TARIFF LOADED","No tariff","No rate"))))</f>
        <v/>
      </c>
      <c r="D29" s="7" t="str">
        <f>IF($X29="","",INDEX('Raw Data'!$F:$F,$X29))</f>
        <v/>
      </c>
      <c r="E29" s="10" t="str">
        <f>IF($Y29="","",IF(INDEX('Flight Rates'!$K:$K,$Y29)="","",INDEX('Flight Rates'!$K:$K,$Y29)+N($T29)+N($U29)))</f>
        <v/>
      </c>
      <c r="F29" s="10" t="str">
        <f>IF($Y29="","",IF(INDEX('Flight Rates'!$L:$L,$Y29)="","",INDEX('Flight Rates'!$L:$L,$Y29)+N($T29)+N($U29)))</f>
        <v/>
      </c>
      <c r="T29" t="str">
        <f>IF($Y29="","",N(INDEX('Flight Rates'!$S:$S,$Y29)))</f>
        <v/>
      </c>
      <c r="U29" t="str">
        <f>IF(OR($Y29="",$C29="No tariff",$C29="No rate"),"",IFERROR(N(INDEX('Add-on Rates'!$C:$C,MATCH($A29,'Add-on Rates'!$A:$A,0))),0))</f>
        <v/>
      </c>
      <c r="X29" t="str">
        <f>IFERROR(SMALL('Raw Data'!$O$2:$O$1680,18),"")</f>
        <v/>
      </c>
      <c r="Y29" t="str">
        <f>IF($X29="","",IFERROR(MATCH($B$3&amp;"|"&amp;$G$3&amp;"|"&amp;$B29&amp;"|"&amp;$D29,'Flight Rates'!$A:$A,0),""))</f>
        <v/>
      </c>
      <c r="Z29" t="str">
        <f>IF($Y29="","",INDEX('Flight Rates'!$P:$P,$Y29))</f>
        <v/>
      </c>
    </row>
    <row r="30" spans="1:26" x14ac:dyDescent="0.25">
      <c r="A30" s="6" t="str">
        <f>IF($X30="","",INDEX('Raw Data'!$D:$D,$X30))</f>
        <v/>
      </c>
      <c r="B30" s="6" t="str">
        <f>IF($X30="","",INDEX('Raw Data'!$E:$E,$X30))</f>
        <v/>
      </c>
      <c r="C30" s="9" t="str">
        <f>IF($X30="","",IF($Y30="","Not linked",IF(INDEX('Flight Rates'!$G:$G,$Y30)&lt;&gt;"",INDEX('Flight Rates'!$G:$G,$Y30),IF($Z30="NO TARIFF LOADED","No tariff","No rate"))))</f>
        <v/>
      </c>
      <c r="D30" s="7" t="str">
        <f>IF($X30="","",INDEX('Raw Data'!$F:$F,$X30))</f>
        <v/>
      </c>
      <c r="E30" s="10" t="str">
        <f>IF($Y30="","",IF(INDEX('Flight Rates'!$K:$K,$Y30)="","",INDEX('Flight Rates'!$K:$K,$Y30)+N($T30)+N($U30)))</f>
        <v/>
      </c>
      <c r="F30" s="10" t="str">
        <f>IF($Y30="","",IF(INDEX('Flight Rates'!$L:$L,$Y30)="","",INDEX('Flight Rates'!$L:$L,$Y30)+N($T30)+N($U30)))</f>
        <v/>
      </c>
      <c r="T30" t="str">
        <f>IF($Y30="","",N(INDEX('Flight Rates'!$S:$S,$Y30)))</f>
        <v/>
      </c>
      <c r="U30" t="str">
        <f>IF(OR($Y30="",$C30="No tariff",$C30="No rate"),"",IFERROR(N(INDEX('Add-on Rates'!$C:$C,MATCH($A30,'Add-on Rates'!$A:$A,0))),0))</f>
        <v/>
      </c>
      <c r="X30" t="str">
        <f>IFERROR(SMALL('Raw Data'!$O$2:$O$1680,19),"")</f>
        <v/>
      </c>
      <c r="Y30" t="str">
        <f>IF($X30="","",IFERROR(MATCH($B$3&amp;"|"&amp;$G$3&amp;"|"&amp;$B30&amp;"|"&amp;$D30,'Flight Rates'!$A:$A,0),""))</f>
        <v/>
      </c>
      <c r="Z30" t="str">
        <f>IF($Y30="","",INDEX('Flight Rates'!$P:$P,$Y30))</f>
        <v/>
      </c>
    </row>
    <row r="31" spans="1:26" x14ac:dyDescent="0.25">
      <c r="A31" s="6" t="str">
        <f>IF($X31="","",INDEX('Raw Data'!$D:$D,$X31))</f>
        <v/>
      </c>
      <c r="B31" s="6" t="str">
        <f>IF($X31="","",INDEX('Raw Data'!$E:$E,$X31))</f>
        <v/>
      </c>
      <c r="C31" s="9" t="str">
        <f>IF($X31="","",IF($Y31="","Not linked",IF(INDEX('Flight Rates'!$G:$G,$Y31)&lt;&gt;"",INDEX('Flight Rates'!$G:$G,$Y31),IF($Z31="NO TARIFF LOADED","No tariff","No rate"))))</f>
        <v/>
      </c>
      <c r="D31" s="7" t="str">
        <f>IF($X31="","",INDEX('Raw Data'!$F:$F,$X31))</f>
        <v/>
      </c>
      <c r="E31" s="10" t="str">
        <f>IF($Y31="","",IF(INDEX('Flight Rates'!$K:$K,$Y31)="","",INDEX('Flight Rates'!$K:$K,$Y31)+N($T31)+N($U31)))</f>
        <v/>
      </c>
      <c r="F31" s="10" t="str">
        <f>IF($Y31="","",IF(INDEX('Flight Rates'!$L:$L,$Y31)="","",INDEX('Flight Rates'!$L:$L,$Y31)+N($T31)+N($U31)))</f>
        <v/>
      </c>
      <c r="T31" t="str">
        <f>IF($Y31="","",N(INDEX('Flight Rates'!$S:$S,$Y31)))</f>
        <v/>
      </c>
      <c r="U31" t="str">
        <f>IF(OR($Y31="",$C31="No tariff",$C31="No rate"),"",IFERROR(N(INDEX('Add-on Rates'!$C:$C,MATCH($A31,'Add-on Rates'!$A:$A,0))),0))</f>
        <v/>
      </c>
      <c r="X31" t="str">
        <f>IFERROR(SMALL('Raw Data'!$O$2:$O$1680,20),"")</f>
        <v/>
      </c>
      <c r="Y31" t="str">
        <f>IF($X31="","",IFERROR(MATCH($B$3&amp;"|"&amp;$G$3&amp;"|"&amp;$B31&amp;"|"&amp;$D31,'Flight Rates'!$A:$A,0),""))</f>
        <v/>
      </c>
      <c r="Z31" t="str">
        <f>IF($Y31="","",INDEX('Flight Rates'!$P:$P,$Y31))</f>
        <v/>
      </c>
    </row>
    <row r="32" spans="1:26" x14ac:dyDescent="0.25">
      <c r="A32" s="6" t="str">
        <f>IF($X32="","",INDEX('Raw Data'!$D:$D,$X32))</f>
        <v/>
      </c>
      <c r="B32" s="6" t="str">
        <f>IF($X32="","",INDEX('Raw Data'!$E:$E,$X32))</f>
        <v/>
      </c>
      <c r="C32" s="9" t="str">
        <f>IF($X32="","",IF($Y32="","Not linked",IF(INDEX('Flight Rates'!$G:$G,$Y32)&lt;&gt;"",INDEX('Flight Rates'!$G:$G,$Y32),IF($Z32="NO TARIFF LOADED","No tariff","No rate"))))</f>
        <v/>
      </c>
      <c r="D32" s="7" t="str">
        <f>IF($X32="","",INDEX('Raw Data'!$F:$F,$X32))</f>
        <v/>
      </c>
      <c r="E32" s="10" t="str">
        <f>IF($Y32="","",IF(INDEX('Flight Rates'!$K:$K,$Y32)="","",INDEX('Flight Rates'!$K:$K,$Y32)+N($T32)+N($U32)))</f>
        <v/>
      </c>
      <c r="F32" s="10" t="str">
        <f>IF($Y32="","",IF(INDEX('Flight Rates'!$L:$L,$Y32)="","",INDEX('Flight Rates'!$L:$L,$Y32)+N($T32)+N($U32)))</f>
        <v/>
      </c>
      <c r="T32" t="str">
        <f>IF($Y32="","",N(INDEX('Flight Rates'!$S:$S,$Y32)))</f>
        <v/>
      </c>
      <c r="U32" t="str">
        <f>IF(OR($Y32="",$C32="No tariff",$C32="No rate"),"",IFERROR(N(INDEX('Add-on Rates'!$C:$C,MATCH($A32,'Add-on Rates'!$A:$A,0))),0))</f>
        <v/>
      </c>
      <c r="X32" t="str">
        <f>IFERROR(SMALL('Raw Data'!$O$2:$O$1680,21),"")</f>
        <v/>
      </c>
      <c r="Y32" t="str">
        <f>IF($X32="","",IFERROR(MATCH($B$3&amp;"|"&amp;$G$3&amp;"|"&amp;$B32&amp;"|"&amp;$D32,'Flight Rates'!$A:$A,0),""))</f>
        <v/>
      </c>
      <c r="Z32" t="str">
        <f>IF($Y32="","",INDEX('Flight Rates'!$P:$P,$Y32))</f>
        <v/>
      </c>
    </row>
    <row r="33" spans="1:26" x14ac:dyDescent="0.25">
      <c r="A33" s="6" t="str">
        <f>IF($X33="","",INDEX('Raw Data'!$D:$D,$X33))</f>
        <v/>
      </c>
      <c r="B33" s="6" t="str">
        <f>IF($X33="","",INDEX('Raw Data'!$E:$E,$X33))</f>
        <v/>
      </c>
      <c r="C33" s="9" t="str">
        <f>IF($X33="","",IF($Y33="","Not linked",IF(INDEX('Flight Rates'!$G:$G,$Y33)&lt;&gt;"",INDEX('Flight Rates'!$G:$G,$Y33),IF($Z33="NO TARIFF LOADED","No tariff","No rate"))))</f>
        <v/>
      </c>
      <c r="D33" s="7" t="str">
        <f>IF($X33="","",INDEX('Raw Data'!$F:$F,$X33))</f>
        <v/>
      </c>
      <c r="E33" s="10" t="str">
        <f>IF($Y33="","",IF(INDEX('Flight Rates'!$K:$K,$Y33)="","",INDEX('Flight Rates'!$K:$K,$Y33)+N($T33)+N($U33)))</f>
        <v/>
      </c>
      <c r="F33" s="10" t="str">
        <f>IF($Y33="","",IF(INDEX('Flight Rates'!$L:$L,$Y33)="","",INDEX('Flight Rates'!$L:$L,$Y33)+N($T33)+N($U33)))</f>
        <v/>
      </c>
      <c r="T33" t="str">
        <f>IF($Y33="","",N(INDEX('Flight Rates'!$S:$S,$Y33)))</f>
        <v/>
      </c>
      <c r="U33" t="str">
        <f>IF(OR($Y33="",$C33="No tariff",$C33="No rate"),"",IFERROR(N(INDEX('Add-on Rates'!$C:$C,MATCH($A33,'Add-on Rates'!$A:$A,0))),0))</f>
        <v/>
      </c>
      <c r="X33" t="str">
        <f>IFERROR(SMALL('Raw Data'!$O$2:$O$1680,22),"")</f>
        <v/>
      </c>
      <c r="Y33" t="str">
        <f>IF($X33="","",IFERROR(MATCH($B$3&amp;"|"&amp;$G$3&amp;"|"&amp;$B33&amp;"|"&amp;$D33,'Flight Rates'!$A:$A,0),""))</f>
        <v/>
      </c>
      <c r="Z33" t="str">
        <f>IF($Y33="","",INDEX('Flight Rates'!$P:$P,$Y33))</f>
        <v/>
      </c>
    </row>
    <row r="34" spans="1:26" x14ac:dyDescent="0.25">
      <c r="A34" s="6" t="str">
        <f>IF($X34="","",INDEX('Raw Data'!$D:$D,$X34))</f>
        <v/>
      </c>
      <c r="B34" s="6" t="str">
        <f>IF($X34="","",INDEX('Raw Data'!$E:$E,$X34))</f>
        <v/>
      </c>
      <c r="C34" s="9" t="str">
        <f>IF($X34="","",IF($Y34="","Not linked",IF(INDEX('Flight Rates'!$G:$G,$Y34)&lt;&gt;"",INDEX('Flight Rates'!$G:$G,$Y34),IF($Z34="NO TARIFF LOADED","No tariff","No rate"))))</f>
        <v/>
      </c>
      <c r="D34" s="7" t="str">
        <f>IF($X34="","",INDEX('Raw Data'!$F:$F,$X34))</f>
        <v/>
      </c>
      <c r="E34" s="10" t="str">
        <f>IF($Y34="","",IF(INDEX('Flight Rates'!$K:$K,$Y34)="","",INDEX('Flight Rates'!$K:$K,$Y34)+N($T34)+N($U34)))</f>
        <v/>
      </c>
      <c r="F34" s="10" t="str">
        <f>IF($Y34="","",IF(INDEX('Flight Rates'!$L:$L,$Y34)="","",INDEX('Flight Rates'!$L:$L,$Y34)+N($T34)+N($U34)))</f>
        <v/>
      </c>
      <c r="T34" t="str">
        <f>IF($Y34="","",N(INDEX('Flight Rates'!$S:$S,$Y34)))</f>
        <v/>
      </c>
      <c r="U34" t="str">
        <f>IF(OR($Y34="",$C34="No tariff",$C34="No rate"),"",IFERROR(N(INDEX('Add-on Rates'!$C:$C,MATCH($A34,'Add-on Rates'!$A:$A,0))),0))</f>
        <v/>
      </c>
      <c r="X34" t="str">
        <f>IFERROR(SMALL('Raw Data'!$O$2:$O$1680,23),"")</f>
        <v/>
      </c>
      <c r="Y34" t="str">
        <f>IF($X34="","",IFERROR(MATCH($B$3&amp;"|"&amp;$G$3&amp;"|"&amp;$B34&amp;"|"&amp;$D34,'Flight Rates'!$A:$A,0),""))</f>
        <v/>
      </c>
      <c r="Z34" t="str">
        <f>IF($Y34="","",INDEX('Flight Rates'!$P:$P,$Y34))</f>
        <v/>
      </c>
    </row>
    <row r="35" spans="1:26" x14ac:dyDescent="0.25">
      <c r="A35" s="6" t="str">
        <f>IF($X35="","",INDEX('Raw Data'!$D:$D,$X35))</f>
        <v/>
      </c>
      <c r="B35" s="6" t="str">
        <f>IF($X35="","",INDEX('Raw Data'!$E:$E,$X35))</f>
        <v/>
      </c>
      <c r="C35" s="9" t="str">
        <f>IF($X35="","",IF($Y35="","Not linked",IF(INDEX('Flight Rates'!$G:$G,$Y35)&lt;&gt;"",INDEX('Flight Rates'!$G:$G,$Y35),IF($Z35="NO TARIFF LOADED","No tariff","No rate"))))</f>
        <v/>
      </c>
      <c r="D35" s="7" t="str">
        <f>IF($X35="","",INDEX('Raw Data'!$F:$F,$X35))</f>
        <v/>
      </c>
      <c r="E35" s="10" t="str">
        <f>IF($Y35="","",IF(INDEX('Flight Rates'!$K:$K,$Y35)="","",INDEX('Flight Rates'!$K:$K,$Y35)+N($T35)+N($U35)))</f>
        <v/>
      </c>
      <c r="F35" s="10" t="str">
        <f>IF($Y35="","",IF(INDEX('Flight Rates'!$L:$L,$Y35)="","",INDEX('Flight Rates'!$L:$L,$Y35)+N($T35)+N($U35)))</f>
        <v/>
      </c>
      <c r="T35" t="str">
        <f>IF($Y35="","",N(INDEX('Flight Rates'!$S:$S,$Y35)))</f>
        <v/>
      </c>
      <c r="U35" t="str">
        <f>IF(OR($Y35="",$C35="No tariff",$C35="No rate"),"",IFERROR(N(INDEX('Add-on Rates'!$C:$C,MATCH($A35,'Add-on Rates'!$A:$A,0))),0))</f>
        <v/>
      </c>
      <c r="X35" t="str">
        <f>IFERROR(SMALL('Raw Data'!$O$2:$O$1680,24),"")</f>
        <v/>
      </c>
      <c r="Y35" t="str">
        <f>IF($X35="","",IFERROR(MATCH($B$3&amp;"|"&amp;$G$3&amp;"|"&amp;$B35&amp;"|"&amp;$D35,'Flight Rates'!$A:$A,0),""))</f>
        <v/>
      </c>
      <c r="Z35" t="str">
        <f>IF($Y35="","",INDEX('Flight Rates'!$P:$P,$Y35))</f>
        <v/>
      </c>
    </row>
    <row r="36" spans="1:26" x14ac:dyDescent="0.25">
      <c r="A36" s="6" t="str">
        <f>IF($X36="","",INDEX('Raw Data'!$D:$D,$X36))</f>
        <v/>
      </c>
      <c r="B36" s="6" t="str">
        <f>IF($X36="","",INDEX('Raw Data'!$E:$E,$X36))</f>
        <v/>
      </c>
      <c r="C36" s="9" t="str">
        <f>IF($X36="","",IF($Y36="","Not linked",IF(INDEX('Flight Rates'!$G:$G,$Y36)&lt;&gt;"",INDEX('Flight Rates'!$G:$G,$Y36),IF($Z36="NO TARIFF LOADED","No tariff","No rate"))))</f>
        <v/>
      </c>
      <c r="D36" s="7" t="str">
        <f>IF($X36="","",INDEX('Raw Data'!$F:$F,$X36))</f>
        <v/>
      </c>
      <c r="E36" s="10" t="str">
        <f>IF($Y36="","",IF(INDEX('Flight Rates'!$K:$K,$Y36)="","",INDEX('Flight Rates'!$K:$K,$Y36)+N($T36)+N($U36)))</f>
        <v/>
      </c>
      <c r="F36" s="10" t="str">
        <f>IF($Y36="","",IF(INDEX('Flight Rates'!$L:$L,$Y36)="","",INDEX('Flight Rates'!$L:$L,$Y36)+N($T36)+N($U36)))</f>
        <v/>
      </c>
      <c r="T36" t="str">
        <f>IF($Y36="","",N(INDEX('Flight Rates'!$S:$S,$Y36)))</f>
        <v/>
      </c>
      <c r="U36" t="str">
        <f>IF(OR($Y36="",$C36="No tariff",$C36="No rate"),"",IFERROR(N(INDEX('Add-on Rates'!$C:$C,MATCH($A36,'Add-on Rates'!$A:$A,0))),0))</f>
        <v/>
      </c>
      <c r="X36" t="str">
        <f>IFERROR(SMALL('Raw Data'!$O$2:$O$1680,25),"")</f>
        <v/>
      </c>
      <c r="Y36" t="str">
        <f>IF($X36="","",IFERROR(MATCH($B$3&amp;"|"&amp;$G$3&amp;"|"&amp;$B36&amp;"|"&amp;$D36,'Flight Rates'!$A:$A,0),""))</f>
        <v/>
      </c>
      <c r="Z36" t="str">
        <f>IF($Y36="","",INDEX('Flight Rates'!$P:$P,$Y36))</f>
        <v/>
      </c>
    </row>
    <row r="37" spans="1:26" x14ac:dyDescent="0.25">
      <c r="A37" s="6" t="str">
        <f>IF($X37="","",INDEX('Raw Data'!$D:$D,$X37))</f>
        <v/>
      </c>
      <c r="B37" s="6" t="str">
        <f>IF($X37="","",INDEX('Raw Data'!$E:$E,$X37))</f>
        <v/>
      </c>
      <c r="C37" s="9" t="str">
        <f>IF($X37="","",IF($Y37="","Not linked",IF(INDEX('Flight Rates'!$G:$G,$Y37)&lt;&gt;"",INDEX('Flight Rates'!$G:$G,$Y37),IF($Z37="NO TARIFF LOADED","No tariff","No rate"))))</f>
        <v/>
      </c>
      <c r="D37" s="7" t="str">
        <f>IF($X37="","",INDEX('Raw Data'!$F:$F,$X37))</f>
        <v/>
      </c>
      <c r="E37" s="10" t="str">
        <f>IF($Y37="","",IF(INDEX('Flight Rates'!$K:$K,$Y37)="","",INDEX('Flight Rates'!$K:$K,$Y37)+N($T37)+N($U37)))</f>
        <v/>
      </c>
      <c r="F37" s="10" t="str">
        <f>IF($Y37="","",IF(INDEX('Flight Rates'!$L:$L,$Y37)="","",INDEX('Flight Rates'!$L:$L,$Y37)+N($T37)+N($U37)))</f>
        <v/>
      </c>
      <c r="T37" t="str">
        <f>IF($Y37="","",N(INDEX('Flight Rates'!$S:$S,$Y37)))</f>
        <v/>
      </c>
      <c r="U37" t="str">
        <f>IF(OR($Y37="",$C37="No tariff",$C37="No rate"),"",IFERROR(N(INDEX('Add-on Rates'!$C:$C,MATCH($A37,'Add-on Rates'!$A:$A,0))),0))</f>
        <v/>
      </c>
      <c r="X37" t="str">
        <f>IFERROR(SMALL('Raw Data'!$O$2:$O$1680,26),"")</f>
        <v/>
      </c>
      <c r="Y37" t="str">
        <f>IF($X37="","",IFERROR(MATCH($B$3&amp;"|"&amp;$G$3&amp;"|"&amp;$B37&amp;"|"&amp;$D37,'Flight Rates'!$A:$A,0),""))</f>
        <v/>
      </c>
      <c r="Z37" t="str">
        <f>IF($Y37="","",INDEX('Flight Rates'!$P:$P,$Y37))</f>
        <v/>
      </c>
    </row>
    <row r="38" spans="1:26" x14ac:dyDescent="0.25">
      <c r="A38" s="6" t="str">
        <f>IF($X38="","",INDEX('Raw Data'!$D:$D,$X38))</f>
        <v/>
      </c>
      <c r="B38" s="6" t="str">
        <f>IF($X38="","",INDEX('Raw Data'!$E:$E,$X38))</f>
        <v/>
      </c>
      <c r="C38" s="9" t="str">
        <f>IF($X38="","",IF($Y38="","Not linked",IF(INDEX('Flight Rates'!$G:$G,$Y38)&lt;&gt;"",INDEX('Flight Rates'!$G:$G,$Y38),IF($Z38="NO TARIFF LOADED","No tariff","No rate"))))</f>
        <v/>
      </c>
      <c r="D38" s="7" t="str">
        <f>IF($X38="","",INDEX('Raw Data'!$F:$F,$X38))</f>
        <v/>
      </c>
      <c r="E38" s="10" t="str">
        <f>IF($Y38="","",IF(INDEX('Flight Rates'!$K:$K,$Y38)="","",INDEX('Flight Rates'!$K:$K,$Y38)+N($T38)+N($U38)))</f>
        <v/>
      </c>
      <c r="F38" s="10" t="str">
        <f>IF($Y38="","",IF(INDEX('Flight Rates'!$L:$L,$Y38)="","",INDEX('Flight Rates'!$L:$L,$Y38)+N($T38)+N($U38)))</f>
        <v/>
      </c>
      <c r="T38" t="str">
        <f>IF($Y38="","",N(INDEX('Flight Rates'!$S:$S,$Y38)))</f>
        <v/>
      </c>
      <c r="U38" t="str">
        <f>IF(OR($Y38="",$C38="No tariff",$C38="No rate"),"",IFERROR(N(INDEX('Add-on Rates'!$C:$C,MATCH($A38,'Add-on Rates'!$A:$A,0))),0))</f>
        <v/>
      </c>
      <c r="X38" t="str">
        <f>IFERROR(SMALL('Raw Data'!$O$2:$O$1680,27),"")</f>
        <v/>
      </c>
      <c r="Y38" t="str">
        <f>IF($X38="","",IFERROR(MATCH($B$3&amp;"|"&amp;$G$3&amp;"|"&amp;$B38&amp;"|"&amp;$D38,'Flight Rates'!$A:$A,0),""))</f>
        <v/>
      </c>
      <c r="Z38" t="str">
        <f>IF($Y38="","",INDEX('Flight Rates'!$P:$P,$Y38))</f>
        <v/>
      </c>
    </row>
    <row r="39" spans="1:26" x14ac:dyDescent="0.25">
      <c r="A39" s="6" t="str">
        <f>IF($X39="","",INDEX('Raw Data'!$D:$D,$X39))</f>
        <v/>
      </c>
      <c r="B39" s="6" t="str">
        <f>IF($X39="","",INDEX('Raw Data'!$E:$E,$X39))</f>
        <v/>
      </c>
      <c r="C39" s="9" t="str">
        <f>IF($X39="","",IF($Y39="","Not linked",IF(INDEX('Flight Rates'!$G:$G,$Y39)&lt;&gt;"",INDEX('Flight Rates'!$G:$G,$Y39),IF($Z39="NO TARIFF LOADED","No tariff","No rate"))))</f>
        <v/>
      </c>
      <c r="D39" s="7" t="str">
        <f>IF($X39="","",INDEX('Raw Data'!$F:$F,$X39))</f>
        <v/>
      </c>
      <c r="E39" s="10" t="str">
        <f>IF($Y39="","",IF(INDEX('Flight Rates'!$K:$K,$Y39)="","",INDEX('Flight Rates'!$K:$K,$Y39)+N($T39)+N($U39)))</f>
        <v/>
      </c>
      <c r="F39" s="10" t="str">
        <f>IF($Y39="","",IF(INDEX('Flight Rates'!$L:$L,$Y39)="","",INDEX('Flight Rates'!$L:$L,$Y39)+N($T39)+N($U39)))</f>
        <v/>
      </c>
      <c r="T39" t="str">
        <f>IF($Y39="","",N(INDEX('Flight Rates'!$S:$S,$Y39)))</f>
        <v/>
      </c>
      <c r="U39" t="str">
        <f>IF(OR($Y39="",$C39="No tariff",$C39="No rate"),"",IFERROR(N(INDEX('Add-on Rates'!$C:$C,MATCH($A39,'Add-on Rates'!$A:$A,0))),0))</f>
        <v/>
      </c>
      <c r="X39" t="str">
        <f>IFERROR(SMALL('Raw Data'!$O$2:$O$1680,28),"")</f>
        <v/>
      </c>
      <c r="Y39" t="str">
        <f>IF($X39="","",IFERROR(MATCH($B$3&amp;"|"&amp;$G$3&amp;"|"&amp;$B39&amp;"|"&amp;$D39,'Flight Rates'!$A:$A,0),""))</f>
        <v/>
      </c>
      <c r="Z39" t="str">
        <f>IF($Y39="","",INDEX('Flight Rates'!$P:$P,$Y39))</f>
        <v/>
      </c>
    </row>
    <row r="40" spans="1:26" x14ac:dyDescent="0.25">
      <c r="A40" s="6" t="str">
        <f>IF($X40="","",INDEX('Raw Data'!$D:$D,$X40))</f>
        <v/>
      </c>
      <c r="B40" s="6" t="str">
        <f>IF($X40="","",INDEX('Raw Data'!$E:$E,$X40))</f>
        <v/>
      </c>
      <c r="C40" s="9" t="str">
        <f>IF($X40="","",IF($Y40="","Not linked",IF(INDEX('Flight Rates'!$G:$G,$Y40)&lt;&gt;"",INDEX('Flight Rates'!$G:$G,$Y40),IF($Z40="NO TARIFF LOADED","No tariff","No rate"))))</f>
        <v/>
      </c>
      <c r="D40" s="7" t="str">
        <f>IF($X40="","",INDEX('Raw Data'!$F:$F,$X40))</f>
        <v/>
      </c>
      <c r="E40" s="10" t="str">
        <f>IF($Y40="","",IF(INDEX('Flight Rates'!$K:$K,$Y40)="","",INDEX('Flight Rates'!$K:$K,$Y40)+N($T40)+N($U40)))</f>
        <v/>
      </c>
      <c r="F40" s="10" t="str">
        <f>IF($Y40="","",IF(INDEX('Flight Rates'!$L:$L,$Y40)="","",INDEX('Flight Rates'!$L:$L,$Y40)+N($T40)+N($U40)))</f>
        <v/>
      </c>
      <c r="T40" t="str">
        <f>IF($Y40="","",N(INDEX('Flight Rates'!$S:$S,$Y40)))</f>
        <v/>
      </c>
      <c r="U40" t="str">
        <f>IF(OR($Y40="",$C40="No tariff",$C40="No rate"),"",IFERROR(N(INDEX('Add-on Rates'!$C:$C,MATCH($A40,'Add-on Rates'!$A:$A,0))),0))</f>
        <v/>
      </c>
      <c r="X40" t="str">
        <f>IFERROR(SMALL('Raw Data'!$O$2:$O$1680,29),"")</f>
        <v/>
      </c>
      <c r="Y40" t="str">
        <f>IF($X40="","",IFERROR(MATCH($B$3&amp;"|"&amp;$G$3&amp;"|"&amp;$B40&amp;"|"&amp;$D40,'Flight Rates'!$A:$A,0),""))</f>
        <v/>
      </c>
      <c r="Z40" t="str">
        <f>IF($Y40="","",INDEX('Flight Rates'!$P:$P,$Y40))</f>
        <v/>
      </c>
    </row>
    <row r="41" spans="1:26" x14ac:dyDescent="0.25">
      <c r="A41" s="6" t="str">
        <f>IF($X41="","",INDEX('Raw Data'!$D:$D,$X41))</f>
        <v/>
      </c>
      <c r="B41" s="6" t="str">
        <f>IF($X41="","",INDEX('Raw Data'!$E:$E,$X41))</f>
        <v/>
      </c>
      <c r="C41" s="9" t="str">
        <f>IF($X41="","",IF($Y41="","Not linked",IF(INDEX('Flight Rates'!$G:$G,$Y41)&lt;&gt;"",INDEX('Flight Rates'!$G:$G,$Y41),IF($Z41="NO TARIFF LOADED","No tariff","No rate"))))</f>
        <v/>
      </c>
      <c r="D41" s="7" t="str">
        <f>IF($X41="","",INDEX('Raw Data'!$F:$F,$X41))</f>
        <v/>
      </c>
      <c r="E41" s="10" t="str">
        <f>IF($Y41="","",IF(INDEX('Flight Rates'!$K:$K,$Y41)="","",INDEX('Flight Rates'!$K:$K,$Y41)+N($T41)+N($U41)))</f>
        <v/>
      </c>
      <c r="F41" s="10" t="str">
        <f>IF($Y41="","",IF(INDEX('Flight Rates'!$L:$L,$Y41)="","",INDEX('Flight Rates'!$L:$L,$Y41)+N($T41)+N($U41)))</f>
        <v/>
      </c>
      <c r="T41" t="str">
        <f>IF($Y41="","",N(INDEX('Flight Rates'!$S:$S,$Y41)))</f>
        <v/>
      </c>
      <c r="U41" t="str">
        <f>IF(OR($Y41="",$C41="No tariff",$C41="No rate"),"",IFERROR(N(INDEX('Add-on Rates'!$C:$C,MATCH($A41,'Add-on Rates'!$A:$A,0))),0))</f>
        <v/>
      </c>
      <c r="X41" t="str">
        <f>IFERROR(SMALL('Raw Data'!$O$2:$O$1680,30),"")</f>
        <v/>
      </c>
      <c r="Y41" t="str">
        <f>IF($X41="","",IFERROR(MATCH($B$3&amp;"|"&amp;$G$3&amp;"|"&amp;$B41&amp;"|"&amp;$D41,'Flight Rates'!$A:$A,0),""))</f>
        <v/>
      </c>
      <c r="Z41" t="str">
        <f>IF($Y41="","",INDEX('Flight Rates'!$P:$P,$Y41))</f>
        <v/>
      </c>
    </row>
    <row r="42" spans="1:26" x14ac:dyDescent="0.25">
      <c r="A42" s="6" t="str">
        <f>IF($X42="","",INDEX('Raw Data'!$D:$D,$X42))</f>
        <v/>
      </c>
      <c r="B42" s="6" t="str">
        <f>IF($X42="","",INDEX('Raw Data'!$E:$E,$X42))</f>
        <v/>
      </c>
      <c r="C42" s="9" t="str">
        <f>IF($X42="","",IF($Y42="","Not linked",IF(INDEX('Flight Rates'!$G:$G,$Y42)&lt;&gt;"",INDEX('Flight Rates'!$G:$G,$Y42),IF($Z42="NO TARIFF LOADED","No tariff","No rate"))))</f>
        <v/>
      </c>
      <c r="D42" s="7" t="str">
        <f>IF($X42="","",INDEX('Raw Data'!$F:$F,$X42))</f>
        <v/>
      </c>
      <c r="E42" s="10" t="str">
        <f>IF($Y42="","",IF(INDEX('Flight Rates'!$K:$K,$Y42)="","",INDEX('Flight Rates'!$K:$K,$Y42)+N($T42)+N($U42)))</f>
        <v/>
      </c>
      <c r="F42" s="10" t="str">
        <f>IF($Y42="","",IF(INDEX('Flight Rates'!$L:$L,$Y42)="","",INDEX('Flight Rates'!$L:$L,$Y42)+N($T42)+N($U42)))</f>
        <v/>
      </c>
      <c r="T42" t="str">
        <f>IF($Y42="","",N(INDEX('Flight Rates'!$S:$S,$Y42)))</f>
        <v/>
      </c>
      <c r="U42" t="str">
        <f>IF(OR($Y42="",$C42="No tariff",$C42="No rate"),"",IFERROR(N(INDEX('Add-on Rates'!$C:$C,MATCH($A42,'Add-on Rates'!$A:$A,0))),0))</f>
        <v/>
      </c>
      <c r="X42" t="str">
        <f>IFERROR(SMALL('Raw Data'!$O$2:$O$1680,31),"")</f>
        <v/>
      </c>
      <c r="Y42" t="str">
        <f>IF($X42="","",IFERROR(MATCH($B$3&amp;"|"&amp;$G$3&amp;"|"&amp;$B42&amp;"|"&amp;$D42,'Flight Rates'!$A:$A,0),""))</f>
        <v/>
      </c>
      <c r="Z42" t="str">
        <f>IF($Y42="","",INDEX('Flight Rates'!$P:$P,$Y42))</f>
        <v/>
      </c>
    </row>
    <row r="43" spans="1:26" x14ac:dyDescent="0.25">
      <c r="A43" s="6" t="str">
        <f>IF($X43="","",INDEX('Raw Data'!$D:$D,$X43))</f>
        <v/>
      </c>
      <c r="B43" s="6" t="str">
        <f>IF($X43="","",INDEX('Raw Data'!$E:$E,$X43))</f>
        <v/>
      </c>
      <c r="C43" s="9" t="str">
        <f>IF($X43="","",IF($Y43="","Not linked",IF(INDEX('Flight Rates'!$G:$G,$Y43)&lt;&gt;"",INDEX('Flight Rates'!$G:$G,$Y43),IF($Z43="NO TARIFF LOADED","No tariff","No rate"))))</f>
        <v/>
      </c>
      <c r="D43" s="7" t="str">
        <f>IF($X43="","",INDEX('Raw Data'!$F:$F,$X43))</f>
        <v/>
      </c>
      <c r="E43" s="10" t="str">
        <f>IF($Y43="","",IF(INDEX('Flight Rates'!$K:$K,$Y43)="","",INDEX('Flight Rates'!$K:$K,$Y43)+N($T43)+N($U43)))</f>
        <v/>
      </c>
      <c r="F43" s="10" t="str">
        <f>IF($Y43="","",IF(INDEX('Flight Rates'!$L:$L,$Y43)="","",INDEX('Flight Rates'!$L:$L,$Y43)+N($T43)+N($U43)))</f>
        <v/>
      </c>
      <c r="T43" t="str">
        <f>IF($Y43="","",N(INDEX('Flight Rates'!$S:$S,$Y43)))</f>
        <v/>
      </c>
      <c r="U43" t="str">
        <f>IF(OR($Y43="",$C43="No tariff",$C43="No rate"),"",IFERROR(N(INDEX('Add-on Rates'!$C:$C,MATCH($A43,'Add-on Rates'!$A:$A,0))),0))</f>
        <v/>
      </c>
      <c r="X43" t="str">
        <f>IFERROR(SMALL('Raw Data'!$O$2:$O$1680,32),"")</f>
        <v/>
      </c>
      <c r="Y43" t="str">
        <f>IF($X43="","",IFERROR(MATCH($B$3&amp;"|"&amp;$G$3&amp;"|"&amp;$B43&amp;"|"&amp;$D43,'Flight Rates'!$A:$A,0),""))</f>
        <v/>
      </c>
      <c r="Z43" t="str">
        <f>IF($Y43="","",INDEX('Flight Rates'!$P:$P,$Y43))</f>
        <v/>
      </c>
    </row>
    <row r="44" spans="1:26" x14ac:dyDescent="0.25">
      <c r="A44" s="6" t="str">
        <f>IF($X44="","",INDEX('Raw Data'!$D:$D,$X44))</f>
        <v/>
      </c>
      <c r="B44" s="6" t="str">
        <f>IF($X44="","",INDEX('Raw Data'!$E:$E,$X44))</f>
        <v/>
      </c>
      <c r="C44" s="9" t="str">
        <f>IF($X44="","",IF($Y44="","Not linked",IF(INDEX('Flight Rates'!$G:$G,$Y44)&lt;&gt;"",INDEX('Flight Rates'!$G:$G,$Y44),IF($Z44="NO TARIFF LOADED","No tariff","No rate"))))</f>
        <v/>
      </c>
      <c r="D44" s="7" t="str">
        <f>IF($X44="","",INDEX('Raw Data'!$F:$F,$X44))</f>
        <v/>
      </c>
      <c r="E44" s="10" t="str">
        <f>IF($Y44="","",IF(INDEX('Flight Rates'!$K:$K,$Y44)="","",INDEX('Flight Rates'!$K:$K,$Y44)+N($T44)+N($U44)))</f>
        <v/>
      </c>
      <c r="F44" s="10" t="str">
        <f>IF($Y44="","",IF(INDEX('Flight Rates'!$L:$L,$Y44)="","",INDEX('Flight Rates'!$L:$L,$Y44)+N($T44)+N($U44)))</f>
        <v/>
      </c>
      <c r="T44" t="str">
        <f>IF($Y44="","",N(INDEX('Flight Rates'!$S:$S,$Y44)))</f>
        <v/>
      </c>
      <c r="U44" t="str">
        <f>IF(OR($Y44="",$C44="No tariff",$C44="No rate"),"",IFERROR(N(INDEX('Add-on Rates'!$C:$C,MATCH($A44,'Add-on Rates'!$A:$A,0))),0))</f>
        <v/>
      </c>
      <c r="X44" t="str">
        <f>IFERROR(SMALL('Raw Data'!$O$2:$O$1680,33),"")</f>
        <v/>
      </c>
      <c r="Y44" t="str">
        <f>IF($X44="","",IFERROR(MATCH($B$3&amp;"|"&amp;$G$3&amp;"|"&amp;$B44&amp;"|"&amp;$D44,'Flight Rates'!$A:$A,0),""))</f>
        <v/>
      </c>
      <c r="Z44" t="str">
        <f>IF($Y44="","",INDEX('Flight Rates'!$P:$P,$Y44))</f>
        <v/>
      </c>
    </row>
    <row r="45" spans="1:26" x14ac:dyDescent="0.25">
      <c r="A45" s="6" t="str">
        <f>IF($X45="","",INDEX('Raw Data'!$D:$D,$X45))</f>
        <v/>
      </c>
      <c r="B45" s="6" t="str">
        <f>IF($X45="","",INDEX('Raw Data'!$E:$E,$X45))</f>
        <v/>
      </c>
      <c r="C45" s="9" t="str">
        <f>IF($X45="","",IF($Y45="","Not linked",IF(INDEX('Flight Rates'!$G:$G,$Y45)&lt;&gt;"",INDEX('Flight Rates'!$G:$G,$Y45),IF($Z45="NO TARIFF LOADED","No tariff","No rate"))))</f>
        <v/>
      </c>
      <c r="D45" s="7" t="str">
        <f>IF($X45="","",INDEX('Raw Data'!$F:$F,$X45))</f>
        <v/>
      </c>
      <c r="E45" s="10" t="str">
        <f>IF($Y45="","",IF(INDEX('Flight Rates'!$K:$K,$Y45)="","",INDEX('Flight Rates'!$K:$K,$Y45)+N($T45)+N($U45)))</f>
        <v/>
      </c>
      <c r="F45" s="10" t="str">
        <f>IF($Y45="","",IF(INDEX('Flight Rates'!$L:$L,$Y45)="","",INDEX('Flight Rates'!$L:$L,$Y45)+N($T45)+N($U45)))</f>
        <v/>
      </c>
      <c r="T45" t="str">
        <f>IF($Y45="","",N(INDEX('Flight Rates'!$S:$S,$Y45)))</f>
        <v/>
      </c>
      <c r="U45" t="str">
        <f>IF(OR($Y45="",$C45="No tariff",$C45="No rate"),"",IFERROR(N(INDEX('Add-on Rates'!$C:$C,MATCH($A45,'Add-on Rates'!$A:$A,0))),0))</f>
        <v/>
      </c>
      <c r="X45" t="str">
        <f>IFERROR(SMALL('Raw Data'!$O$2:$O$1680,34),"")</f>
        <v/>
      </c>
      <c r="Y45" t="str">
        <f>IF($X45="","",IFERROR(MATCH($B$3&amp;"|"&amp;$G$3&amp;"|"&amp;$B45&amp;"|"&amp;$D45,'Flight Rates'!$A:$A,0),""))</f>
        <v/>
      </c>
      <c r="Z45" t="str">
        <f>IF($Y45="","",INDEX('Flight Rates'!$P:$P,$Y45))</f>
        <v/>
      </c>
    </row>
    <row r="46" spans="1:26" x14ac:dyDescent="0.25">
      <c r="A46" s="6" t="str">
        <f>IF($X46="","",INDEX('Raw Data'!$D:$D,$X46))</f>
        <v/>
      </c>
      <c r="B46" s="6" t="str">
        <f>IF($X46="","",INDEX('Raw Data'!$E:$E,$X46))</f>
        <v/>
      </c>
      <c r="C46" s="9" t="str">
        <f>IF($X46="","",IF($Y46="","Not linked",IF(INDEX('Flight Rates'!$G:$G,$Y46)&lt;&gt;"",INDEX('Flight Rates'!$G:$G,$Y46),IF($Z46="NO TARIFF LOADED","No tariff","No rate"))))</f>
        <v/>
      </c>
      <c r="D46" s="7" t="str">
        <f>IF($X46="","",INDEX('Raw Data'!$F:$F,$X46))</f>
        <v/>
      </c>
      <c r="E46" s="10" t="str">
        <f>IF($Y46="","",IF(INDEX('Flight Rates'!$K:$K,$Y46)="","",INDEX('Flight Rates'!$K:$K,$Y46)+N($T46)+N($U46)))</f>
        <v/>
      </c>
      <c r="F46" s="10" t="str">
        <f>IF($Y46="","",IF(INDEX('Flight Rates'!$L:$L,$Y46)="","",INDEX('Flight Rates'!$L:$L,$Y46)+N($T46)+N($U46)))</f>
        <v/>
      </c>
      <c r="T46" t="str">
        <f>IF($Y46="","",N(INDEX('Flight Rates'!$S:$S,$Y46)))</f>
        <v/>
      </c>
      <c r="U46" t="str">
        <f>IF(OR($Y46="",$C46="No tariff",$C46="No rate"),"",IFERROR(N(INDEX('Add-on Rates'!$C:$C,MATCH($A46,'Add-on Rates'!$A:$A,0))),0))</f>
        <v/>
      </c>
      <c r="X46" t="str">
        <f>IFERROR(SMALL('Raw Data'!$O$2:$O$1680,35),"")</f>
        <v/>
      </c>
      <c r="Y46" t="str">
        <f>IF($X46="","",IFERROR(MATCH($B$3&amp;"|"&amp;$G$3&amp;"|"&amp;$B46&amp;"|"&amp;$D46,'Flight Rates'!$A:$A,0),""))</f>
        <v/>
      </c>
      <c r="Z46" t="str">
        <f>IF($Y46="","",INDEX('Flight Rates'!$P:$P,$Y46))</f>
        <v/>
      </c>
    </row>
    <row r="47" spans="1:26" x14ac:dyDescent="0.25">
      <c r="A47" s="6" t="str">
        <f>IF($X47="","",INDEX('Raw Data'!$D:$D,$X47))</f>
        <v/>
      </c>
      <c r="B47" s="6" t="str">
        <f>IF($X47="","",INDEX('Raw Data'!$E:$E,$X47))</f>
        <v/>
      </c>
      <c r="C47" s="9" t="str">
        <f>IF($X47="","",IF($Y47="","Not linked",IF(INDEX('Flight Rates'!$G:$G,$Y47)&lt;&gt;"",INDEX('Flight Rates'!$G:$G,$Y47),IF($Z47="NO TARIFF LOADED","No tariff","No rate"))))</f>
        <v/>
      </c>
      <c r="D47" s="7" t="str">
        <f>IF($X47="","",INDEX('Raw Data'!$F:$F,$X47))</f>
        <v/>
      </c>
      <c r="E47" s="10" t="str">
        <f>IF($Y47="","",IF(INDEX('Flight Rates'!$K:$K,$Y47)="","",INDEX('Flight Rates'!$K:$K,$Y47)+N($T47)+N($U47)))</f>
        <v/>
      </c>
      <c r="F47" s="10" t="str">
        <f>IF($Y47="","",IF(INDEX('Flight Rates'!$L:$L,$Y47)="","",INDEX('Flight Rates'!$L:$L,$Y47)+N($T47)+N($U47)))</f>
        <v/>
      </c>
      <c r="T47" t="str">
        <f>IF($Y47="","",N(INDEX('Flight Rates'!$S:$S,$Y47)))</f>
        <v/>
      </c>
      <c r="U47" t="str">
        <f>IF(OR($Y47="",$C47="No tariff",$C47="No rate"),"",IFERROR(N(INDEX('Add-on Rates'!$C:$C,MATCH($A47,'Add-on Rates'!$A:$A,0))),0))</f>
        <v/>
      </c>
      <c r="X47" t="str">
        <f>IFERROR(SMALL('Raw Data'!$O$2:$O$1680,36),"")</f>
        <v/>
      </c>
      <c r="Y47" t="str">
        <f>IF($X47="","",IFERROR(MATCH($B$3&amp;"|"&amp;$G$3&amp;"|"&amp;$B47&amp;"|"&amp;$D47,'Flight Rates'!$A:$A,0),""))</f>
        <v/>
      </c>
      <c r="Z47" t="str">
        <f>IF($Y47="","",INDEX('Flight Rates'!$P:$P,$Y47))</f>
        <v/>
      </c>
    </row>
    <row r="48" spans="1:26" x14ac:dyDescent="0.25">
      <c r="A48" s="6" t="str">
        <f>IF($X48="","",INDEX('Raw Data'!$D:$D,$X48))</f>
        <v/>
      </c>
      <c r="B48" s="6" t="str">
        <f>IF($X48="","",INDEX('Raw Data'!$E:$E,$X48))</f>
        <v/>
      </c>
      <c r="C48" s="9" t="str">
        <f>IF($X48="","",IF($Y48="","Not linked",IF(INDEX('Flight Rates'!$G:$G,$Y48)&lt;&gt;"",INDEX('Flight Rates'!$G:$G,$Y48),IF($Z48="NO TARIFF LOADED","No tariff","No rate"))))</f>
        <v/>
      </c>
      <c r="D48" s="7" t="str">
        <f>IF($X48="","",INDEX('Raw Data'!$F:$F,$X48))</f>
        <v/>
      </c>
      <c r="E48" s="10" t="str">
        <f>IF($Y48="","",IF(INDEX('Flight Rates'!$K:$K,$Y48)="","",INDEX('Flight Rates'!$K:$K,$Y48)+N($T48)+N($U48)))</f>
        <v/>
      </c>
      <c r="F48" s="10" t="str">
        <f>IF($Y48="","",IF(INDEX('Flight Rates'!$L:$L,$Y48)="","",INDEX('Flight Rates'!$L:$L,$Y48)+N($T48)+N($U48)))</f>
        <v/>
      </c>
      <c r="T48" t="str">
        <f>IF($Y48="","",N(INDEX('Flight Rates'!$S:$S,$Y48)))</f>
        <v/>
      </c>
      <c r="U48" t="str">
        <f>IF(OR($Y48="",$C48="No tariff",$C48="No rate"),"",IFERROR(N(INDEX('Add-on Rates'!$C:$C,MATCH($A48,'Add-on Rates'!$A:$A,0))),0))</f>
        <v/>
      </c>
      <c r="X48" t="str">
        <f>IFERROR(SMALL('Raw Data'!$O$2:$O$1680,37),"")</f>
        <v/>
      </c>
      <c r="Y48" t="str">
        <f>IF($X48="","",IFERROR(MATCH($B$3&amp;"|"&amp;$G$3&amp;"|"&amp;$B48&amp;"|"&amp;$D48,'Flight Rates'!$A:$A,0),""))</f>
        <v/>
      </c>
      <c r="Z48" t="str">
        <f>IF($Y48="","",INDEX('Flight Rates'!$P:$P,$Y48))</f>
        <v/>
      </c>
    </row>
    <row r="49" spans="1:26" x14ac:dyDescent="0.25">
      <c r="A49" s="6" t="str">
        <f>IF($X49="","",INDEX('Raw Data'!$D:$D,$X49))</f>
        <v/>
      </c>
      <c r="B49" s="6" t="str">
        <f>IF($X49="","",INDEX('Raw Data'!$E:$E,$X49))</f>
        <v/>
      </c>
      <c r="C49" s="9" t="str">
        <f>IF($X49="","",IF($Y49="","Not linked",IF(INDEX('Flight Rates'!$G:$G,$Y49)&lt;&gt;"",INDEX('Flight Rates'!$G:$G,$Y49),IF($Z49="NO TARIFF LOADED","No tariff","No rate"))))</f>
        <v/>
      </c>
      <c r="D49" s="7" t="str">
        <f>IF($X49="","",INDEX('Raw Data'!$F:$F,$X49))</f>
        <v/>
      </c>
      <c r="E49" s="10" t="str">
        <f>IF($Y49="","",IF(INDEX('Flight Rates'!$K:$K,$Y49)="","",INDEX('Flight Rates'!$K:$K,$Y49)+N($T49)+N($U49)))</f>
        <v/>
      </c>
      <c r="F49" s="10" t="str">
        <f>IF($Y49="","",IF(INDEX('Flight Rates'!$L:$L,$Y49)="","",INDEX('Flight Rates'!$L:$L,$Y49)+N($T49)+N($U49)))</f>
        <v/>
      </c>
      <c r="T49" t="str">
        <f>IF($Y49="","",N(INDEX('Flight Rates'!$S:$S,$Y49)))</f>
        <v/>
      </c>
      <c r="U49" t="str">
        <f>IF(OR($Y49="",$C49="No tariff",$C49="No rate"),"",IFERROR(N(INDEX('Add-on Rates'!$C:$C,MATCH($A49,'Add-on Rates'!$A:$A,0))),0))</f>
        <v/>
      </c>
      <c r="X49" t="str">
        <f>IFERROR(SMALL('Raw Data'!$O$2:$O$1680,38),"")</f>
        <v/>
      </c>
      <c r="Y49" t="str">
        <f>IF($X49="","",IFERROR(MATCH($B$3&amp;"|"&amp;$G$3&amp;"|"&amp;$B49&amp;"|"&amp;$D49,'Flight Rates'!$A:$A,0),""))</f>
        <v/>
      </c>
      <c r="Z49" t="str">
        <f>IF($Y49="","",INDEX('Flight Rates'!$P:$P,$Y49))</f>
        <v/>
      </c>
    </row>
    <row r="50" spans="1:26" x14ac:dyDescent="0.25">
      <c r="A50" s="6" t="str">
        <f>IF($X50="","",INDEX('Raw Data'!$D:$D,$X50))</f>
        <v/>
      </c>
      <c r="B50" s="6" t="str">
        <f>IF($X50="","",INDEX('Raw Data'!$E:$E,$X50))</f>
        <v/>
      </c>
      <c r="C50" s="9" t="str">
        <f>IF($X50="","",IF($Y50="","Not linked",IF(INDEX('Flight Rates'!$G:$G,$Y50)&lt;&gt;"",INDEX('Flight Rates'!$G:$G,$Y50),IF($Z50="NO TARIFF LOADED","No tariff","No rate"))))</f>
        <v/>
      </c>
      <c r="D50" s="7" t="str">
        <f>IF($X50="","",INDEX('Raw Data'!$F:$F,$X50))</f>
        <v/>
      </c>
      <c r="E50" s="10" t="str">
        <f>IF($Y50="","",IF(INDEX('Flight Rates'!$K:$K,$Y50)="","",INDEX('Flight Rates'!$K:$K,$Y50)+N($T50)+N($U50)))</f>
        <v/>
      </c>
      <c r="F50" s="10" t="str">
        <f>IF($Y50="","",IF(INDEX('Flight Rates'!$L:$L,$Y50)="","",INDEX('Flight Rates'!$L:$L,$Y50)+N($T50)+N($U50)))</f>
        <v/>
      </c>
      <c r="T50" t="str">
        <f>IF($Y50="","",N(INDEX('Flight Rates'!$S:$S,$Y50)))</f>
        <v/>
      </c>
      <c r="U50" t="str">
        <f>IF(OR($Y50="",$C50="No tariff",$C50="No rate"),"",IFERROR(N(INDEX('Add-on Rates'!$C:$C,MATCH($A50,'Add-on Rates'!$A:$A,0))),0))</f>
        <v/>
      </c>
      <c r="X50" t="str">
        <f>IFERROR(SMALL('Raw Data'!$O$2:$O$1680,39),"")</f>
        <v/>
      </c>
      <c r="Y50" t="str">
        <f>IF($X50="","",IFERROR(MATCH($B$3&amp;"|"&amp;$G$3&amp;"|"&amp;$B50&amp;"|"&amp;$D50,'Flight Rates'!$A:$A,0),""))</f>
        <v/>
      </c>
      <c r="Z50" t="str">
        <f>IF($Y50="","",INDEX('Flight Rates'!$P:$P,$Y50))</f>
        <v/>
      </c>
    </row>
    <row r="51" spans="1:26" x14ac:dyDescent="0.25">
      <c r="A51" s="6" t="str">
        <f>IF($X51="","",INDEX('Raw Data'!$D:$D,$X51))</f>
        <v/>
      </c>
      <c r="B51" s="6" t="str">
        <f>IF($X51="","",INDEX('Raw Data'!$E:$E,$X51))</f>
        <v/>
      </c>
      <c r="C51" s="9" t="str">
        <f>IF($X51="","",IF($Y51="","Not linked",IF(INDEX('Flight Rates'!$G:$G,$Y51)&lt;&gt;"",INDEX('Flight Rates'!$G:$G,$Y51),IF($Z51="NO TARIFF LOADED","No tariff","No rate"))))</f>
        <v/>
      </c>
      <c r="D51" s="7" t="str">
        <f>IF($X51="","",INDEX('Raw Data'!$F:$F,$X51))</f>
        <v/>
      </c>
      <c r="E51" s="10" t="str">
        <f>IF($Y51="","",IF(INDEX('Flight Rates'!$K:$K,$Y51)="","",INDEX('Flight Rates'!$K:$K,$Y51)+N($T51)+N($U51)))</f>
        <v/>
      </c>
      <c r="F51" s="10" t="str">
        <f>IF($Y51="","",IF(INDEX('Flight Rates'!$L:$L,$Y51)="","",INDEX('Flight Rates'!$L:$L,$Y51)+N($T51)+N($U51)))</f>
        <v/>
      </c>
      <c r="T51" t="str">
        <f>IF($Y51="","",N(INDEX('Flight Rates'!$S:$S,$Y51)))</f>
        <v/>
      </c>
      <c r="U51" t="str">
        <f>IF(OR($Y51="",$C51="No tariff",$C51="No rate"),"",IFERROR(N(INDEX('Add-on Rates'!$C:$C,MATCH($A51,'Add-on Rates'!$A:$A,0))),0))</f>
        <v/>
      </c>
      <c r="X51" t="str">
        <f>IFERROR(SMALL('Raw Data'!$O$2:$O$1680,40),"")</f>
        <v/>
      </c>
      <c r="Y51" t="str">
        <f>IF($X51="","",IFERROR(MATCH($B$3&amp;"|"&amp;$G$3&amp;"|"&amp;$B51&amp;"|"&amp;$D51,'Flight Rates'!$A:$A,0),""))</f>
        <v/>
      </c>
      <c r="Z51" t="str">
        <f>IF($Y51="","",INDEX('Flight Rates'!$P:$P,$Y51))</f>
        <v/>
      </c>
    </row>
    <row r="52" spans="1:26" x14ac:dyDescent="0.25">
      <c r="A52" s="6" t="str">
        <f>IF($X52="","",INDEX('Raw Data'!$D:$D,$X52))</f>
        <v/>
      </c>
      <c r="B52" s="6" t="str">
        <f>IF($X52="","",INDEX('Raw Data'!$E:$E,$X52))</f>
        <v/>
      </c>
      <c r="C52" s="9" t="str">
        <f>IF($X52="","",IF($Y52="","Not linked",IF(INDEX('Flight Rates'!$G:$G,$Y52)&lt;&gt;"",INDEX('Flight Rates'!$G:$G,$Y52),IF($Z52="NO TARIFF LOADED","No tariff","No rate"))))</f>
        <v/>
      </c>
      <c r="D52" s="7" t="str">
        <f>IF($X52="","",INDEX('Raw Data'!$F:$F,$X52))</f>
        <v/>
      </c>
      <c r="E52" s="10" t="str">
        <f>IF($Y52="","",IF(INDEX('Flight Rates'!$K:$K,$Y52)="","",INDEX('Flight Rates'!$K:$K,$Y52)+N($T52)+N($U52)))</f>
        <v/>
      </c>
      <c r="F52" s="10" t="str">
        <f>IF($Y52="","",IF(INDEX('Flight Rates'!$L:$L,$Y52)="","",INDEX('Flight Rates'!$L:$L,$Y52)+N($T52)+N($U52)))</f>
        <v/>
      </c>
      <c r="T52" t="str">
        <f>IF($Y52="","",N(INDEX('Flight Rates'!$S:$S,$Y52)))</f>
        <v/>
      </c>
      <c r="U52" t="str">
        <f>IF(OR($Y52="",$C52="No tariff",$C52="No rate"),"",IFERROR(N(INDEX('Add-on Rates'!$C:$C,MATCH($A52,'Add-on Rates'!$A:$A,0))),0))</f>
        <v/>
      </c>
      <c r="X52" t="str">
        <f>IFERROR(SMALL('Raw Data'!$O$2:$O$1680,41),"")</f>
        <v/>
      </c>
      <c r="Y52" t="str">
        <f>IF($X52="","",IFERROR(MATCH($B$3&amp;"|"&amp;$G$3&amp;"|"&amp;$B52&amp;"|"&amp;$D52,'Flight Rates'!$A:$A,0),""))</f>
        <v/>
      </c>
      <c r="Z52" t="str">
        <f>IF($Y52="","",INDEX('Flight Rates'!$P:$P,$Y52))</f>
        <v/>
      </c>
    </row>
    <row r="53" spans="1:26" x14ac:dyDescent="0.25">
      <c r="A53" s="6" t="str">
        <f>IF($X53="","",INDEX('Raw Data'!$D:$D,$X53))</f>
        <v/>
      </c>
      <c r="B53" s="6" t="str">
        <f>IF($X53="","",INDEX('Raw Data'!$E:$E,$X53))</f>
        <v/>
      </c>
      <c r="C53" s="9" t="str">
        <f>IF($X53="","",IF($Y53="","Not linked",IF(INDEX('Flight Rates'!$G:$G,$Y53)&lt;&gt;"",INDEX('Flight Rates'!$G:$G,$Y53),IF($Z53="NO TARIFF LOADED","No tariff","No rate"))))</f>
        <v/>
      </c>
      <c r="D53" s="7" t="str">
        <f>IF($X53="","",INDEX('Raw Data'!$F:$F,$X53))</f>
        <v/>
      </c>
      <c r="E53" s="10" t="str">
        <f>IF($Y53="","",IF(INDEX('Flight Rates'!$K:$K,$Y53)="","",INDEX('Flight Rates'!$K:$K,$Y53)+N($T53)+N($U53)))</f>
        <v/>
      </c>
      <c r="F53" s="10" t="str">
        <f>IF($Y53="","",IF(INDEX('Flight Rates'!$L:$L,$Y53)="","",INDEX('Flight Rates'!$L:$L,$Y53)+N($T53)+N($U53)))</f>
        <v/>
      </c>
      <c r="T53" t="str">
        <f>IF($Y53="","",N(INDEX('Flight Rates'!$S:$S,$Y53)))</f>
        <v/>
      </c>
      <c r="U53" t="str">
        <f>IF(OR($Y53="",$C53="No tariff",$C53="No rate"),"",IFERROR(N(INDEX('Add-on Rates'!$C:$C,MATCH($A53,'Add-on Rates'!$A:$A,0))),0))</f>
        <v/>
      </c>
      <c r="X53" t="str">
        <f>IFERROR(SMALL('Raw Data'!$O$2:$O$1680,42),"")</f>
        <v/>
      </c>
      <c r="Y53" t="str">
        <f>IF($X53="","",IFERROR(MATCH($B$3&amp;"|"&amp;$G$3&amp;"|"&amp;$B53&amp;"|"&amp;$D53,'Flight Rates'!$A:$A,0),""))</f>
        <v/>
      </c>
      <c r="Z53" t="str">
        <f>IF($Y53="","",INDEX('Flight Rates'!$P:$P,$Y53))</f>
        <v/>
      </c>
    </row>
    <row r="54" spans="1:26" x14ac:dyDescent="0.25">
      <c r="A54" s="6" t="str">
        <f>IF($X54="","",INDEX('Raw Data'!$D:$D,$X54))</f>
        <v/>
      </c>
      <c r="B54" s="6" t="str">
        <f>IF($X54="","",INDEX('Raw Data'!$E:$E,$X54))</f>
        <v/>
      </c>
      <c r="C54" s="9" t="str">
        <f>IF($X54="","",IF($Y54="","Not linked",IF(INDEX('Flight Rates'!$G:$G,$Y54)&lt;&gt;"",INDEX('Flight Rates'!$G:$G,$Y54),IF($Z54="NO TARIFF LOADED","No tariff","No rate"))))</f>
        <v/>
      </c>
      <c r="D54" s="7" t="str">
        <f>IF($X54="","",INDEX('Raw Data'!$F:$F,$X54))</f>
        <v/>
      </c>
      <c r="E54" s="10" t="str">
        <f>IF($Y54="","",IF(INDEX('Flight Rates'!$K:$K,$Y54)="","",INDEX('Flight Rates'!$K:$K,$Y54)+N($T54)+N($U54)))</f>
        <v/>
      </c>
      <c r="F54" s="10" t="str">
        <f>IF($Y54="","",IF(INDEX('Flight Rates'!$L:$L,$Y54)="","",INDEX('Flight Rates'!$L:$L,$Y54)+N($T54)+N($U54)))</f>
        <v/>
      </c>
      <c r="T54" t="str">
        <f>IF($Y54="","",N(INDEX('Flight Rates'!$S:$S,$Y54)))</f>
        <v/>
      </c>
      <c r="U54" t="str">
        <f>IF(OR($Y54="",$C54="No tariff",$C54="No rate"),"",IFERROR(N(INDEX('Add-on Rates'!$C:$C,MATCH($A54,'Add-on Rates'!$A:$A,0))),0))</f>
        <v/>
      </c>
      <c r="X54" t="str">
        <f>IFERROR(SMALL('Raw Data'!$O$2:$O$1680,43),"")</f>
        <v/>
      </c>
      <c r="Y54" t="str">
        <f>IF($X54="","",IFERROR(MATCH($B$3&amp;"|"&amp;$G$3&amp;"|"&amp;$B54&amp;"|"&amp;$D54,'Flight Rates'!$A:$A,0),""))</f>
        <v/>
      </c>
      <c r="Z54" t="str">
        <f>IF($Y54="","",INDEX('Flight Rates'!$P:$P,$Y54))</f>
        <v/>
      </c>
    </row>
    <row r="55" spans="1:26" x14ac:dyDescent="0.25">
      <c r="A55" s="6" t="str">
        <f>IF($X55="","",INDEX('Raw Data'!$D:$D,$X55))</f>
        <v/>
      </c>
      <c r="B55" s="6" t="str">
        <f>IF($X55="","",INDEX('Raw Data'!$E:$E,$X55))</f>
        <v/>
      </c>
      <c r="C55" s="9" t="str">
        <f>IF($X55="","",IF($Y55="","Not linked",IF(INDEX('Flight Rates'!$G:$G,$Y55)&lt;&gt;"",INDEX('Flight Rates'!$G:$G,$Y55),IF($Z55="NO TARIFF LOADED","No tariff","No rate"))))</f>
        <v/>
      </c>
      <c r="D55" s="7" t="str">
        <f>IF($X55="","",INDEX('Raw Data'!$F:$F,$X55))</f>
        <v/>
      </c>
      <c r="E55" s="10" t="str">
        <f>IF($Y55="","",IF(INDEX('Flight Rates'!$K:$K,$Y55)="","",INDEX('Flight Rates'!$K:$K,$Y55)+N($T55)+N($U55)))</f>
        <v/>
      </c>
      <c r="F55" s="10" t="str">
        <f>IF($Y55="","",IF(INDEX('Flight Rates'!$L:$L,$Y55)="","",INDEX('Flight Rates'!$L:$L,$Y55)+N($T55)+N($U55)))</f>
        <v/>
      </c>
      <c r="T55" t="str">
        <f>IF($Y55="","",N(INDEX('Flight Rates'!$S:$S,$Y55)))</f>
        <v/>
      </c>
      <c r="U55" t="str">
        <f>IF(OR($Y55="",$C55="No tariff",$C55="No rate"),"",IFERROR(N(INDEX('Add-on Rates'!$C:$C,MATCH($A55,'Add-on Rates'!$A:$A,0))),0))</f>
        <v/>
      </c>
      <c r="X55" t="str">
        <f>IFERROR(SMALL('Raw Data'!$O$2:$O$1680,44),"")</f>
        <v/>
      </c>
      <c r="Y55" t="str">
        <f>IF($X55="","",IFERROR(MATCH($B$3&amp;"|"&amp;$G$3&amp;"|"&amp;$B55&amp;"|"&amp;$D55,'Flight Rates'!$A:$A,0),""))</f>
        <v/>
      </c>
      <c r="Z55" t="str">
        <f>IF($Y55="","",INDEX('Flight Rates'!$P:$P,$Y55))</f>
        <v/>
      </c>
    </row>
    <row r="56" spans="1:26" x14ac:dyDescent="0.25">
      <c r="A56" s="6" t="str">
        <f>IF($X56="","",INDEX('Raw Data'!$D:$D,$X56))</f>
        <v/>
      </c>
      <c r="B56" s="6" t="str">
        <f>IF($X56="","",INDEX('Raw Data'!$E:$E,$X56))</f>
        <v/>
      </c>
      <c r="C56" s="9" t="str">
        <f>IF($X56="","",IF($Y56="","Not linked",IF(INDEX('Flight Rates'!$G:$G,$Y56)&lt;&gt;"",INDEX('Flight Rates'!$G:$G,$Y56),IF($Z56="NO TARIFF LOADED","No tariff","No rate"))))</f>
        <v/>
      </c>
      <c r="D56" s="7" t="str">
        <f>IF($X56="","",INDEX('Raw Data'!$F:$F,$X56))</f>
        <v/>
      </c>
      <c r="E56" s="10" t="str">
        <f>IF($Y56="","",IF(INDEX('Flight Rates'!$K:$K,$Y56)="","",INDEX('Flight Rates'!$K:$K,$Y56)+N($T56)+N($U56)))</f>
        <v/>
      </c>
      <c r="F56" s="10" t="str">
        <f>IF($Y56="","",IF(INDEX('Flight Rates'!$L:$L,$Y56)="","",INDEX('Flight Rates'!$L:$L,$Y56)+N($T56)+N($U56)))</f>
        <v/>
      </c>
      <c r="T56" t="str">
        <f>IF($Y56="","",N(INDEX('Flight Rates'!$S:$S,$Y56)))</f>
        <v/>
      </c>
      <c r="U56" t="str">
        <f>IF(OR($Y56="",$C56="No tariff",$C56="No rate"),"",IFERROR(N(INDEX('Add-on Rates'!$C:$C,MATCH($A56,'Add-on Rates'!$A:$A,0))),0))</f>
        <v/>
      </c>
      <c r="X56" t="str">
        <f>IFERROR(SMALL('Raw Data'!$O$2:$O$1680,45),"")</f>
        <v/>
      </c>
      <c r="Y56" t="str">
        <f>IF($X56="","",IFERROR(MATCH($B$3&amp;"|"&amp;$G$3&amp;"|"&amp;$B56&amp;"|"&amp;$D56,'Flight Rates'!$A:$A,0),""))</f>
        <v/>
      </c>
      <c r="Z56" t="str">
        <f>IF($Y56="","",INDEX('Flight Rates'!$P:$P,$Y56))</f>
        <v/>
      </c>
    </row>
    <row r="57" spans="1:26" x14ac:dyDescent="0.25">
      <c r="A57" s="6" t="str">
        <f>IF($X57="","",INDEX('Raw Data'!$D:$D,$X57))</f>
        <v/>
      </c>
      <c r="B57" s="6" t="str">
        <f>IF($X57="","",INDEX('Raw Data'!$E:$E,$X57))</f>
        <v/>
      </c>
      <c r="C57" s="9" t="str">
        <f>IF($X57="","",IF($Y57="","Not linked",IF(INDEX('Flight Rates'!$G:$G,$Y57)&lt;&gt;"",INDEX('Flight Rates'!$G:$G,$Y57),IF($Z57="NO TARIFF LOADED","No tariff","No rate"))))</f>
        <v/>
      </c>
      <c r="D57" s="7" t="str">
        <f>IF($X57="","",INDEX('Raw Data'!$F:$F,$X57))</f>
        <v/>
      </c>
      <c r="E57" s="10" t="str">
        <f>IF($Y57="","",IF(INDEX('Flight Rates'!$K:$K,$Y57)="","",INDEX('Flight Rates'!$K:$K,$Y57)+N($T57)+N($U57)))</f>
        <v/>
      </c>
      <c r="F57" s="10" t="str">
        <f>IF($Y57="","",IF(INDEX('Flight Rates'!$L:$L,$Y57)="","",INDEX('Flight Rates'!$L:$L,$Y57)+N($T57)+N($U57)))</f>
        <v/>
      </c>
      <c r="T57" t="str">
        <f>IF($Y57="","",N(INDEX('Flight Rates'!$S:$S,$Y57)))</f>
        <v/>
      </c>
      <c r="U57" t="str">
        <f>IF(OR($Y57="",$C57="No tariff",$C57="No rate"),"",IFERROR(N(INDEX('Add-on Rates'!$C:$C,MATCH($A57,'Add-on Rates'!$A:$A,0))),0))</f>
        <v/>
      </c>
      <c r="X57" t="str">
        <f>IFERROR(SMALL('Raw Data'!$O$2:$O$1680,46),"")</f>
        <v/>
      </c>
      <c r="Y57" t="str">
        <f>IF($X57="","",IFERROR(MATCH($B$3&amp;"|"&amp;$G$3&amp;"|"&amp;$B57&amp;"|"&amp;$D57,'Flight Rates'!$A:$A,0),""))</f>
        <v/>
      </c>
      <c r="Z57" t="str">
        <f>IF($Y57="","",INDEX('Flight Rates'!$P:$P,$Y57))</f>
        <v/>
      </c>
    </row>
    <row r="58" spans="1:26" x14ac:dyDescent="0.25">
      <c r="A58" s="6" t="str">
        <f>IF($X58="","",INDEX('Raw Data'!$D:$D,$X58))</f>
        <v/>
      </c>
      <c r="B58" s="6" t="str">
        <f>IF($X58="","",INDEX('Raw Data'!$E:$E,$X58))</f>
        <v/>
      </c>
      <c r="C58" s="9" t="str">
        <f>IF($X58="","",IF($Y58="","Not linked",IF(INDEX('Flight Rates'!$G:$G,$Y58)&lt;&gt;"",INDEX('Flight Rates'!$G:$G,$Y58),IF($Z58="NO TARIFF LOADED","No tariff","No rate"))))</f>
        <v/>
      </c>
      <c r="D58" s="7" t="str">
        <f>IF($X58="","",INDEX('Raw Data'!$F:$F,$X58))</f>
        <v/>
      </c>
      <c r="E58" s="10" t="str">
        <f>IF($Y58="","",IF(INDEX('Flight Rates'!$K:$K,$Y58)="","",INDEX('Flight Rates'!$K:$K,$Y58)+N($T58)+N($U58)))</f>
        <v/>
      </c>
      <c r="F58" s="10" t="str">
        <f>IF($Y58="","",IF(INDEX('Flight Rates'!$L:$L,$Y58)="","",INDEX('Flight Rates'!$L:$L,$Y58)+N($T58)+N($U58)))</f>
        <v/>
      </c>
      <c r="T58" t="str">
        <f>IF($Y58="","",N(INDEX('Flight Rates'!$S:$S,$Y58)))</f>
        <v/>
      </c>
      <c r="U58" t="str">
        <f>IF(OR($Y58="",$C58="No tariff",$C58="No rate"),"",IFERROR(N(INDEX('Add-on Rates'!$C:$C,MATCH($A58,'Add-on Rates'!$A:$A,0))),0))</f>
        <v/>
      </c>
      <c r="X58" t="str">
        <f>IFERROR(SMALL('Raw Data'!$O$2:$O$1680,47),"")</f>
        <v/>
      </c>
      <c r="Y58" t="str">
        <f>IF($X58="","",IFERROR(MATCH($B$3&amp;"|"&amp;$G$3&amp;"|"&amp;$B58&amp;"|"&amp;$D58,'Flight Rates'!$A:$A,0),""))</f>
        <v/>
      </c>
      <c r="Z58" t="str">
        <f>IF($Y58="","",INDEX('Flight Rates'!$P:$P,$Y58))</f>
        <v/>
      </c>
    </row>
    <row r="59" spans="1:26" x14ac:dyDescent="0.25">
      <c r="A59" s="6" t="str">
        <f>IF($X59="","",INDEX('Raw Data'!$D:$D,$X59))</f>
        <v/>
      </c>
      <c r="B59" s="6" t="str">
        <f>IF($X59="","",INDEX('Raw Data'!$E:$E,$X59))</f>
        <v/>
      </c>
      <c r="C59" s="9" t="str">
        <f>IF($X59="","",IF($Y59="","Not linked",IF(INDEX('Flight Rates'!$G:$G,$Y59)&lt;&gt;"",INDEX('Flight Rates'!$G:$G,$Y59),IF($Z59="NO TARIFF LOADED","No tariff","No rate"))))</f>
        <v/>
      </c>
      <c r="D59" s="7" t="str">
        <f>IF($X59="","",INDEX('Raw Data'!$F:$F,$X59))</f>
        <v/>
      </c>
      <c r="E59" s="10" t="str">
        <f>IF($Y59="","",IF(INDEX('Flight Rates'!$K:$K,$Y59)="","",INDEX('Flight Rates'!$K:$K,$Y59)+N($T59)+N($U59)))</f>
        <v/>
      </c>
      <c r="F59" s="10" t="str">
        <f>IF($Y59="","",IF(INDEX('Flight Rates'!$L:$L,$Y59)="","",INDEX('Flight Rates'!$L:$L,$Y59)+N($T59)+N($U59)))</f>
        <v/>
      </c>
      <c r="T59" t="str">
        <f>IF($Y59="","",N(INDEX('Flight Rates'!$S:$S,$Y59)))</f>
        <v/>
      </c>
      <c r="U59" t="str">
        <f>IF(OR($Y59="",$C59="No tariff",$C59="No rate"),"",IFERROR(N(INDEX('Add-on Rates'!$C:$C,MATCH($A59,'Add-on Rates'!$A:$A,0))),0))</f>
        <v/>
      </c>
      <c r="X59" t="str">
        <f>IFERROR(SMALL('Raw Data'!$O$2:$O$1680,48),"")</f>
        <v/>
      </c>
      <c r="Y59" t="str">
        <f>IF($X59="","",IFERROR(MATCH($B$3&amp;"|"&amp;$G$3&amp;"|"&amp;$B59&amp;"|"&amp;$D59,'Flight Rates'!$A:$A,0),""))</f>
        <v/>
      </c>
      <c r="Z59" t="str">
        <f>IF($Y59="","",INDEX('Flight Rates'!$P:$P,$Y59))</f>
        <v/>
      </c>
    </row>
    <row r="60" spans="1:26" x14ac:dyDescent="0.25">
      <c r="A60" s="6" t="str">
        <f>IF($X60="","",INDEX('Raw Data'!$D:$D,$X60))</f>
        <v/>
      </c>
      <c r="B60" s="6" t="str">
        <f>IF($X60="","",INDEX('Raw Data'!$E:$E,$X60))</f>
        <v/>
      </c>
      <c r="C60" s="9" t="str">
        <f>IF($X60="","",IF($Y60="","Not linked",IF(INDEX('Flight Rates'!$G:$G,$Y60)&lt;&gt;"",INDEX('Flight Rates'!$G:$G,$Y60),IF($Z60="NO TARIFF LOADED","No tariff","No rate"))))</f>
        <v/>
      </c>
      <c r="D60" s="7" t="str">
        <f>IF($X60="","",INDEX('Raw Data'!$F:$F,$X60))</f>
        <v/>
      </c>
      <c r="E60" s="10" t="str">
        <f>IF($Y60="","",IF(INDEX('Flight Rates'!$K:$K,$Y60)="","",INDEX('Flight Rates'!$K:$K,$Y60)+N($T60)+N($U60)))</f>
        <v/>
      </c>
      <c r="F60" s="10" t="str">
        <f>IF($Y60="","",IF(INDEX('Flight Rates'!$L:$L,$Y60)="","",INDEX('Flight Rates'!$L:$L,$Y60)+N($T60)+N($U60)))</f>
        <v/>
      </c>
      <c r="T60" t="str">
        <f>IF($Y60="","",N(INDEX('Flight Rates'!$S:$S,$Y60)))</f>
        <v/>
      </c>
      <c r="U60" t="str">
        <f>IF(OR($Y60="",$C60="No tariff",$C60="No rate"),"",IFERROR(N(INDEX('Add-on Rates'!$C:$C,MATCH($A60,'Add-on Rates'!$A:$A,0))),0))</f>
        <v/>
      </c>
      <c r="X60" t="str">
        <f>IFERROR(SMALL('Raw Data'!$O$2:$O$1680,49),"")</f>
        <v/>
      </c>
      <c r="Y60" t="str">
        <f>IF($X60="","",IFERROR(MATCH($B$3&amp;"|"&amp;$G$3&amp;"|"&amp;$B60&amp;"|"&amp;$D60,'Flight Rates'!$A:$A,0),""))</f>
        <v/>
      </c>
      <c r="Z60" t="str">
        <f>IF($Y60="","",INDEX('Flight Rates'!$P:$P,$Y60))</f>
        <v/>
      </c>
    </row>
    <row r="61" spans="1:26" x14ac:dyDescent="0.25">
      <c r="A61" s="6" t="str">
        <f>IF($X61="","",INDEX('Raw Data'!$D:$D,$X61))</f>
        <v/>
      </c>
      <c r="B61" s="6" t="str">
        <f>IF($X61="","",INDEX('Raw Data'!$E:$E,$X61))</f>
        <v/>
      </c>
      <c r="C61" s="9" t="str">
        <f>IF($X61="","",IF($Y61="","Not linked",IF(INDEX('Flight Rates'!$G:$G,$Y61)&lt;&gt;"",INDEX('Flight Rates'!$G:$G,$Y61),IF($Z61="NO TARIFF LOADED","No tariff","No rate"))))</f>
        <v/>
      </c>
      <c r="D61" s="7" t="str">
        <f>IF($X61="","",INDEX('Raw Data'!$F:$F,$X61))</f>
        <v/>
      </c>
      <c r="E61" s="10" t="str">
        <f>IF($Y61="","",IF(INDEX('Flight Rates'!$K:$K,$Y61)="","",INDEX('Flight Rates'!$K:$K,$Y61)+N($T61)+N($U61)))</f>
        <v/>
      </c>
      <c r="F61" s="10" t="str">
        <f>IF($Y61="","",IF(INDEX('Flight Rates'!$L:$L,$Y61)="","",INDEX('Flight Rates'!$L:$L,$Y61)+N($T61)+N($U61)))</f>
        <v/>
      </c>
      <c r="T61" t="str">
        <f>IF($Y61="","",N(INDEX('Flight Rates'!$S:$S,$Y61)))</f>
        <v/>
      </c>
      <c r="U61" t="str">
        <f>IF(OR($Y61="",$C61="No tariff",$C61="No rate"),"",IFERROR(N(INDEX('Add-on Rates'!$C:$C,MATCH($A61,'Add-on Rates'!$A:$A,0))),0))</f>
        <v/>
      </c>
      <c r="X61" t="str">
        <f>IFERROR(SMALL('Raw Data'!$O$2:$O$1680,50),"")</f>
        <v/>
      </c>
      <c r="Y61" t="str">
        <f>IF($X61="","",IFERROR(MATCH($B$3&amp;"|"&amp;$G$3&amp;"|"&amp;$B61&amp;"|"&amp;$D61,'Flight Rates'!$A:$A,0),""))</f>
        <v/>
      </c>
      <c r="Z61" t="str">
        <f>IF($Y61="","",INDEX('Flight Rates'!$P:$P,$Y61))</f>
        <v/>
      </c>
    </row>
    <row r="62" spans="1:26" x14ac:dyDescent="0.25">
      <c r="A62" s="6" t="str">
        <f>IF($X62="","",INDEX('Raw Data'!$D:$D,$X62))</f>
        <v/>
      </c>
      <c r="B62" s="6" t="str">
        <f>IF($X62="","",INDEX('Raw Data'!$E:$E,$X62))</f>
        <v/>
      </c>
      <c r="C62" s="9" t="str">
        <f>IF($X62="","",IF($Y62="","Not linked",IF(INDEX('Flight Rates'!$G:$G,$Y62)&lt;&gt;"",INDEX('Flight Rates'!$G:$G,$Y62),IF($Z62="NO TARIFF LOADED","No tariff","No rate"))))</f>
        <v/>
      </c>
      <c r="D62" s="7" t="str">
        <f>IF($X62="","",INDEX('Raw Data'!$F:$F,$X62))</f>
        <v/>
      </c>
      <c r="E62" s="10" t="str">
        <f>IF($Y62="","",IF(INDEX('Flight Rates'!$K:$K,$Y62)="","",INDEX('Flight Rates'!$K:$K,$Y62)+N($T62)+N($U62)))</f>
        <v/>
      </c>
      <c r="F62" s="10" t="str">
        <f>IF($Y62="","",IF(INDEX('Flight Rates'!$L:$L,$Y62)="","",INDEX('Flight Rates'!$L:$L,$Y62)+N($T62)+N($U62)))</f>
        <v/>
      </c>
      <c r="T62" t="str">
        <f>IF($Y62="","",N(INDEX('Flight Rates'!$S:$S,$Y62)))</f>
        <v/>
      </c>
      <c r="U62" t="str">
        <f>IF(OR($Y62="",$C62="No tariff",$C62="No rate"),"",IFERROR(N(INDEX('Add-on Rates'!$C:$C,MATCH($A62,'Add-on Rates'!$A:$A,0))),0))</f>
        <v/>
      </c>
      <c r="X62" t="str">
        <f>IFERROR(SMALL('Raw Data'!$O$2:$O$1680,51),"")</f>
        <v/>
      </c>
      <c r="Y62" t="str">
        <f>IF($X62="","",IFERROR(MATCH($B$3&amp;"|"&amp;$G$3&amp;"|"&amp;$B62&amp;"|"&amp;$D62,'Flight Rates'!$A:$A,0),""))</f>
        <v/>
      </c>
      <c r="Z62" t="str">
        <f>IF($Y62="","",INDEX('Flight Rates'!$P:$P,$Y62))</f>
        <v/>
      </c>
    </row>
    <row r="63" spans="1:26" x14ac:dyDescent="0.25">
      <c r="A63" s="6" t="str">
        <f>IF($X63="","",INDEX('Raw Data'!$D:$D,$X63))</f>
        <v/>
      </c>
      <c r="B63" s="6" t="str">
        <f>IF($X63="","",INDEX('Raw Data'!$E:$E,$X63))</f>
        <v/>
      </c>
      <c r="C63" s="9" t="str">
        <f>IF($X63="","",IF($Y63="","Not linked",IF(INDEX('Flight Rates'!$G:$G,$Y63)&lt;&gt;"",INDEX('Flight Rates'!$G:$G,$Y63),IF($Z63="NO TARIFF LOADED","No tariff","No rate"))))</f>
        <v/>
      </c>
      <c r="D63" s="7" t="str">
        <f>IF($X63="","",INDEX('Raw Data'!$F:$F,$X63))</f>
        <v/>
      </c>
      <c r="E63" s="10" t="str">
        <f>IF($Y63="","",IF(INDEX('Flight Rates'!$K:$K,$Y63)="","",INDEX('Flight Rates'!$K:$K,$Y63)+N($T63)+N($U63)))</f>
        <v/>
      </c>
      <c r="F63" s="10" t="str">
        <f>IF($Y63="","",IF(INDEX('Flight Rates'!$L:$L,$Y63)="","",INDEX('Flight Rates'!$L:$L,$Y63)+N($T63)+N($U63)))</f>
        <v/>
      </c>
      <c r="T63" t="str">
        <f>IF($Y63="","",N(INDEX('Flight Rates'!$S:$S,$Y63)))</f>
        <v/>
      </c>
      <c r="U63" t="str">
        <f>IF(OR($Y63="",$C63="No tariff",$C63="No rate"),"",IFERROR(N(INDEX('Add-on Rates'!$C:$C,MATCH($A63,'Add-on Rates'!$A:$A,0))),0))</f>
        <v/>
      </c>
      <c r="X63" t="str">
        <f>IFERROR(SMALL('Raw Data'!$O$2:$O$1680,52),"")</f>
        <v/>
      </c>
      <c r="Y63" t="str">
        <f>IF($X63="","",IFERROR(MATCH($B$3&amp;"|"&amp;$G$3&amp;"|"&amp;$B63&amp;"|"&amp;$D63,'Flight Rates'!$A:$A,0),""))</f>
        <v/>
      </c>
      <c r="Z63" t="str">
        <f>IF($Y63="","",INDEX('Flight Rates'!$P:$P,$Y63))</f>
        <v/>
      </c>
    </row>
    <row r="64" spans="1:26" x14ac:dyDescent="0.25">
      <c r="A64" s="6" t="str">
        <f>IF($X64="","",INDEX('Raw Data'!$D:$D,$X64))</f>
        <v/>
      </c>
      <c r="B64" s="6" t="str">
        <f>IF($X64="","",INDEX('Raw Data'!$E:$E,$X64))</f>
        <v/>
      </c>
      <c r="C64" s="9" t="str">
        <f>IF($X64="","",IF($Y64="","Not linked",IF(INDEX('Flight Rates'!$G:$G,$Y64)&lt;&gt;"",INDEX('Flight Rates'!$G:$G,$Y64),IF($Z64="NO TARIFF LOADED","No tariff","No rate"))))</f>
        <v/>
      </c>
      <c r="D64" s="7" t="str">
        <f>IF($X64="","",INDEX('Raw Data'!$F:$F,$X64))</f>
        <v/>
      </c>
      <c r="E64" s="10" t="str">
        <f>IF($Y64="","",IF(INDEX('Flight Rates'!$K:$K,$Y64)="","",INDEX('Flight Rates'!$K:$K,$Y64)+N($T64)+N($U64)))</f>
        <v/>
      </c>
      <c r="F64" s="10" t="str">
        <f>IF($Y64="","",IF(INDEX('Flight Rates'!$L:$L,$Y64)="","",INDEX('Flight Rates'!$L:$L,$Y64)+N($T64)+N($U64)))</f>
        <v/>
      </c>
      <c r="T64" t="str">
        <f>IF($Y64="","",N(INDEX('Flight Rates'!$S:$S,$Y64)))</f>
        <v/>
      </c>
      <c r="U64" t="str">
        <f>IF(OR($Y64="",$C64="No tariff",$C64="No rate"),"",IFERROR(N(INDEX('Add-on Rates'!$C:$C,MATCH($A64,'Add-on Rates'!$A:$A,0))),0))</f>
        <v/>
      </c>
      <c r="X64" t="str">
        <f>IFERROR(SMALL('Raw Data'!$O$2:$O$1680,53),"")</f>
        <v/>
      </c>
      <c r="Y64" t="str">
        <f>IF($X64="","",IFERROR(MATCH($B$3&amp;"|"&amp;$G$3&amp;"|"&amp;$B64&amp;"|"&amp;$D64,'Flight Rates'!$A:$A,0),""))</f>
        <v/>
      </c>
      <c r="Z64" t="str">
        <f>IF($Y64="","",INDEX('Flight Rates'!$P:$P,$Y64))</f>
        <v/>
      </c>
    </row>
    <row r="65" spans="1:26" x14ac:dyDescent="0.25">
      <c r="A65" s="6" t="str">
        <f>IF($X65="","",INDEX('Raw Data'!$D:$D,$X65))</f>
        <v/>
      </c>
      <c r="B65" s="6" t="str">
        <f>IF($X65="","",INDEX('Raw Data'!$E:$E,$X65))</f>
        <v/>
      </c>
      <c r="C65" s="9" t="str">
        <f>IF($X65="","",IF($Y65="","Not linked",IF(INDEX('Flight Rates'!$G:$G,$Y65)&lt;&gt;"",INDEX('Flight Rates'!$G:$G,$Y65),IF($Z65="NO TARIFF LOADED","No tariff","No rate"))))</f>
        <v/>
      </c>
      <c r="D65" s="7" t="str">
        <f>IF($X65="","",INDEX('Raw Data'!$F:$F,$X65))</f>
        <v/>
      </c>
      <c r="E65" s="10" t="str">
        <f>IF($Y65="","",IF(INDEX('Flight Rates'!$K:$K,$Y65)="","",INDEX('Flight Rates'!$K:$K,$Y65)+N($T65)+N($U65)))</f>
        <v/>
      </c>
      <c r="F65" s="10" t="str">
        <f>IF($Y65="","",IF(INDEX('Flight Rates'!$L:$L,$Y65)="","",INDEX('Flight Rates'!$L:$L,$Y65)+N($T65)+N($U65)))</f>
        <v/>
      </c>
      <c r="T65" t="str">
        <f>IF($Y65="","",N(INDEX('Flight Rates'!$S:$S,$Y65)))</f>
        <v/>
      </c>
      <c r="U65" t="str">
        <f>IF(OR($Y65="",$C65="No tariff",$C65="No rate"),"",IFERROR(N(INDEX('Add-on Rates'!$C:$C,MATCH($A65,'Add-on Rates'!$A:$A,0))),0))</f>
        <v/>
      </c>
      <c r="X65" t="str">
        <f>IFERROR(SMALL('Raw Data'!$O$2:$O$1680,54),"")</f>
        <v/>
      </c>
      <c r="Y65" t="str">
        <f>IF($X65="","",IFERROR(MATCH($B$3&amp;"|"&amp;$G$3&amp;"|"&amp;$B65&amp;"|"&amp;$D65,'Flight Rates'!$A:$A,0),""))</f>
        <v/>
      </c>
      <c r="Z65" t="str">
        <f>IF($Y65="","",INDEX('Flight Rates'!$P:$P,$Y65))</f>
        <v/>
      </c>
    </row>
    <row r="66" spans="1:26" x14ac:dyDescent="0.25">
      <c r="A66" s="6" t="str">
        <f>IF($X66="","",INDEX('Raw Data'!$D:$D,$X66))</f>
        <v/>
      </c>
      <c r="B66" s="6" t="str">
        <f>IF($X66="","",INDEX('Raw Data'!$E:$E,$X66))</f>
        <v/>
      </c>
      <c r="C66" s="9" t="str">
        <f>IF($X66="","",IF($Y66="","Not linked",IF(INDEX('Flight Rates'!$G:$G,$Y66)&lt;&gt;"",INDEX('Flight Rates'!$G:$G,$Y66),IF($Z66="NO TARIFF LOADED","No tariff","No rate"))))</f>
        <v/>
      </c>
      <c r="D66" s="7" t="str">
        <f>IF($X66="","",INDEX('Raw Data'!$F:$F,$X66))</f>
        <v/>
      </c>
      <c r="E66" s="10" t="str">
        <f>IF($Y66="","",IF(INDEX('Flight Rates'!$K:$K,$Y66)="","",INDEX('Flight Rates'!$K:$K,$Y66)+N($T66)+N($U66)))</f>
        <v/>
      </c>
      <c r="F66" s="10" t="str">
        <f>IF($Y66="","",IF(INDEX('Flight Rates'!$L:$L,$Y66)="","",INDEX('Flight Rates'!$L:$L,$Y66)+N($T66)+N($U66)))</f>
        <v/>
      </c>
      <c r="T66" t="str">
        <f>IF($Y66="","",N(INDEX('Flight Rates'!$S:$S,$Y66)))</f>
        <v/>
      </c>
      <c r="U66" t="str">
        <f>IF(OR($Y66="",$C66="No tariff",$C66="No rate"),"",IFERROR(N(INDEX('Add-on Rates'!$C:$C,MATCH($A66,'Add-on Rates'!$A:$A,0))),0))</f>
        <v/>
      </c>
      <c r="X66" t="str">
        <f>IFERROR(SMALL('Raw Data'!$O$2:$O$1680,55),"")</f>
        <v/>
      </c>
      <c r="Y66" t="str">
        <f>IF($X66="","",IFERROR(MATCH($B$3&amp;"|"&amp;$G$3&amp;"|"&amp;$B66&amp;"|"&amp;$D66,'Flight Rates'!$A:$A,0),""))</f>
        <v/>
      </c>
      <c r="Z66" t="str">
        <f>IF($Y66="","",INDEX('Flight Rates'!$P:$P,$Y66))</f>
        <v/>
      </c>
    </row>
    <row r="67" spans="1:26" x14ac:dyDescent="0.25">
      <c r="A67" s="6" t="str">
        <f>IF($X67="","",INDEX('Raw Data'!$D:$D,$X67))</f>
        <v/>
      </c>
      <c r="B67" s="6" t="str">
        <f>IF($X67="","",INDEX('Raw Data'!$E:$E,$X67))</f>
        <v/>
      </c>
      <c r="C67" s="9" t="str">
        <f>IF($X67="","",IF($Y67="","Not linked",IF(INDEX('Flight Rates'!$G:$G,$Y67)&lt;&gt;"",INDEX('Flight Rates'!$G:$G,$Y67),IF($Z67="NO TARIFF LOADED","No tariff","No rate"))))</f>
        <v/>
      </c>
      <c r="D67" s="7" t="str">
        <f>IF($X67="","",INDEX('Raw Data'!$F:$F,$X67))</f>
        <v/>
      </c>
      <c r="E67" s="10" t="str">
        <f>IF($Y67="","",IF(INDEX('Flight Rates'!$K:$K,$Y67)="","",INDEX('Flight Rates'!$K:$K,$Y67)+N($T67)+N($U67)))</f>
        <v/>
      </c>
      <c r="F67" s="10" t="str">
        <f>IF($Y67="","",IF(INDEX('Flight Rates'!$L:$L,$Y67)="","",INDEX('Flight Rates'!$L:$L,$Y67)+N($T67)+N($U67)))</f>
        <v/>
      </c>
      <c r="T67" t="str">
        <f>IF($Y67="","",N(INDEX('Flight Rates'!$S:$S,$Y67)))</f>
        <v/>
      </c>
      <c r="U67" t="str">
        <f>IF(OR($Y67="",$C67="No tariff",$C67="No rate"),"",IFERROR(N(INDEX('Add-on Rates'!$C:$C,MATCH($A67,'Add-on Rates'!$A:$A,0))),0))</f>
        <v/>
      </c>
      <c r="X67" t="str">
        <f>IFERROR(SMALL('Raw Data'!$O$2:$O$1680,56),"")</f>
        <v/>
      </c>
      <c r="Y67" t="str">
        <f>IF($X67="","",IFERROR(MATCH($B$3&amp;"|"&amp;$G$3&amp;"|"&amp;$B67&amp;"|"&amp;$D67,'Flight Rates'!$A:$A,0),""))</f>
        <v/>
      </c>
      <c r="Z67" t="str">
        <f>IF($Y67="","",INDEX('Flight Rates'!$P:$P,$Y67))</f>
        <v/>
      </c>
    </row>
    <row r="68" spans="1:26" x14ac:dyDescent="0.25">
      <c r="A68" s="6" t="str">
        <f>IF($X68="","",INDEX('Raw Data'!$D:$D,$X68))</f>
        <v/>
      </c>
      <c r="B68" s="6" t="str">
        <f>IF($X68="","",INDEX('Raw Data'!$E:$E,$X68))</f>
        <v/>
      </c>
      <c r="C68" s="9" t="str">
        <f>IF($X68="","",IF($Y68="","Not linked",IF(INDEX('Flight Rates'!$G:$G,$Y68)&lt;&gt;"",INDEX('Flight Rates'!$G:$G,$Y68),IF($Z68="NO TARIFF LOADED","No tariff","No rate"))))</f>
        <v/>
      </c>
      <c r="D68" s="7" t="str">
        <f>IF($X68="","",INDEX('Raw Data'!$F:$F,$X68))</f>
        <v/>
      </c>
      <c r="E68" s="10" t="str">
        <f>IF($Y68="","",IF(INDEX('Flight Rates'!$K:$K,$Y68)="","",INDEX('Flight Rates'!$K:$K,$Y68)+N($T68)+N($U68)))</f>
        <v/>
      </c>
      <c r="F68" s="10" t="str">
        <f>IF($Y68="","",IF(INDEX('Flight Rates'!$L:$L,$Y68)="","",INDEX('Flight Rates'!$L:$L,$Y68)+N($T68)+N($U68)))</f>
        <v/>
      </c>
      <c r="T68" t="str">
        <f>IF($Y68="","",N(INDEX('Flight Rates'!$S:$S,$Y68)))</f>
        <v/>
      </c>
      <c r="U68" t="str">
        <f>IF(OR($Y68="",$C68="No tariff",$C68="No rate"),"",IFERROR(N(INDEX('Add-on Rates'!$C:$C,MATCH($A68,'Add-on Rates'!$A:$A,0))),0))</f>
        <v/>
      </c>
      <c r="X68" t="str">
        <f>IFERROR(SMALL('Raw Data'!$O$2:$O$1680,57),"")</f>
        <v/>
      </c>
      <c r="Y68" t="str">
        <f>IF($X68="","",IFERROR(MATCH($B$3&amp;"|"&amp;$G$3&amp;"|"&amp;$B68&amp;"|"&amp;$D68,'Flight Rates'!$A:$A,0),""))</f>
        <v/>
      </c>
      <c r="Z68" t="str">
        <f>IF($Y68="","",INDEX('Flight Rates'!$P:$P,$Y68))</f>
        <v/>
      </c>
    </row>
    <row r="69" spans="1:26" x14ac:dyDescent="0.25">
      <c r="A69" s="6" t="str">
        <f>IF($X69="","",INDEX('Raw Data'!$D:$D,$X69))</f>
        <v/>
      </c>
      <c r="B69" s="6" t="str">
        <f>IF($X69="","",INDEX('Raw Data'!$E:$E,$X69))</f>
        <v/>
      </c>
      <c r="C69" s="9" t="str">
        <f>IF($X69="","",IF($Y69="","Not linked",IF(INDEX('Flight Rates'!$G:$G,$Y69)&lt;&gt;"",INDEX('Flight Rates'!$G:$G,$Y69),IF($Z69="NO TARIFF LOADED","No tariff","No rate"))))</f>
        <v/>
      </c>
      <c r="D69" s="7" t="str">
        <f>IF($X69="","",INDEX('Raw Data'!$F:$F,$X69))</f>
        <v/>
      </c>
      <c r="E69" s="10" t="str">
        <f>IF($Y69="","",IF(INDEX('Flight Rates'!$K:$K,$Y69)="","",INDEX('Flight Rates'!$K:$K,$Y69)+N($T69)+N($U69)))</f>
        <v/>
      </c>
      <c r="F69" s="10" t="str">
        <f>IF($Y69="","",IF(INDEX('Flight Rates'!$L:$L,$Y69)="","",INDEX('Flight Rates'!$L:$L,$Y69)+N($T69)+N($U69)))</f>
        <v/>
      </c>
      <c r="T69" t="str">
        <f>IF($Y69="","",N(INDEX('Flight Rates'!$S:$S,$Y69)))</f>
        <v/>
      </c>
      <c r="U69" t="str">
        <f>IF(OR($Y69="",$C69="No tariff",$C69="No rate"),"",IFERROR(N(INDEX('Add-on Rates'!$C:$C,MATCH($A69,'Add-on Rates'!$A:$A,0))),0))</f>
        <v/>
      </c>
      <c r="X69" t="str">
        <f>IFERROR(SMALL('Raw Data'!$O$2:$O$1680,58),"")</f>
        <v/>
      </c>
      <c r="Y69" t="str">
        <f>IF($X69="","",IFERROR(MATCH($B$3&amp;"|"&amp;$G$3&amp;"|"&amp;$B69&amp;"|"&amp;$D69,'Flight Rates'!$A:$A,0),""))</f>
        <v/>
      </c>
      <c r="Z69" t="str">
        <f>IF($Y69="","",INDEX('Flight Rates'!$P:$P,$Y69))</f>
        <v/>
      </c>
    </row>
    <row r="70" spans="1:26" x14ac:dyDescent="0.25">
      <c r="A70" s="6" t="str">
        <f>IF($X70="","",INDEX('Raw Data'!$D:$D,$X70))</f>
        <v/>
      </c>
      <c r="B70" s="6" t="str">
        <f>IF($X70="","",INDEX('Raw Data'!$E:$E,$X70))</f>
        <v/>
      </c>
      <c r="C70" s="9" t="str">
        <f>IF($X70="","",IF($Y70="","Not linked",IF(INDEX('Flight Rates'!$G:$G,$Y70)&lt;&gt;"",INDEX('Flight Rates'!$G:$G,$Y70),IF($Z70="NO TARIFF LOADED","No tariff","No rate"))))</f>
        <v/>
      </c>
      <c r="D70" s="7" t="str">
        <f>IF($X70="","",INDEX('Raw Data'!$F:$F,$X70))</f>
        <v/>
      </c>
      <c r="E70" s="10" t="str">
        <f>IF($Y70="","",IF(INDEX('Flight Rates'!$K:$K,$Y70)="","",INDEX('Flight Rates'!$K:$K,$Y70)+N($T70)+N($U70)))</f>
        <v/>
      </c>
      <c r="F70" s="10" t="str">
        <f>IF($Y70="","",IF(INDEX('Flight Rates'!$L:$L,$Y70)="","",INDEX('Flight Rates'!$L:$L,$Y70)+N($T70)+N($U70)))</f>
        <v/>
      </c>
      <c r="T70" t="str">
        <f>IF($Y70="","",N(INDEX('Flight Rates'!$S:$S,$Y70)))</f>
        <v/>
      </c>
      <c r="U70" t="str">
        <f>IF(OR($Y70="",$C70="No tariff",$C70="No rate"),"",IFERROR(N(INDEX('Add-on Rates'!$C:$C,MATCH($A70,'Add-on Rates'!$A:$A,0))),0))</f>
        <v/>
      </c>
      <c r="X70" t="str">
        <f>IFERROR(SMALL('Raw Data'!$O$2:$O$1680,59),"")</f>
        <v/>
      </c>
      <c r="Y70" t="str">
        <f>IF($X70="","",IFERROR(MATCH($B$3&amp;"|"&amp;$G$3&amp;"|"&amp;$B70&amp;"|"&amp;$D70,'Flight Rates'!$A:$A,0),""))</f>
        <v/>
      </c>
      <c r="Z70" t="str">
        <f>IF($Y70="","",INDEX('Flight Rates'!$P:$P,$Y70))</f>
        <v/>
      </c>
    </row>
    <row r="71" spans="1:26" x14ac:dyDescent="0.25">
      <c r="A71" s="6" t="str">
        <f>IF($X71="","",INDEX('Raw Data'!$D:$D,$X71))</f>
        <v/>
      </c>
      <c r="B71" s="6" t="str">
        <f>IF($X71="","",INDEX('Raw Data'!$E:$E,$X71))</f>
        <v/>
      </c>
      <c r="C71" s="9" t="str">
        <f>IF($X71="","",IF($Y71="","Not linked",IF(INDEX('Flight Rates'!$G:$G,$Y71)&lt;&gt;"",INDEX('Flight Rates'!$G:$G,$Y71),IF($Z71="NO TARIFF LOADED","No tariff","No rate"))))</f>
        <v/>
      </c>
      <c r="D71" s="7" t="str">
        <f>IF($X71="","",INDEX('Raw Data'!$F:$F,$X71))</f>
        <v/>
      </c>
      <c r="E71" s="10" t="str">
        <f>IF($Y71="","",IF(INDEX('Flight Rates'!$K:$K,$Y71)="","",INDEX('Flight Rates'!$K:$K,$Y71)+N($T71)+N($U71)))</f>
        <v/>
      </c>
      <c r="F71" s="10" t="str">
        <f>IF($Y71="","",IF(INDEX('Flight Rates'!$L:$L,$Y71)="","",INDEX('Flight Rates'!$L:$L,$Y71)+N($T71)+N($U71)))</f>
        <v/>
      </c>
      <c r="T71" t="str">
        <f>IF($Y71="","",N(INDEX('Flight Rates'!$S:$S,$Y71)))</f>
        <v/>
      </c>
      <c r="U71" t="str">
        <f>IF(OR($Y71="",$C71="No tariff",$C71="No rate"),"",IFERROR(N(INDEX('Add-on Rates'!$C:$C,MATCH($A71,'Add-on Rates'!$A:$A,0))),0))</f>
        <v/>
      </c>
      <c r="X71" t="str">
        <f>IFERROR(SMALL('Raw Data'!$O$2:$O$1680,60),"")</f>
        <v/>
      </c>
      <c r="Y71" t="str">
        <f>IF($X71="","",IFERROR(MATCH($B$3&amp;"|"&amp;$G$3&amp;"|"&amp;$B71&amp;"|"&amp;$D71,'Flight Rates'!$A:$A,0),""))</f>
        <v/>
      </c>
      <c r="Z71" t="str">
        <f>IF($Y71="","",INDEX('Flight Rates'!$P:$P,$Y71))</f>
        <v/>
      </c>
    </row>
    <row r="72" spans="1:26" x14ac:dyDescent="0.25">
      <c r="A72" s="6" t="str">
        <f>IF($X72="","",INDEX('Raw Data'!$D:$D,$X72))</f>
        <v/>
      </c>
      <c r="B72" s="6" t="str">
        <f>IF($X72="","",INDEX('Raw Data'!$E:$E,$X72))</f>
        <v/>
      </c>
      <c r="C72" s="9" t="str">
        <f>IF($X72="","",IF($Y72="","Not linked",IF(INDEX('Flight Rates'!$G:$G,$Y72)&lt;&gt;"",INDEX('Flight Rates'!$G:$G,$Y72),IF($Z72="NO TARIFF LOADED","No tariff","No rate"))))</f>
        <v/>
      </c>
      <c r="D72" s="7" t="str">
        <f>IF($X72="","",INDEX('Raw Data'!$F:$F,$X72))</f>
        <v/>
      </c>
      <c r="E72" s="10" t="str">
        <f>IF($Y72="","",IF(INDEX('Flight Rates'!$K:$K,$Y72)="","",INDEX('Flight Rates'!$K:$K,$Y72)+N($T72)+N($U72)))</f>
        <v/>
      </c>
      <c r="F72" s="10" t="str">
        <f>IF($Y72="","",IF(INDEX('Flight Rates'!$L:$L,$Y72)="","",INDEX('Flight Rates'!$L:$L,$Y72)+N($T72)+N($U72)))</f>
        <v/>
      </c>
      <c r="T72" t="str">
        <f>IF($Y72="","",N(INDEX('Flight Rates'!$S:$S,$Y72)))</f>
        <v/>
      </c>
      <c r="U72" t="str">
        <f>IF(OR($Y72="",$C72="No tariff",$C72="No rate"),"",IFERROR(N(INDEX('Add-on Rates'!$C:$C,MATCH($A72,'Add-on Rates'!$A:$A,0))),0))</f>
        <v/>
      </c>
      <c r="X72" t="str">
        <f>IFERROR(SMALL('Raw Data'!$O$2:$O$1680,61),"")</f>
        <v/>
      </c>
      <c r="Y72" t="str">
        <f>IF($X72="","",IFERROR(MATCH($B$3&amp;"|"&amp;$G$3&amp;"|"&amp;$B72&amp;"|"&amp;$D72,'Flight Rates'!$A:$A,0),""))</f>
        <v/>
      </c>
      <c r="Z72" t="str">
        <f>IF($Y72="","",INDEX('Flight Rates'!$P:$P,$Y72))</f>
        <v/>
      </c>
    </row>
    <row r="73" spans="1:26" x14ac:dyDescent="0.25">
      <c r="A73" s="6" t="str">
        <f>IF($X73="","",INDEX('Raw Data'!$D:$D,$X73))</f>
        <v/>
      </c>
      <c r="B73" s="6" t="str">
        <f>IF($X73="","",INDEX('Raw Data'!$E:$E,$X73))</f>
        <v/>
      </c>
      <c r="C73" s="9" t="str">
        <f>IF($X73="","",IF($Y73="","Not linked",IF(INDEX('Flight Rates'!$G:$G,$Y73)&lt;&gt;"",INDEX('Flight Rates'!$G:$G,$Y73),IF($Z73="NO TARIFF LOADED","No tariff","No rate"))))</f>
        <v/>
      </c>
      <c r="D73" s="7" t="str">
        <f>IF($X73="","",INDEX('Raw Data'!$F:$F,$X73))</f>
        <v/>
      </c>
      <c r="E73" s="10" t="str">
        <f>IF($Y73="","",IF(INDEX('Flight Rates'!$K:$K,$Y73)="","",INDEX('Flight Rates'!$K:$K,$Y73)+N($T73)+N($U73)))</f>
        <v/>
      </c>
      <c r="F73" s="10" t="str">
        <f>IF($Y73="","",IF(INDEX('Flight Rates'!$L:$L,$Y73)="","",INDEX('Flight Rates'!$L:$L,$Y73)+N($T73)+N($U73)))</f>
        <v/>
      </c>
      <c r="T73" t="str">
        <f>IF($Y73="","",N(INDEX('Flight Rates'!$S:$S,$Y73)))</f>
        <v/>
      </c>
      <c r="U73" t="str">
        <f>IF(OR($Y73="",$C73="No tariff",$C73="No rate"),"",IFERROR(N(INDEX('Add-on Rates'!$C:$C,MATCH($A73,'Add-on Rates'!$A:$A,0))),0))</f>
        <v/>
      </c>
      <c r="X73" t="str">
        <f>IFERROR(SMALL('Raw Data'!$O$2:$O$1680,62),"")</f>
        <v/>
      </c>
      <c r="Y73" t="str">
        <f>IF($X73="","",IFERROR(MATCH($B$3&amp;"|"&amp;$G$3&amp;"|"&amp;$B73&amp;"|"&amp;$D73,'Flight Rates'!$A:$A,0),""))</f>
        <v/>
      </c>
      <c r="Z73" t="str">
        <f>IF($Y73="","",INDEX('Flight Rates'!$P:$P,$Y73))</f>
        <v/>
      </c>
    </row>
    <row r="74" spans="1:26" x14ac:dyDescent="0.25">
      <c r="A74" s="6" t="str">
        <f>IF($X74="","",INDEX('Raw Data'!$D:$D,$X74))</f>
        <v/>
      </c>
      <c r="B74" s="6" t="str">
        <f>IF($X74="","",INDEX('Raw Data'!$E:$E,$X74))</f>
        <v/>
      </c>
      <c r="C74" s="9" t="str">
        <f>IF($X74="","",IF($Y74="","Not linked",IF(INDEX('Flight Rates'!$G:$G,$Y74)&lt;&gt;"",INDEX('Flight Rates'!$G:$G,$Y74),IF($Z74="NO TARIFF LOADED","No tariff","No rate"))))</f>
        <v/>
      </c>
      <c r="D74" s="7" t="str">
        <f>IF($X74="","",INDEX('Raw Data'!$F:$F,$X74))</f>
        <v/>
      </c>
      <c r="E74" s="10" t="str">
        <f>IF($Y74="","",IF(INDEX('Flight Rates'!$K:$K,$Y74)="","",INDEX('Flight Rates'!$K:$K,$Y74)+N($T74)+N($U74)))</f>
        <v/>
      </c>
      <c r="F74" s="10" t="str">
        <f>IF($Y74="","",IF(INDEX('Flight Rates'!$L:$L,$Y74)="","",INDEX('Flight Rates'!$L:$L,$Y74)+N($T74)+N($U74)))</f>
        <v/>
      </c>
      <c r="T74" t="str">
        <f>IF($Y74="","",N(INDEX('Flight Rates'!$S:$S,$Y74)))</f>
        <v/>
      </c>
      <c r="U74" t="str">
        <f>IF(OR($Y74="",$C74="No tariff",$C74="No rate"),"",IFERROR(N(INDEX('Add-on Rates'!$C:$C,MATCH($A74,'Add-on Rates'!$A:$A,0))),0))</f>
        <v/>
      </c>
      <c r="X74" t="str">
        <f>IFERROR(SMALL('Raw Data'!$O$2:$O$1680,63),"")</f>
        <v/>
      </c>
      <c r="Y74" t="str">
        <f>IF($X74="","",IFERROR(MATCH($B$3&amp;"|"&amp;$G$3&amp;"|"&amp;$B74&amp;"|"&amp;$D74,'Flight Rates'!$A:$A,0),""))</f>
        <v/>
      </c>
      <c r="Z74" t="str">
        <f>IF($Y74="","",INDEX('Flight Rates'!$P:$P,$Y74))</f>
        <v/>
      </c>
    </row>
    <row r="75" spans="1:26" x14ac:dyDescent="0.25">
      <c r="A75" s="6" t="str">
        <f>IF($X75="","",INDEX('Raw Data'!$D:$D,$X75))</f>
        <v/>
      </c>
      <c r="B75" s="6" t="str">
        <f>IF($X75="","",INDEX('Raw Data'!$E:$E,$X75))</f>
        <v/>
      </c>
      <c r="C75" s="9" t="str">
        <f>IF($X75="","",IF($Y75="","Not linked",IF(INDEX('Flight Rates'!$G:$G,$Y75)&lt;&gt;"",INDEX('Flight Rates'!$G:$G,$Y75),IF($Z75="NO TARIFF LOADED","No tariff","No rate"))))</f>
        <v/>
      </c>
      <c r="D75" s="7" t="str">
        <f>IF($X75="","",INDEX('Raw Data'!$F:$F,$X75))</f>
        <v/>
      </c>
      <c r="E75" s="10" t="str">
        <f>IF($Y75="","",IF(INDEX('Flight Rates'!$K:$K,$Y75)="","",INDEX('Flight Rates'!$K:$K,$Y75)+N($T75)+N($U75)))</f>
        <v/>
      </c>
      <c r="F75" s="10" t="str">
        <f>IF($Y75="","",IF(INDEX('Flight Rates'!$L:$L,$Y75)="","",INDEX('Flight Rates'!$L:$L,$Y75)+N($T75)+N($U75)))</f>
        <v/>
      </c>
      <c r="T75" t="str">
        <f>IF($Y75="","",N(INDEX('Flight Rates'!$S:$S,$Y75)))</f>
        <v/>
      </c>
      <c r="U75" t="str">
        <f>IF(OR($Y75="",$C75="No tariff",$C75="No rate"),"",IFERROR(N(INDEX('Add-on Rates'!$C:$C,MATCH($A75,'Add-on Rates'!$A:$A,0))),0))</f>
        <v/>
      </c>
      <c r="X75" t="str">
        <f>IFERROR(SMALL('Raw Data'!$O$2:$O$1680,64),"")</f>
        <v/>
      </c>
      <c r="Y75" t="str">
        <f>IF($X75="","",IFERROR(MATCH($B$3&amp;"|"&amp;$G$3&amp;"|"&amp;$B75&amp;"|"&amp;$D75,'Flight Rates'!$A:$A,0),""))</f>
        <v/>
      </c>
      <c r="Z75" t="str">
        <f>IF($Y75="","",INDEX('Flight Rates'!$P:$P,$Y75))</f>
        <v/>
      </c>
    </row>
    <row r="76" spans="1:26" x14ac:dyDescent="0.25">
      <c r="A76" s="6" t="str">
        <f>IF($X76="","",INDEX('Raw Data'!$D:$D,$X76))</f>
        <v/>
      </c>
      <c r="B76" s="6" t="str">
        <f>IF($X76="","",INDEX('Raw Data'!$E:$E,$X76))</f>
        <v/>
      </c>
      <c r="C76" s="9" t="str">
        <f>IF($X76="","",IF($Y76="","Not linked",IF(INDEX('Flight Rates'!$G:$G,$Y76)&lt;&gt;"",INDEX('Flight Rates'!$G:$G,$Y76),IF($Z76="NO TARIFF LOADED","No tariff","No rate"))))</f>
        <v/>
      </c>
      <c r="D76" s="7" t="str">
        <f>IF($X76="","",INDEX('Raw Data'!$F:$F,$X76))</f>
        <v/>
      </c>
      <c r="E76" s="10" t="str">
        <f>IF($Y76="","",IF(INDEX('Flight Rates'!$K:$K,$Y76)="","",INDEX('Flight Rates'!$K:$K,$Y76)+N($T76)+N($U76)))</f>
        <v/>
      </c>
      <c r="F76" s="10" t="str">
        <f>IF($Y76="","",IF(INDEX('Flight Rates'!$L:$L,$Y76)="","",INDEX('Flight Rates'!$L:$L,$Y76)+N($T76)+N($U76)))</f>
        <v/>
      </c>
      <c r="T76" t="str">
        <f>IF($Y76="","",N(INDEX('Flight Rates'!$S:$S,$Y76)))</f>
        <v/>
      </c>
      <c r="U76" t="str">
        <f>IF(OR($Y76="",$C76="No tariff",$C76="No rate"),"",IFERROR(N(INDEX('Add-on Rates'!$C:$C,MATCH($A76,'Add-on Rates'!$A:$A,0))),0))</f>
        <v/>
      </c>
      <c r="X76" t="str">
        <f>IFERROR(SMALL('Raw Data'!$O$2:$O$1680,65),"")</f>
        <v/>
      </c>
      <c r="Y76" t="str">
        <f>IF($X76="","",IFERROR(MATCH($B$3&amp;"|"&amp;$G$3&amp;"|"&amp;$B76&amp;"|"&amp;$D76,'Flight Rates'!$A:$A,0),""))</f>
        <v/>
      </c>
      <c r="Z76" t="str">
        <f>IF($Y76="","",INDEX('Flight Rates'!$P:$P,$Y76))</f>
        <v/>
      </c>
    </row>
    <row r="77" spans="1:26" x14ac:dyDescent="0.25">
      <c r="A77" s="6" t="str">
        <f>IF($X77="","",INDEX('Raw Data'!$D:$D,$X77))</f>
        <v/>
      </c>
      <c r="B77" s="6" t="str">
        <f>IF($X77="","",INDEX('Raw Data'!$E:$E,$X77))</f>
        <v/>
      </c>
      <c r="C77" s="9" t="str">
        <f>IF($X77="","",IF($Y77="","Not linked",IF(INDEX('Flight Rates'!$G:$G,$Y77)&lt;&gt;"",INDEX('Flight Rates'!$G:$G,$Y77),IF($Z77="NO TARIFF LOADED","No tariff","No rate"))))</f>
        <v/>
      </c>
      <c r="D77" s="7" t="str">
        <f>IF($X77="","",INDEX('Raw Data'!$F:$F,$X77))</f>
        <v/>
      </c>
      <c r="E77" s="10" t="str">
        <f>IF($Y77="","",IF(INDEX('Flight Rates'!$K:$K,$Y77)="","",INDEX('Flight Rates'!$K:$K,$Y77)+N($T77)+N($U77)))</f>
        <v/>
      </c>
      <c r="F77" s="10" t="str">
        <f>IF($Y77="","",IF(INDEX('Flight Rates'!$L:$L,$Y77)="","",INDEX('Flight Rates'!$L:$L,$Y77)+N($T77)+N($U77)))</f>
        <v/>
      </c>
      <c r="T77" t="str">
        <f>IF($Y77="","",N(INDEX('Flight Rates'!$S:$S,$Y77)))</f>
        <v/>
      </c>
      <c r="U77" t="str">
        <f>IF(OR($Y77="",$C77="No tariff",$C77="No rate"),"",IFERROR(N(INDEX('Add-on Rates'!$C:$C,MATCH($A77,'Add-on Rates'!$A:$A,0))),0))</f>
        <v/>
      </c>
      <c r="X77" t="str">
        <f>IFERROR(SMALL('Raw Data'!$O$2:$O$1680,66),"")</f>
        <v/>
      </c>
      <c r="Y77" t="str">
        <f>IF($X77="","",IFERROR(MATCH($B$3&amp;"|"&amp;$G$3&amp;"|"&amp;$B77&amp;"|"&amp;$D77,'Flight Rates'!$A:$A,0),""))</f>
        <v/>
      </c>
      <c r="Z77" t="str">
        <f>IF($Y77="","",INDEX('Flight Rates'!$P:$P,$Y77))</f>
        <v/>
      </c>
    </row>
    <row r="78" spans="1:26" x14ac:dyDescent="0.25">
      <c r="A78" s="6" t="str">
        <f>IF($X78="","",INDEX('Raw Data'!$D:$D,$X78))</f>
        <v/>
      </c>
      <c r="B78" s="6" t="str">
        <f>IF($X78="","",INDEX('Raw Data'!$E:$E,$X78))</f>
        <v/>
      </c>
      <c r="C78" s="9" t="str">
        <f>IF($X78="","",IF($Y78="","Not linked",IF(INDEX('Flight Rates'!$G:$G,$Y78)&lt;&gt;"",INDEX('Flight Rates'!$G:$G,$Y78),IF($Z78="NO TARIFF LOADED","No tariff","No rate"))))</f>
        <v/>
      </c>
      <c r="D78" s="7" t="str">
        <f>IF($X78="","",INDEX('Raw Data'!$F:$F,$X78))</f>
        <v/>
      </c>
      <c r="E78" s="10" t="str">
        <f>IF($Y78="","",IF(INDEX('Flight Rates'!$K:$K,$Y78)="","",INDEX('Flight Rates'!$K:$K,$Y78)+N($T78)+N($U78)))</f>
        <v/>
      </c>
      <c r="F78" s="10" t="str">
        <f>IF($Y78="","",IF(INDEX('Flight Rates'!$L:$L,$Y78)="","",INDEX('Flight Rates'!$L:$L,$Y78)+N($T78)+N($U78)))</f>
        <v/>
      </c>
      <c r="T78" t="str">
        <f>IF($Y78="","",N(INDEX('Flight Rates'!$S:$S,$Y78)))</f>
        <v/>
      </c>
      <c r="U78" t="str">
        <f>IF(OR($Y78="",$C78="No tariff",$C78="No rate"),"",IFERROR(N(INDEX('Add-on Rates'!$C:$C,MATCH($A78,'Add-on Rates'!$A:$A,0))),0))</f>
        <v/>
      </c>
      <c r="X78" t="str">
        <f>IFERROR(SMALL('Raw Data'!$O$2:$O$1680,67),"")</f>
        <v/>
      </c>
      <c r="Y78" t="str">
        <f>IF($X78="","",IFERROR(MATCH($B$3&amp;"|"&amp;$G$3&amp;"|"&amp;$B78&amp;"|"&amp;$D78,'Flight Rates'!$A:$A,0),""))</f>
        <v/>
      </c>
      <c r="Z78" t="str">
        <f>IF($Y78="","",INDEX('Flight Rates'!$P:$P,$Y78))</f>
        <v/>
      </c>
    </row>
    <row r="79" spans="1:26" x14ac:dyDescent="0.25">
      <c r="A79" s="6" t="str">
        <f>IF($X79="","",INDEX('Raw Data'!$D:$D,$X79))</f>
        <v/>
      </c>
      <c r="B79" s="6" t="str">
        <f>IF($X79="","",INDEX('Raw Data'!$E:$E,$X79))</f>
        <v/>
      </c>
      <c r="C79" s="9" t="str">
        <f>IF($X79="","",IF($Y79="","Not linked",IF(INDEX('Flight Rates'!$G:$G,$Y79)&lt;&gt;"",INDEX('Flight Rates'!$G:$G,$Y79),IF($Z79="NO TARIFF LOADED","No tariff","No rate"))))</f>
        <v/>
      </c>
      <c r="D79" s="7" t="str">
        <f>IF($X79="","",INDEX('Raw Data'!$F:$F,$X79))</f>
        <v/>
      </c>
      <c r="E79" s="10" t="str">
        <f>IF($Y79="","",IF(INDEX('Flight Rates'!$K:$K,$Y79)="","",INDEX('Flight Rates'!$K:$K,$Y79)+N($T79)+N($U79)))</f>
        <v/>
      </c>
      <c r="F79" s="10" t="str">
        <f>IF($Y79="","",IF(INDEX('Flight Rates'!$L:$L,$Y79)="","",INDEX('Flight Rates'!$L:$L,$Y79)+N($T79)+N($U79)))</f>
        <v/>
      </c>
      <c r="T79" t="str">
        <f>IF($Y79="","",N(INDEX('Flight Rates'!$S:$S,$Y79)))</f>
        <v/>
      </c>
      <c r="U79" t="str">
        <f>IF(OR($Y79="",$C79="No tariff",$C79="No rate"),"",IFERROR(N(INDEX('Add-on Rates'!$C:$C,MATCH($A79,'Add-on Rates'!$A:$A,0))),0))</f>
        <v/>
      </c>
      <c r="X79" t="str">
        <f>IFERROR(SMALL('Raw Data'!$O$2:$O$1680,68),"")</f>
        <v/>
      </c>
      <c r="Y79" t="str">
        <f>IF($X79="","",IFERROR(MATCH($B$3&amp;"|"&amp;$G$3&amp;"|"&amp;$B79&amp;"|"&amp;$D79,'Flight Rates'!$A:$A,0),""))</f>
        <v/>
      </c>
      <c r="Z79" t="str">
        <f>IF($Y79="","",INDEX('Flight Rates'!$P:$P,$Y79))</f>
        <v/>
      </c>
    </row>
    <row r="80" spans="1:26" x14ac:dyDescent="0.25">
      <c r="A80" s="6" t="str">
        <f>IF($X80="","",INDEX('Raw Data'!$D:$D,$X80))</f>
        <v/>
      </c>
      <c r="B80" s="6" t="str">
        <f>IF($X80="","",INDEX('Raw Data'!$E:$E,$X80))</f>
        <v/>
      </c>
      <c r="C80" s="9" t="str">
        <f>IF($X80="","",IF($Y80="","Not linked",IF(INDEX('Flight Rates'!$G:$G,$Y80)&lt;&gt;"",INDEX('Flight Rates'!$G:$G,$Y80),IF($Z80="NO TARIFF LOADED","No tariff","No rate"))))</f>
        <v/>
      </c>
      <c r="D80" s="7" t="str">
        <f>IF($X80="","",INDEX('Raw Data'!$F:$F,$X80))</f>
        <v/>
      </c>
      <c r="E80" s="10" t="str">
        <f>IF($Y80="","",IF(INDEX('Flight Rates'!$K:$K,$Y80)="","",INDEX('Flight Rates'!$K:$K,$Y80)+N($T80)+N($U80)))</f>
        <v/>
      </c>
      <c r="F80" s="10" t="str">
        <f>IF($Y80="","",IF(INDEX('Flight Rates'!$L:$L,$Y80)="","",INDEX('Flight Rates'!$L:$L,$Y80)+N($T80)+N($U80)))</f>
        <v/>
      </c>
      <c r="T80" t="str">
        <f>IF($Y80="","",N(INDEX('Flight Rates'!$S:$S,$Y80)))</f>
        <v/>
      </c>
      <c r="U80" t="str">
        <f>IF(OR($Y80="",$C80="No tariff",$C80="No rate"),"",IFERROR(N(INDEX('Add-on Rates'!$C:$C,MATCH($A80,'Add-on Rates'!$A:$A,0))),0))</f>
        <v/>
      </c>
      <c r="X80" t="str">
        <f>IFERROR(SMALL('Raw Data'!$O$2:$O$1680,69),"")</f>
        <v/>
      </c>
      <c r="Y80" t="str">
        <f>IF($X80="","",IFERROR(MATCH($B$3&amp;"|"&amp;$G$3&amp;"|"&amp;$B80&amp;"|"&amp;$D80,'Flight Rates'!$A:$A,0),""))</f>
        <v/>
      </c>
      <c r="Z80" t="str">
        <f>IF($Y80="","",INDEX('Flight Rates'!$P:$P,$Y80))</f>
        <v/>
      </c>
    </row>
    <row r="81" spans="1:26" x14ac:dyDescent="0.25">
      <c r="A81" s="6" t="str">
        <f>IF($X81="","",INDEX('Raw Data'!$D:$D,$X81))</f>
        <v/>
      </c>
      <c r="B81" s="6" t="str">
        <f>IF($X81="","",INDEX('Raw Data'!$E:$E,$X81))</f>
        <v/>
      </c>
      <c r="C81" s="9" t="str">
        <f>IF($X81="","",IF($Y81="","Not linked",IF(INDEX('Flight Rates'!$G:$G,$Y81)&lt;&gt;"",INDEX('Flight Rates'!$G:$G,$Y81),IF($Z81="NO TARIFF LOADED","No tariff","No rate"))))</f>
        <v/>
      </c>
      <c r="D81" s="7" t="str">
        <f>IF($X81="","",INDEX('Raw Data'!$F:$F,$X81))</f>
        <v/>
      </c>
      <c r="E81" s="10" t="str">
        <f>IF($Y81="","",IF(INDEX('Flight Rates'!$K:$K,$Y81)="","",INDEX('Flight Rates'!$K:$K,$Y81)+N($T81)+N($U81)))</f>
        <v/>
      </c>
      <c r="F81" s="10" t="str">
        <f>IF($Y81="","",IF(INDEX('Flight Rates'!$L:$L,$Y81)="","",INDEX('Flight Rates'!$L:$L,$Y81)+N($T81)+N($U81)))</f>
        <v/>
      </c>
      <c r="T81" t="str">
        <f>IF($Y81="","",N(INDEX('Flight Rates'!$S:$S,$Y81)))</f>
        <v/>
      </c>
      <c r="U81" t="str">
        <f>IF(OR($Y81="",$C81="No tariff",$C81="No rate"),"",IFERROR(N(INDEX('Add-on Rates'!$C:$C,MATCH($A81,'Add-on Rates'!$A:$A,0))),0))</f>
        <v/>
      </c>
      <c r="X81" t="str">
        <f>IFERROR(SMALL('Raw Data'!$O$2:$O$1680,70),"")</f>
        <v/>
      </c>
      <c r="Y81" t="str">
        <f>IF($X81="","",IFERROR(MATCH($B$3&amp;"|"&amp;$G$3&amp;"|"&amp;$B81&amp;"|"&amp;$D81,'Flight Rates'!$A:$A,0),""))</f>
        <v/>
      </c>
      <c r="Z81" t="str">
        <f>IF($Y81="","",INDEX('Flight Rates'!$P:$P,$Y81))</f>
        <v/>
      </c>
    </row>
    <row r="82" spans="1:26" x14ac:dyDescent="0.25">
      <c r="A82" s="6" t="str">
        <f>IF($X82="","",INDEX('Raw Data'!$D:$D,$X82))</f>
        <v/>
      </c>
      <c r="B82" s="6" t="str">
        <f>IF($X82="","",INDEX('Raw Data'!$E:$E,$X82))</f>
        <v/>
      </c>
      <c r="C82" s="9" t="str">
        <f>IF($X82="","",IF($Y82="","Not linked",IF(INDEX('Flight Rates'!$G:$G,$Y82)&lt;&gt;"",INDEX('Flight Rates'!$G:$G,$Y82),IF($Z82="NO TARIFF LOADED","No tariff","No rate"))))</f>
        <v/>
      </c>
      <c r="D82" s="7" t="str">
        <f>IF($X82="","",INDEX('Raw Data'!$F:$F,$X82))</f>
        <v/>
      </c>
      <c r="E82" s="10" t="str">
        <f>IF($Y82="","",IF(INDEX('Flight Rates'!$K:$K,$Y82)="","",INDEX('Flight Rates'!$K:$K,$Y82)+N($T82)+N($U82)))</f>
        <v/>
      </c>
      <c r="F82" s="10" t="str">
        <f>IF($Y82="","",IF(INDEX('Flight Rates'!$L:$L,$Y82)="","",INDEX('Flight Rates'!$L:$L,$Y82)+N($T82)+N($U82)))</f>
        <v/>
      </c>
      <c r="T82" t="str">
        <f>IF($Y82="","",N(INDEX('Flight Rates'!$S:$S,$Y82)))</f>
        <v/>
      </c>
      <c r="U82" t="str">
        <f>IF(OR($Y82="",$C82="No tariff",$C82="No rate"),"",IFERROR(N(INDEX('Add-on Rates'!$C:$C,MATCH($A82,'Add-on Rates'!$A:$A,0))),0))</f>
        <v/>
      </c>
      <c r="X82" t="str">
        <f>IFERROR(SMALL('Raw Data'!$O$2:$O$1680,71),"")</f>
        <v/>
      </c>
      <c r="Y82" t="str">
        <f>IF($X82="","",IFERROR(MATCH($B$3&amp;"|"&amp;$G$3&amp;"|"&amp;$B82&amp;"|"&amp;$D82,'Flight Rates'!$A:$A,0),""))</f>
        <v/>
      </c>
      <c r="Z82" t="str">
        <f>IF($Y82="","",INDEX('Flight Rates'!$P:$P,$Y82))</f>
        <v/>
      </c>
    </row>
    <row r="83" spans="1:26" x14ac:dyDescent="0.25">
      <c r="A83" s="6" t="str">
        <f>IF($X83="","",INDEX('Raw Data'!$D:$D,$X83))</f>
        <v/>
      </c>
      <c r="B83" s="6" t="str">
        <f>IF($X83="","",INDEX('Raw Data'!$E:$E,$X83))</f>
        <v/>
      </c>
      <c r="C83" s="9" t="str">
        <f>IF($X83="","",IF($Y83="","Not linked",IF(INDEX('Flight Rates'!$G:$G,$Y83)&lt;&gt;"",INDEX('Flight Rates'!$G:$G,$Y83),IF($Z83="NO TARIFF LOADED","No tariff","No rate"))))</f>
        <v/>
      </c>
      <c r="D83" s="7" t="str">
        <f>IF($X83="","",INDEX('Raw Data'!$F:$F,$X83))</f>
        <v/>
      </c>
      <c r="E83" s="10" t="str">
        <f>IF($Y83="","",IF(INDEX('Flight Rates'!$K:$K,$Y83)="","",INDEX('Flight Rates'!$K:$K,$Y83)+N($T83)+N($U83)))</f>
        <v/>
      </c>
      <c r="F83" s="10" t="str">
        <f>IF($Y83="","",IF(INDEX('Flight Rates'!$L:$L,$Y83)="","",INDEX('Flight Rates'!$L:$L,$Y83)+N($T83)+N($U83)))</f>
        <v/>
      </c>
      <c r="T83" t="str">
        <f>IF($Y83="","",N(INDEX('Flight Rates'!$S:$S,$Y83)))</f>
        <v/>
      </c>
      <c r="U83" t="str">
        <f>IF(OR($Y83="",$C83="No tariff",$C83="No rate"),"",IFERROR(N(INDEX('Add-on Rates'!$C:$C,MATCH($A83,'Add-on Rates'!$A:$A,0))),0))</f>
        <v/>
      </c>
      <c r="X83" t="str">
        <f>IFERROR(SMALL('Raw Data'!$O$2:$O$1680,72),"")</f>
        <v/>
      </c>
      <c r="Y83" t="str">
        <f>IF($X83="","",IFERROR(MATCH($B$3&amp;"|"&amp;$G$3&amp;"|"&amp;$B83&amp;"|"&amp;$D83,'Flight Rates'!$A:$A,0),""))</f>
        <v/>
      </c>
      <c r="Z83" t="str">
        <f>IF($Y83="","",INDEX('Flight Rates'!$P:$P,$Y83))</f>
        <v/>
      </c>
    </row>
    <row r="84" spans="1:26" x14ac:dyDescent="0.25">
      <c r="A84" s="6" t="str">
        <f>IF($X84="","",INDEX('Raw Data'!$D:$D,$X84))</f>
        <v/>
      </c>
      <c r="B84" s="6" t="str">
        <f>IF($X84="","",INDEX('Raw Data'!$E:$E,$X84))</f>
        <v/>
      </c>
      <c r="C84" s="9" t="str">
        <f>IF($X84="","",IF($Y84="","Not linked",IF(INDEX('Flight Rates'!$G:$G,$Y84)&lt;&gt;"",INDEX('Flight Rates'!$G:$G,$Y84),IF($Z84="NO TARIFF LOADED","No tariff","No rate"))))</f>
        <v/>
      </c>
      <c r="D84" s="7" t="str">
        <f>IF($X84="","",INDEX('Raw Data'!$F:$F,$X84))</f>
        <v/>
      </c>
      <c r="E84" s="10" t="str">
        <f>IF($Y84="","",IF(INDEX('Flight Rates'!$K:$K,$Y84)="","",INDEX('Flight Rates'!$K:$K,$Y84)+N($T84)+N($U84)))</f>
        <v/>
      </c>
      <c r="F84" s="10" t="str">
        <f>IF($Y84="","",IF(INDEX('Flight Rates'!$L:$L,$Y84)="","",INDEX('Flight Rates'!$L:$L,$Y84)+N($T84)+N($U84)))</f>
        <v/>
      </c>
      <c r="T84" t="str">
        <f>IF($Y84="","",N(INDEX('Flight Rates'!$S:$S,$Y84)))</f>
        <v/>
      </c>
      <c r="U84" t="str">
        <f>IF(OR($Y84="",$C84="No tariff",$C84="No rate"),"",IFERROR(N(INDEX('Add-on Rates'!$C:$C,MATCH($A84,'Add-on Rates'!$A:$A,0))),0))</f>
        <v/>
      </c>
      <c r="X84" t="str">
        <f>IFERROR(SMALL('Raw Data'!$O$2:$O$1680,73),"")</f>
        <v/>
      </c>
      <c r="Y84" t="str">
        <f>IF($X84="","",IFERROR(MATCH($B$3&amp;"|"&amp;$G$3&amp;"|"&amp;$B84&amp;"|"&amp;$D84,'Flight Rates'!$A:$A,0),""))</f>
        <v/>
      </c>
      <c r="Z84" t="str">
        <f>IF($Y84="","",INDEX('Flight Rates'!$P:$P,$Y84))</f>
        <v/>
      </c>
    </row>
    <row r="85" spans="1:26" x14ac:dyDescent="0.25">
      <c r="A85" s="6" t="str">
        <f>IF($X85="","",INDEX('Raw Data'!$D:$D,$X85))</f>
        <v/>
      </c>
      <c r="B85" s="6" t="str">
        <f>IF($X85="","",INDEX('Raw Data'!$E:$E,$X85))</f>
        <v/>
      </c>
      <c r="C85" s="9" t="str">
        <f>IF($X85="","",IF($Y85="","Not linked",IF(INDEX('Flight Rates'!$G:$G,$Y85)&lt;&gt;"",INDEX('Flight Rates'!$G:$G,$Y85),IF($Z85="NO TARIFF LOADED","No tariff","No rate"))))</f>
        <v/>
      </c>
      <c r="D85" s="7" t="str">
        <f>IF($X85="","",INDEX('Raw Data'!$F:$F,$X85))</f>
        <v/>
      </c>
      <c r="E85" s="10" t="str">
        <f>IF($Y85="","",IF(INDEX('Flight Rates'!$K:$K,$Y85)="","",INDEX('Flight Rates'!$K:$K,$Y85)+N($T85)+N($U85)))</f>
        <v/>
      </c>
      <c r="F85" s="10" t="str">
        <f>IF($Y85="","",IF(INDEX('Flight Rates'!$L:$L,$Y85)="","",INDEX('Flight Rates'!$L:$L,$Y85)+N($T85)+N($U85)))</f>
        <v/>
      </c>
      <c r="T85" t="str">
        <f>IF($Y85="","",N(INDEX('Flight Rates'!$S:$S,$Y85)))</f>
        <v/>
      </c>
      <c r="U85" t="str">
        <f>IF(OR($Y85="",$C85="No tariff",$C85="No rate"),"",IFERROR(N(INDEX('Add-on Rates'!$C:$C,MATCH($A85,'Add-on Rates'!$A:$A,0))),0))</f>
        <v/>
      </c>
      <c r="X85" t="str">
        <f>IFERROR(SMALL('Raw Data'!$O$2:$O$1680,74),"")</f>
        <v/>
      </c>
      <c r="Y85" t="str">
        <f>IF($X85="","",IFERROR(MATCH($B$3&amp;"|"&amp;$G$3&amp;"|"&amp;$B85&amp;"|"&amp;$D85,'Flight Rates'!$A:$A,0),""))</f>
        <v/>
      </c>
      <c r="Z85" t="str">
        <f>IF($Y85="","",INDEX('Flight Rates'!$P:$P,$Y85))</f>
        <v/>
      </c>
    </row>
    <row r="86" spans="1:26" x14ac:dyDescent="0.25">
      <c r="A86" s="6" t="str">
        <f>IF($X86="","",INDEX('Raw Data'!$D:$D,$X86))</f>
        <v/>
      </c>
      <c r="B86" s="6" t="str">
        <f>IF($X86="","",INDEX('Raw Data'!$E:$E,$X86))</f>
        <v/>
      </c>
      <c r="C86" s="9" t="str">
        <f>IF($X86="","",IF($Y86="","Not linked",IF(INDEX('Flight Rates'!$G:$G,$Y86)&lt;&gt;"",INDEX('Flight Rates'!$G:$G,$Y86),IF($Z86="NO TARIFF LOADED","No tariff","No rate"))))</f>
        <v/>
      </c>
      <c r="D86" s="7" t="str">
        <f>IF($X86="","",INDEX('Raw Data'!$F:$F,$X86))</f>
        <v/>
      </c>
      <c r="E86" s="10" t="str">
        <f>IF($Y86="","",IF(INDEX('Flight Rates'!$K:$K,$Y86)="","",INDEX('Flight Rates'!$K:$K,$Y86)+N($T86)+N($U86)))</f>
        <v/>
      </c>
      <c r="F86" s="10" t="str">
        <f>IF($Y86="","",IF(INDEX('Flight Rates'!$L:$L,$Y86)="","",INDEX('Flight Rates'!$L:$L,$Y86)+N($T86)+N($U86)))</f>
        <v/>
      </c>
      <c r="T86" t="str">
        <f>IF($Y86="","",N(INDEX('Flight Rates'!$S:$S,$Y86)))</f>
        <v/>
      </c>
      <c r="U86" t="str">
        <f>IF(OR($Y86="",$C86="No tariff",$C86="No rate"),"",IFERROR(N(INDEX('Add-on Rates'!$C:$C,MATCH($A86,'Add-on Rates'!$A:$A,0))),0))</f>
        <v/>
      </c>
      <c r="X86" t="str">
        <f>IFERROR(SMALL('Raw Data'!$O$2:$O$1680,75),"")</f>
        <v/>
      </c>
      <c r="Y86" t="str">
        <f>IF($X86="","",IFERROR(MATCH($B$3&amp;"|"&amp;$G$3&amp;"|"&amp;$B86&amp;"|"&amp;$D86,'Flight Rates'!$A:$A,0),""))</f>
        <v/>
      </c>
      <c r="Z86" t="str">
        <f>IF($Y86="","",INDEX('Flight Rates'!$P:$P,$Y86))</f>
        <v/>
      </c>
    </row>
    <row r="87" spans="1:26" x14ac:dyDescent="0.25">
      <c r="A87" s="6" t="str">
        <f>IF($X87="","",INDEX('Raw Data'!$D:$D,$X87))</f>
        <v/>
      </c>
      <c r="B87" s="6" t="str">
        <f>IF($X87="","",INDEX('Raw Data'!$E:$E,$X87))</f>
        <v/>
      </c>
      <c r="C87" s="9" t="str">
        <f>IF($X87="","",IF($Y87="","Not linked",IF(INDEX('Flight Rates'!$G:$G,$Y87)&lt;&gt;"",INDEX('Flight Rates'!$G:$G,$Y87),IF($Z87="NO TARIFF LOADED","No tariff","No rate"))))</f>
        <v/>
      </c>
      <c r="D87" s="7" t="str">
        <f>IF($X87="","",INDEX('Raw Data'!$F:$F,$X87))</f>
        <v/>
      </c>
      <c r="E87" s="10" t="str">
        <f>IF($Y87="","",IF(INDEX('Flight Rates'!$K:$K,$Y87)="","",INDEX('Flight Rates'!$K:$K,$Y87)+N($T87)+N($U87)))</f>
        <v/>
      </c>
      <c r="F87" s="10" t="str">
        <f>IF($Y87="","",IF(INDEX('Flight Rates'!$L:$L,$Y87)="","",INDEX('Flight Rates'!$L:$L,$Y87)+N($T87)+N($U87)))</f>
        <v/>
      </c>
      <c r="T87" t="str">
        <f>IF($Y87="","",N(INDEX('Flight Rates'!$S:$S,$Y87)))</f>
        <v/>
      </c>
      <c r="U87" t="str">
        <f>IF(OR($Y87="",$C87="No tariff",$C87="No rate"),"",IFERROR(N(INDEX('Add-on Rates'!$C:$C,MATCH($A87,'Add-on Rates'!$A:$A,0))),0))</f>
        <v/>
      </c>
      <c r="X87" t="str">
        <f>IFERROR(SMALL('Raw Data'!$O$2:$O$1680,76),"")</f>
        <v/>
      </c>
      <c r="Y87" t="str">
        <f>IF($X87="","",IFERROR(MATCH($B$3&amp;"|"&amp;$G$3&amp;"|"&amp;$B87&amp;"|"&amp;$D87,'Flight Rates'!$A:$A,0),""))</f>
        <v/>
      </c>
      <c r="Z87" t="str">
        <f>IF($Y87="","",INDEX('Flight Rates'!$P:$P,$Y87))</f>
        <v/>
      </c>
    </row>
    <row r="88" spans="1:26" x14ac:dyDescent="0.25">
      <c r="A88" s="6" t="str">
        <f>IF($X88="","",INDEX('Raw Data'!$D:$D,$X88))</f>
        <v/>
      </c>
      <c r="B88" s="6" t="str">
        <f>IF($X88="","",INDEX('Raw Data'!$E:$E,$X88))</f>
        <v/>
      </c>
      <c r="C88" s="9" t="str">
        <f>IF($X88="","",IF($Y88="","Not linked",IF(INDEX('Flight Rates'!$G:$G,$Y88)&lt;&gt;"",INDEX('Flight Rates'!$G:$G,$Y88),IF($Z88="NO TARIFF LOADED","No tariff","No rate"))))</f>
        <v/>
      </c>
      <c r="D88" s="7" t="str">
        <f>IF($X88="","",INDEX('Raw Data'!$F:$F,$X88))</f>
        <v/>
      </c>
      <c r="E88" s="10" t="str">
        <f>IF($Y88="","",IF(INDEX('Flight Rates'!$K:$K,$Y88)="","",INDEX('Flight Rates'!$K:$K,$Y88)+N($T88)+N($U88)))</f>
        <v/>
      </c>
      <c r="F88" s="10" t="str">
        <f>IF($Y88="","",IF(INDEX('Flight Rates'!$L:$L,$Y88)="","",INDEX('Flight Rates'!$L:$L,$Y88)+N($T88)+N($U88)))</f>
        <v/>
      </c>
      <c r="T88" t="str">
        <f>IF($Y88="","",N(INDEX('Flight Rates'!$S:$S,$Y88)))</f>
        <v/>
      </c>
      <c r="U88" t="str">
        <f>IF(OR($Y88="",$C88="No tariff",$C88="No rate"),"",IFERROR(N(INDEX('Add-on Rates'!$C:$C,MATCH($A88,'Add-on Rates'!$A:$A,0))),0))</f>
        <v/>
      </c>
      <c r="X88" t="str">
        <f>IFERROR(SMALL('Raw Data'!$O$2:$O$1680,77),"")</f>
        <v/>
      </c>
      <c r="Y88" t="str">
        <f>IF($X88="","",IFERROR(MATCH($B$3&amp;"|"&amp;$G$3&amp;"|"&amp;$B88&amp;"|"&amp;$D88,'Flight Rates'!$A:$A,0),""))</f>
        <v/>
      </c>
      <c r="Z88" t="str">
        <f>IF($Y88="","",INDEX('Flight Rates'!$P:$P,$Y88))</f>
        <v/>
      </c>
    </row>
    <row r="89" spans="1:26" x14ac:dyDescent="0.25">
      <c r="A89" s="6" t="str">
        <f>IF($X89="","",INDEX('Raw Data'!$D:$D,$X89))</f>
        <v/>
      </c>
      <c r="B89" s="6" t="str">
        <f>IF($X89="","",INDEX('Raw Data'!$E:$E,$X89))</f>
        <v/>
      </c>
      <c r="C89" s="9" t="str">
        <f>IF($X89="","",IF($Y89="","Not linked",IF(INDEX('Flight Rates'!$G:$G,$Y89)&lt;&gt;"",INDEX('Flight Rates'!$G:$G,$Y89),IF($Z89="NO TARIFF LOADED","No tariff","No rate"))))</f>
        <v/>
      </c>
      <c r="D89" s="7" t="str">
        <f>IF($X89="","",INDEX('Raw Data'!$F:$F,$X89))</f>
        <v/>
      </c>
      <c r="E89" s="10" t="str">
        <f>IF($Y89="","",IF(INDEX('Flight Rates'!$K:$K,$Y89)="","",INDEX('Flight Rates'!$K:$K,$Y89)+N($T89)+N($U89)))</f>
        <v/>
      </c>
      <c r="F89" s="10" t="str">
        <f>IF($Y89="","",IF(INDEX('Flight Rates'!$L:$L,$Y89)="","",INDEX('Flight Rates'!$L:$L,$Y89)+N($T89)+N($U89)))</f>
        <v/>
      </c>
      <c r="T89" t="str">
        <f>IF($Y89="","",N(INDEX('Flight Rates'!$S:$S,$Y89)))</f>
        <v/>
      </c>
      <c r="U89" t="str">
        <f>IF(OR($Y89="",$C89="No tariff",$C89="No rate"),"",IFERROR(N(INDEX('Add-on Rates'!$C:$C,MATCH($A89,'Add-on Rates'!$A:$A,0))),0))</f>
        <v/>
      </c>
      <c r="X89" t="str">
        <f>IFERROR(SMALL('Raw Data'!$O$2:$O$1680,78),"")</f>
        <v/>
      </c>
      <c r="Y89" t="str">
        <f>IF($X89="","",IFERROR(MATCH($B$3&amp;"|"&amp;$G$3&amp;"|"&amp;$B89&amp;"|"&amp;$D89,'Flight Rates'!$A:$A,0),""))</f>
        <v/>
      </c>
      <c r="Z89" t="str">
        <f>IF($Y89="","",INDEX('Flight Rates'!$P:$P,$Y89))</f>
        <v/>
      </c>
    </row>
    <row r="90" spans="1:26" x14ac:dyDescent="0.25">
      <c r="A90" s="6" t="str">
        <f>IF($X90="","",INDEX('Raw Data'!$D:$D,$X90))</f>
        <v/>
      </c>
      <c r="B90" s="6" t="str">
        <f>IF($X90="","",INDEX('Raw Data'!$E:$E,$X90))</f>
        <v/>
      </c>
      <c r="C90" s="9" t="str">
        <f>IF($X90="","",IF($Y90="","Not linked",IF(INDEX('Flight Rates'!$G:$G,$Y90)&lt;&gt;"",INDEX('Flight Rates'!$G:$G,$Y90),IF($Z90="NO TARIFF LOADED","No tariff","No rate"))))</f>
        <v/>
      </c>
      <c r="D90" s="7" t="str">
        <f>IF($X90="","",INDEX('Raw Data'!$F:$F,$X90))</f>
        <v/>
      </c>
      <c r="E90" s="10" t="str">
        <f>IF($Y90="","",IF(INDEX('Flight Rates'!$K:$K,$Y90)="","",INDEX('Flight Rates'!$K:$K,$Y90)+N($T90)+N($U90)))</f>
        <v/>
      </c>
      <c r="F90" s="10" t="str">
        <f>IF($Y90="","",IF(INDEX('Flight Rates'!$L:$L,$Y90)="","",INDEX('Flight Rates'!$L:$L,$Y90)+N($T90)+N($U90)))</f>
        <v/>
      </c>
      <c r="T90" t="str">
        <f>IF($Y90="","",N(INDEX('Flight Rates'!$S:$S,$Y90)))</f>
        <v/>
      </c>
      <c r="U90" t="str">
        <f>IF(OR($Y90="",$C90="No tariff",$C90="No rate"),"",IFERROR(N(INDEX('Add-on Rates'!$C:$C,MATCH($A90,'Add-on Rates'!$A:$A,0))),0))</f>
        <v/>
      </c>
      <c r="X90" t="str">
        <f>IFERROR(SMALL('Raw Data'!$O$2:$O$1680,79),"")</f>
        <v/>
      </c>
      <c r="Y90" t="str">
        <f>IF($X90="","",IFERROR(MATCH($B$3&amp;"|"&amp;$G$3&amp;"|"&amp;$B90&amp;"|"&amp;$D90,'Flight Rates'!$A:$A,0),""))</f>
        <v/>
      </c>
      <c r="Z90" t="str">
        <f>IF($Y90="","",INDEX('Flight Rates'!$P:$P,$Y90))</f>
        <v/>
      </c>
    </row>
    <row r="91" spans="1:26" x14ac:dyDescent="0.25">
      <c r="A91" s="6" t="str">
        <f>IF($X91="","",INDEX('Raw Data'!$D:$D,$X91))</f>
        <v/>
      </c>
      <c r="B91" s="6" t="str">
        <f>IF($X91="","",INDEX('Raw Data'!$E:$E,$X91))</f>
        <v/>
      </c>
      <c r="C91" s="9" t="str">
        <f>IF($X91="","",IF($Y91="","Not linked",IF(INDEX('Flight Rates'!$G:$G,$Y91)&lt;&gt;"",INDEX('Flight Rates'!$G:$G,$Y91),IF($Z91="NO TARIFF LOADED","No tariff","No rate"))))</f>
        <v/>
      </c>
      <c r="D91" s="7" t="str">
        <f>IF($X91="","",INDEX('Raw Data'!$F:$F,$X91))</f>
        <v/>
      </c>
      <c r="E91" s="10" t="str">
        <f>IF($Y91="","",IF(INDEX('Flight Rates'!$K:$K,$Y91)="","",INDEX('Flight Rates'!$K:$K,$Y91)+N($T91)+N($U91)))</f>
        <v/>
      </c>
      <c r="F91" s="10" t="str">
        <f>IF($Y91="","",IF(INDEX('Flight Rates'!$L:$L,$Y91)="","",INDEX('Flight Rates'!$L:$L,$Y91)+N($T91)+N($U91)))</f>
        <v/>
      </c>
      <c r="T91" t="str">
        <f>IF($Y91="","",N(INDEX('Flight Rates'!$S:$S,$Y91)))</f>
        <v/>
      </c>
      <c r="U91" t="str">
        <f>IF(OR($Y91="",$C91="No tariff",$C91="No rate"),"",IFERROR(N(INDEX('Add-on Rates'!$C:$C,MATCH($A91,'Add-on Rates'!$A:$A,0))),0))</f>
        <v/>
      </c>
      <c r="X91" t="str">
        <f>IFERROR(SMALL('Raw Data'!$O$2:$O$1680,80),"")</f>
        <v/>
      </c>
      <c r="Y91" t="str">
        <f>IF($X91="","",IFERROR(MATCH($B$3&amp;"|"&amp;$G$3&amp;"|"&amp;$B91&amp;"|"&amp;$D91,'Flight Rates'!$A:$A,0),""))</f>
        <v/>
      </c>
      <c r="Z91" t="str">
        <f>IF($Y91="","",INDEX('Flight Rates'!$P:$P,$Y91))</f>
        <v/>
      </c>
    </row>
    <row r="92" spans="1:26" x14ac:dyDescent="0.25">
      <c r="A92" s="6" t="str">
        <f>IF($X92="","",INDEX('Raw Data'!$D:$D,$X92))</f>
        <v/>
      </c>
      <c r="B92" s="6" t="str">
        <f>IF($X92="","",INDEX('Raw Data'!$E:$E,$X92))</f>
        <v/>
      </c>
      <c r="C92" s="9" t="str">
        <f>IF($X92="","",IF($Y92="","Not linked",IF(INDEX('Flight Rates'!$G:$G,$Y92)&lt;&gt;"",INDEX('Flight Rates'!$G:$G,$Y92),IF($Z92="NO TARIFF LOADED","No tariff","No rate"))))</f>
        <v/>
      </c>
      <c r="D92" s="7" t="str">
        <f>IF($X92="","",INDEX('Raw Data'!$F:$F,$X92))</f>
        <v/>
      </c>
      <c r="E92" s="10" t="str">
        <f>IF($Y92="","",IF(INDEX('Flight Rates'!$K:$K,$Y92)="","",INDEX('Flight Rates'!$K:$K,$Y92)+N($T92)+N($U92)))</f>
        <v/>
      </c>
      <c r="F92" s="10" t="str">
        <f>IF($Y92="","",IF(INDEX('Flight Rates'!$L:$L,$Y92)="","",INDEX('Flight Rates'!$L:$L,$Y92)+N($T92)+N($U92)))</f>
        <v/>
      </c>
      <c r="T92" t="str">
        <f>IF($Y92="","",N(INDEX('Flight Rates'!$S:$S,$Y92)))</f>
        <v/>
      </c>
      <c r="U92" t="str">
        <f>IF(OR($Y92="",$C92="No tariff",$C92="No rate"),"",IFERROR(N(INDEX('Add-on Rates'!$C:$C,MATCH($A92,'Add-on Rates'!$A:$A,0))),0))</f>
        <v/>
      </c>
      <c r="X92" t="str">
        <f>IFERROR(SMALL('Raw Data'!$O$2:$O$1680,81),"")</f>
        <v/>
      </c>
      <c r="Y92" t="str">
        <f>IF($X92="","",IFERROR(MATCH($B$3&amp;"|"&amp;$G$3&amp;"|"&amp;$B92&amp;"|"&amp;$D92,'Flight Rates'!$A:$A,0),""))</f>
        <v/>
      </c>
      <c r="Z92" t="str">
        <f>IF($Y92="","",INDEX('Flight Rates'!$P:$P,$Y92))</f>
        <v/>
      </c>
    </row>
    <row r="93" spans="1:26" x14ac:dyDescent="0.25">
      <c r="A93" s="6" t="str">
        <f>IF($X93="","",INDEX('Raw Data'!$D:$D,$X93))</f>
        <v/>
      </c>
      <c r="B93" s="6" t="str">
        <f>IF($X93="","",INDEX('Raw Data'!$E:$E,$X93))</f>
        <v/>
      </c>
      <c r="C93" s="9" t="str">
        <f>IF($X93="","",IF($Y93="","Not linked",IF(INDEX('Flight Rates'!$G:$G,$Y93)&lt;&gt;"",INDEX('Flight Rates'!$G:$G,$Y93),IF($Z93="NO TARIFF LOADED","No tariff","No rate"))))</f>
        <v/>
      </c>
      <c r="D93" s="7" t="str">
        <f>IF($X93="","",INDEX('Raw Data'!$F:$F,$X93))</f>
        <v/>
      </c>
      <c r="E93" s="10" t="str">
        <f>IF($Y93="","",IF(INDEX('Flight Rates'!$K:$K,$Y93)="","",INDEX('Flight Rates'!$K:$K,$Y93)+N($T93)+N($U93)))</f>
        <v/>
      </c>
      <c r="F93" s="10" t="str">
        <f>IF($Y93="","",IF(INDEX('Flight Rates'!$L:$L,$Y93)="","",INDEX('Flight Rates'!$L:$L,$Y93)+N($T93)+N($U93)))</f>
        <v/>
      </c>
      <c r="T93" t="str">
        <f>IF($Y93="","",N(INDEX('Flight Rates'!$S:$S,$Y93)))</f>
        <v/>
      </c>
      <c r="U93" t="str">
        <f>IF(OR($Y93="",$C93="No tariff",$C93="No rate"),"",IFERROR(N(INDEX('Add-on Rates'!$C:$C,MATCH($A93,'Add-on Rates'!$A:$A,0))),0))</f>
        <v/>
      </c>
      <c r="X93" t="str">
        <f>IFERROR(SMALL('Raw Data'!$O$2:$O$1680,82),"")</f>
        <v/>
      </c>
      <c r="Y93" t="str">
        <f>IF($X93="","",IFERROR(MATCH($B$3&amp;"|"&amp;$G$3&amp;"|"&amp;$B93&amp;"|"&amp;$D93,'Flight Rates'!$A:$A,0),""))</f>
        <v/>
      </c>
      <c r="Z93" t="str">
        <f>IF($Y93="","",INDEX('Flight Rates'!$P:$P,$Y93))</f>
        <v/>
      </c>
    </row>
    <row r="94" spans="1:26" x14ac:dyDescent="0.25">
      <c r="A94" s="6" t="str">
        <f>IF($X94="","",INDEX('Raw Data'!$D:$D,$X94))</f>
        <v/>
      </c>
      <c r="B94" s="6" t="str">
        <f>IF($X94="","",INDEX('Raw Data'!$E:$E,$X94))</f>
        <v/>
      </c>
      <c r="C94" s="9" t="str">
        <f>IF($X94="","",IF($Y94="","Not linked",IF(INDEX('Flight Rates'!$G:$G,$Y94)&lt;&gt;"",INDEX('Flight Rates'!$G:$G,$Y94),IF($Z94="NO TARIFF LOADED","No tariff","No rate"))))</f>
        <v/>
      </c>
      <c r="D94" s="7" t="str">
        <f>IF($X94="","",INDEX('Raw Data'!$F:$F,$X94))</f>
        <v/>
      </c>
      <c r="E94" s="10" t="str">
        <f>IF($Y94="","",IF(INDEX('Flight Rates'!$K:$K,$Y94)="","",INDEX('Flight Rates'!$K:$K,$Y94)+N($T94)+N($U94)))</f>
        <v/>
      </c>
      <c r="F94" s="10" t="str">
        <f>IF($Y94="","",IF(INDEX('Flight Rates'!$L:$L,$Y94)="","",INDEX('Flight Rates'!$L:$L,$Y94)+N($T94)+N($U94)))</f>
        <v/>
      </c>
      <c r="T94" t="str">
        <f>IF($Y94="","",N(INDEX('Flight Rates'!$S:$S,$Y94)))</f>
        <v/>
      </c>
      <c r="U94" t="str">
        <f>IF(OR($Y94="",$C94="No tariff",$C94="No rate"),"",IFERROR(N(INDEX('Add-on Rates'!$C:$C,MATCH($A94,'Add-on Rates'!$A:$A,0))),0))</f>
        <v/>
      </c>
      <c r="X94" t="str">
        <f>IFERROR(SMALL('Raw Data'!$O$2:$O$1680,83),"")</f>
        <v/>
      </c>
      <c r="Y94" t="str">
        <f>IF($X94="","",IFERROR(MATCH($B$3&amp;"|"&amp;$G$3&amp;"|"&amp;$B94&amp;"|"&amp;$D94,'Flight Rates'!$A:$A,0),""))</f>
        <v/>
      </c>
      <c r="Z94" t="str">
        <f>IF($Y94="","",INDEX('Flight Rates'!$P:$P,$Y94))</f>
        <v/>
      </c>
    </row>
    <row r="95" spans="1:26" x14ac:dyDescent="0.25">
      <c r="A95" s="6" t="str">
        <f>IF($X95="","",INDEX('Raw Data'!$D:$D,$X95))</f>
        <v/>
      </c>
      <c r="B95" s="6" t="str">
        <f>IF($X95="","",INDEX('Raw Data'!$E:$E,$X95))</f>
        <v/>
      </c>
      <c r="C95" s="9" t="str">
        <f>IF($X95="","",IF($Y95="","Not linked",IF(INDEX('Flight Rates'!$G:$G,$Y95)&lt;&gt;"",INDEX('Flight Rates'!$G:$G,$Y95),IF($Z95="NO TARIFF LOADED","No tariff","No rate"))))</f>
        <v/>
      </c>
      <c r="D95" s="7" t="str">
        <f>IF($X95="","",INDEX('Raw Data'!$F:$F,$X95))</f>
        <v/>
      </c>
      <c r="E95" s="10" t="str">
        <f>IF($Y95="","",IF(INDEX('Flight Rates'!$K:$K,$Y95)="","",INDEX('Flight Rates'!$K:$K,$Y95)+N($T95)+N($U95)))</f>
        <v/>
      </c>
      <c r="F95" s="10" t="str">
        <f>IF($Y95="","",IF(INDEX('Flight Rates'!$L:$L,$Y95)="","",INDEX('Flight Rates'!$L:$L,$Y95)+N($T95)+N($U95)))</f>
        <v/>
      </c>
      <c r="T95" t="str">
        <f>IF($Y95="","",N(INDEX('Flight Rates'!$S:$S,$Y95)))</f>
        <v/>
      </c>
      <c r="U95" t="str">
        <f>IF(OR($Y95="",$C95="No tariff",$C95="No rate"),"",IFERROR(N(INDEX('Add-on Rates'!$C:$C,MATCH($A95,'Add-on Rates'!$A:$A,0))),0))</f>
        <v/>
      </c>
      <c r="X95" t="str">
        <f>IFERROR(SMALL('Raw Data'!$O$2:$O$1680,84),"")</f>
        <v/>
      </c>
      <c r="Y95" t="str">
        <f>IF($X95="","",IFERROR(MATCH($B$3&amp;"|"&amp;$G$3&amp;"|"&amp;$B95&amp;"|"&amp;$D95,'Flight Rates'!$A:$A,0),""))</f>
        <v/>
      </c>
      <c r="Z95" t="str">
        <f>IF($Y95="","",INDEX('Flight Rates'!$P:$P,$Y95))</f>
        <v/>
      </c>
    </row>
    <row r="96" spans="1:26" x14ac:dyDescent="0.25">
      <c r="A96" s="6" t="str">
        <f>IF($X96="","",INDEX('Raw Data'!$D:$D,$X96))</f>
        <v/>
      </c>
      <c r="B96" s="6" t="str">
        <f>IF($X96="","",INDEX('Raw Data'!$E:$E,$X96))</f>
        <v/>
      </c>
      <c r="C96" s="9" t="str">
        <f>IF($X96="","",IF($Y96="","Not linked",IF(INDEX('Flight Rates'!$G:$G,$Y96)&lt;&gt;"",INDEX('Flight Rates'!$G:$G,$Y96),IF($Z96="NO TARIFF LOADED","No tariff","No rate"))))</f>
        <v/>
      </c>
      <c r="D96" s="7" t="str">
        <f>IF($X96="","",INDEX('Raw Data'!$F:$F,$X96))</f>
        <v/>
      </c>
      <c r="E96" s="10" t="str">
        <f>IF($Y96="","",IF(INDEX('Flight Rates'!$K:$K,$Y96)="","",INDEX('Flight Rates'!$K:$K,$Y96)+N($T96)+N($U96)))</f>
        <v/>
      </c>
      <c r="F96" s="10" t="str">
        <f>IF($Y96="","",IF(INDEX('Flight Rates'!$L:$L,$Y96)="","",INDEX('Flight Rates'!$L:$L,$Y96)+N($T96)+N($U96)))</f>
        <v/>
      </c>
      <c r="T96" t="str">
        <f>IF($Y96="","",N(INDEX('Flight Rates'!$S:$S,$Y96)))</f>
        <v/>
      </c>
      <c r="U96" t="str">
        <f>IF(OR($Y96="",$C96="No tariff",$C96="No rate"),"",IFERROR(N(INDEX('Add-on Rates'!$C:$C,MATCH($A96,'Add-on Rates'!$A:$A,0))),0))</f>
        <v/>
      </c>
      <c r="X96" t="str">
        <f>IFERROR(SMALL('Raw Data'!$O$2:$O$1680,85),"")</f>
        <v/>
      </c>
      <c r="Y96" t="str">
        <f>IF($X96="","",IFERROR(MATCH($B$3&amp;"|"&amp;$G$3&amp;"|"&amp;$B96&amp;"|"&amp;$D96,'Flight Rates'!$A:$A,0),""))</f>
        <v/>
      </c>
      <c r="Z96" t="str">
        <f>IF($Y96="","",INDEX('Flight Rates'!$P:$P,$Y96))</f>
        <v/>
      </c>
    </row>
    <row r="97" spans="1:26" x14ac:dyDescent="0.25">
      <c r="A97" s="6" t="str">
        <f>IF($X97="","",INDEX('Raw Data'!$D:$D,$X97))</f>
        <v/>
      </c>
      <c r="B97" s="6" t="str">
        <f>IF($X97="","",INDEX('Raw Data'!$E:$E,$X97))</f>
        <v/>
      </c>
      <c r="C97" s="9" t="str">
        <f>IF($X97="","",IF($Y97="","Not linked",IF(INDEX('Flight Rates'!$G:$G,$Y97)&lt;&gt;"",INDEX('Flight Rates'!$G:$G,$Y97),IF($Z97="NO TARIFF LOADED","No tariff","No rate"))))</f>
        <v/>
      </c>
      <c r="D97" s="7" t="str">
        <f>IF($X97="","",INDEX('Raw Data'!$F:$F,$X97))</f>
        <v/>
      </c>
      <c r="E97" s="10" t="str">
        <f>IF($Y97="","",IF(INDEX('Flight Rates'!$K:$K,$Y97)="","",INDEX('Flight Rates'!$K:$K,$Y97)+N($T97)+N($U97)))</f>
        <v/>
      </c>
      <c r="F97" s="10" t="str">
        <f>IF($Y97="","",IF(INDEX('Flight Rates'!$L:$L,$Y97)="","",INDEX('Flight Rates'!$L:$L,$Y97)+N($T97)+N($U97)))</f>
        <v/>
      </c>
      <c r="T97" t="str">
        <f>IF($Y97="","",N(INDEX('Flight Rates'!$S:$S,$Y97)))</f>
        <v/>
      </c>
      <c r="U97" t="str">
        <f>IF(OR($Y97="",$C97="No tariff",$C97="No rate"),"",IFERROR(N(INDEX('Add-on Rates'!$C:$C,MATCH($A97,'Add-on Rates'!$A:$A,0))),0))</f>
        <v/>
      </c>
      <c r="X97" t="str">
        <f>IFERROR(SMALL('Raw Data'!$O$2:$O$1680,86),"")</f>
        <v/>
      </c>
      <c r="Y97" t="str">
        <f>IF($X97="","",IFERROR(MATCH($B$3&amp;"|"&amp;$G$3&amp;"|"&amp;$B97&amp;"|"&amp;$D97,'Flight Rates'!$A:$A,0),""))</f>
        <v/>
      </c>
      <c r="Z97" t="str">
        <f>IF($Y97="","",INDEX('Flight Rates'!$P:$P,$Y97))</f>
        <v/>
      </c>
    </row>
    <row r="98" spans="1:26" x14ac:dyDescent="0.25">
      <c r="A98" s="6" t="str">
        <f>IF($X98="","",INDEX('Raw Data'!$D:$D,$X98))</f>
        <v/>
      </c>
      <c r="B98" s="6" t="str">
        <f>IF($X98="","",INDEX('Raw Data'!$E:$E,$X98))</f>
        <v/>
      </c>
      <c r="C98" s="9" t="str">
        <f>IF($X98="","",IF($Y98="","Not linked",IF(INDEX('Flight Rates'!$G:$G,$Y98)&lt;&gt;"",INDEX('Flight Rates'!$G:$G,$Y98),IF($Z98="NO TARIFF LOADED","No tariff","No rate"))))</f>
        <v/>
      </c>
      <c r="D98" s="7" t="str">
        <f>IF($X98="","",INDEX('Raw Data'!$F:$F,$X98))</f>
        <v/>
      </c>
      <c r="E98" s="10" t="str">
        <f>IF($Y98="","",IF(INDEX('Flight Rates'!$K:$K,$Y98)="","",INDEX('Flight Rates'!$K:$K,$Y98)+N($T98)+N($U98)))</f>
        <v/>
      </c>
      <c r="F98" s="10" t="str">
        <f>IF($Y98="","",IF(INDEX('Flight Rates'!$L:$L,$Y98)="","",INDEX('Flight Rates'!$L:$L,$Y98)+N($T98)+N($U98)))</f>
        <v/>
      </c>
      <c r="T98" t="str">
        <f>IF($Y98="","",N(INDEX('Flight Rates'!$S:$S,$Y98)))</f>
        <v/>
      </c>
      <c r="U98" t="str">
        <f>IF(OR($Y98="",$C98="No tariff",$C98="No rate"),"",IFERROR(N(INDEX('Add-on Rates'!$C:$C,MATCH($A98,'Add-on Rates'!$A:$A,0))),0))</f>
        <v/>
      </c>
      <c r="X98" t="str">
        <f>IFERROR(SMALL('Raw Data'!$O$2:$O$1680,87),"")</f>
        <v/>
      </c>
      <c r="Y98" t="str">
        <f>IF($X98="","",IFERROR(MATCH($B$3&amp;"|"&amp;$G$3&amp;"|"&amp;$B98&amp;"|"&amp;$D98,'Flight Rates'!$A:$A,0),""))</f>
        <v/>
      </c>
      <c r="Z98" t="str">
        <f>IF($Y98="","",INDEX('Flight Rates'!$P:$P,$Y98))</f>
        <v/>
      </c>
    </row>
    <row r="99" spans="1:26" x14ac:dyDescent="0.25">
      <c r="A99" s="6" t="str">
        <f>IF($X99="","",INDEX('Raw Data'!$D:$D,$X99))</f>
        <v/>
      </c>
      <c r="B99" s="6" t="str">
        <f>IF($X99="","",INDEX('Raw Data'!$E:$E,$X99))</f>
        <v/>
      </c>
      <c r="C99" s="9" t="str">
        <f>IF($X99="","",IF($Y99="","Not linked",IF(INDEX('Flight Rates'!$G:$G,$Y99)&lt;&gt;"",INDEX('Flight Rates'!$G:$G,$Y99),IF($Z99="NO TARIFF LOADED","No tariff","No rate"))))</f>
        <v/>
      </c>
      <c r="D99" s="7" t="str">
        <f>IF($X99="","",INDEX('Raw Data'!$F:$F,$X99))</f>
        <v/>
      </c>
      <c r="E99" s="10" t="str">
        <f>IF($Y99="","",IF(INDEX('Flight Rates'!$K:$K,$Y99)="","",INDEX('Flight Rates'!$K:$K,$Y99)+N($T99)+N($U99)))</f>
        <v/>
      </c>
      <c r="F99" s="10" t="str">
        <f>IF($Y99="","",IF(INDEX('Flight Rates'!$L:$L,$Y99)="","",INDEX('Flight Rates'!$L:$L,$Y99)+N($T99)+N($U99)))</f>
        <v/>
      </c>
      <c r="T99" t="str">
        <f>IF($Y99="","",N(INDEX('Flight Rates'!$S:$S,$Y99)))</f>
        <v/>
      </c>
      <c r="U99" t="str">
        <f>IF(OR($Y99="",$C99="No tariff",$C99="No rate"),"",IFERROR(N(INDEX('Add-on Rates'!$C:$C,MATCH($A99,'Add-on Rates'!$A:$A,0))),0))</f>
        <v/>
      </c>
      <c r="X99" t="str">
        <f>IFERROR(SMALL('Raw Data'!$O$2:$O$1680,88),"")</f>
        <v/>
      </c>
      <c r="Y99" t="str">
        <f>IF($X99="","",IFERROR(MATCH($B$3&amp;"|"&amp;$G$3&amp;"|"&amp;$B99&amp;"|"&amp;$D99,'Flight Rates'!$A:$A,0),""))</f>
        <v/>
      </c>
      <c r="Z99" t="str">
        <f>IF($Y99="","",INDEX('Flight Rates'!$P:$P,$Y99))</f>
        <v/>
      </c>
    </row>
    <row r="100" spans="1:26" x14ac:dyDescent="0.25">
      <c r="A100" s="6" t="str">
        <f>IF($X100="","",INDEX('Raw Data'!$D:$D,$X100))</f>
        <v/>
      </c>
      <c r="B100" s="6" t="str">
        <f>IF($X100="","",INDEX('Raw Data'!$E:$E,$X100))</f>
        <v/>
      </c>
      <c r="C100" s="9" t="str">
        <f>IF($X100="","",IF($Y100="","Not linked",IF(INDEX('Flight Rates'!$G:$G,$Y100)&lt;&gt;"",INDEX('Flight Rates'!$G:$G,$Y100),IF($Z100="NO TARIFF LOADED","No tariff","No rate"))))</f>
        <v/>
      </c>
      <c r="D100" s="7" t="str">
        <f>IF($X100="","",INDEX('Raw Data'!$F:$F,$X100))</f>
        <v/>
      </c>
      <c r="E100" s="10" t="str">
        <f>IF($Y100="","",IF(INDEX('Flight Rates'!$K:$K,$Y100)="","",INDEX('Flight Rates'!$K:$K,$Y100)+N($T100)+N($U100)))</f>
        <v/>
      </c>
      <c r="F100" s="10" t="str">
        <f>IF($Y100="","",IF(INDEX('Flight Rates'!$L:$L,$Y100)="","",INDEX('Flight Rates'!$L:$L,$Y100)+N($T100)+N($U100)))</f>
        <v/>
      </c>
      <c r="T100" t="str">
        <f>IF($Y100="","",N(INDEX('Flight Rates'!$S:$S,$Y100)))</f>
        <v/>
      </c>
      <c r="U100" t="str">
        <f>IF(OR($Y100="",$C100="No tariff",$C100="No rate"),"",IFERROR(N(INDEX('Add-on Rates'!$C:$C,MATCH($A100,'Add-on Rates'!$A:$A,0))),0))</f>
        <v/>
      </c>
      <c r="X100" t="str">
        <f>IFERROR(SMALL('Raw Data'!$O$2:$O$1680,89),"")</f>
        <v/>
      </c>
      <c r="Y100" t="str">
        <f>IF($X100="","",IFERROR(MATCH($B$3&amp;"|"&amp;$G$3&amp;"|"&amp;$B100&amp;"|"&amp;$D100,'Flight Rates'!$A:$A,0),""))</f>
        <v/>
      </c>
      <c r="Z100" t="str">
        <f>IF($Y100="","",INDEX('Flight Rates'!$P:$P,$Y100))</f>
        <v/>
      </c>
    </row>
    <row r="101" spans="1:26" x14ac:dyDescent="0.25">
      <c r="A101" s="6" t="str">
        <f>IF($X101="","",INDEX('Raw Data'!$D:$D,$X101))</f>
        <v/>
      </c>
      <c r="B101" s="6" t="str">
        <f>IF($X101="","",INDEX('Raw Data'!$E:$E,$X101))</f>
        <v/>
      </c>
      <c r="C101" s="9" t="str">
        <f>IF($X101="","",IF($Y101="","Not linked",IF(INDEX('Flight Rates'!$G:$G,$Y101)&lt;&gt;"",INDEX('Flight Rates'!$G:$G,$Y101),IF($Z101="NO TARIFF LOADED","No tariff","No rate"))))</f>
        <v/>
      </c>
      <c r="D101" s="7" t="str">
        <f>IF($X101="","",INDEX('Raw Data'!$F:$F,$X101))</f>
        <v/>
      </c>
      <c r="E101" s="10" t="str">
        <f>IF($Y101="","",IF(INDEX('Flight Rates'!$K:$K,$Y101)="","",INDEX('Flight Rates'!$K:$K,$Y101)+N($T101)+N($U101)))</f>
        <v/>
      </c>
      <c r="F101" s="10" t="str">
        <f>IF($Y101="","",IF(INDEX('Flight Rates'!$L:$L,$Y101)="","",INDEX('Flight Rates'!$L:$L,$Y101)+N($T101)+N($U101)))</f>
        <v/>
      </c>
      <c r="T101" t="str">
        <f>IF($Y101="","",N(INDEX('Flight Rates'!$S:$S,$Y101)))</f>
        <v/>
      </c>
      <c r="U101" t="str">
        <f>IF(OR($Y101="",$C101="No tariff",$C101="No rate"),"",IFERROR(N(INDEX('Add-on Rates'!$C:$C,MATCH($A101,'Add-on Rates'!$A:$A,0))),0))</f>
        <v/>
      </c>
      <c r="X101" t="str">
        <f>IFERROR(SMALL('Raw Data'!$O$2:$O$1680,90),"")</f>
        <v/>
      </c>
      <c r="Y101" t="str">
        <f>IF($X101="","",IFERROR(MATCH($B$3&amp;"|"&amp;$G$3&amp;"|"&amp;$B101&amp;"|"&amp;$D101,'Flight Rates'!$A:$A,0),""))</f>
        <v/>
      </c>
      <c r="Z101" t="str">
        <f>IF($Y101="","",INDEX('Flight Rates'!$P:$P,$Y101))</f>
        <v/>
      </c>
    </row>
    <row r="103" spans="1:26" ht="36" customHeight="1" x14ac:dyDescent="0.25">
      <c r="A103" s="28" t="s">
        <v>16</v>
      </c>
      <c r="B103" s="29"/>
      <c r="C103" s="30"/>
      <c r="D103" s="29"/>
      <c r="E103" s="30"/>
      <c r="F103" s="30"/>
      <c r="G103" s="30"/>
      <c r="H103" s="30"/>
      <c r="I103" s="30"/>
      <c r="J103" s="30"/>
      <c r="K103" s="29"/>
    </row>
  </sheetData>
  <mergeCells count="21">
    <mergeCell ref="A8:K8"/>
    <mergeCell ref="D10:D11"/>
    <mergeCell ref="A4:K4"/>
    <mergeCell ref="C3:D3"/>
    <mergeCell ref="E3:F3"/>
    <mergeCell ref="A5:D5"/>
    <mergeCell ref="E5:F5"/>
    <mergeCell ref="C10:C11"/>
    <mergeCell ref="A103:K103"/>
    <mergeCell ref="A1:K1"/>
    <mergeCell ref="E10:F10"/>
    <mergeCell ref="I5:K5"/>
    <mergeCell ref="G6:H6"/>
    <mergeCell ref="B10:B11"/>
    <mergeCell ref="H3:J3"/>
    <mergeCell ref="E6:F6"/>
    <mergeCell ref="A6:D6"/>
    <mergeCell ref="G5:H5"/>
    <mergeCell ref="A2:K2"/>
    <mergeCell ref="A10:A11"/>
    <mergeCell ref="I6:K6"/>
  </mergeCells>
  <conditionalFormatting sqref="A12:F101">
    <cfRule type="expression" dxfId="5" priority="3">
      <formula>ISEVEN(ROW())</formula>
    </cfRule>
  </conditionalFormatting>
  <conditionalFormatting sqref="C12:C101">
    <cfRule type="expression" dxfId="4" priority="1" stopIfTrue="1">
      <formula>$Z12="CHECK"</formula>
    </cfRule>
    <cfRule type="expression" dxfId="3" priority="2">
      <formula>OR($C12="No tariff",$C12="No rate",$C12="Not linked")</formula>
    </cfRule>
  </conditionalFormatting>
  <conditionalFormatting sqref="I5:K6">
    <cfRule type="expression" dxfId="2" priority="4">
      <formula>$I$6="ACTIVE"</formula>
    </cfRule>
    <cfRule type="expression" dxfId="1" priority="5">
      <formula>$I$6="NO SERVICE"</formula>
    </cfRule>
    <cfRule type="expression" dxfId="0" priority="6">
      <formula>$I$6="SAME CITY"</formula>
    </cfRule>
  </conditionalFormatting>
  <pageMargins left="0.75" right="0.75" top="1" bottom="1" header="0.511811023622047" footer="0.511811023622047"/>
  <pageSetup fitToHeight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errorTitle="Invalid Origin" error="Please choose a valid ATC city from the list." xr:uid="{00000000-0002-0000-0000-000000000000}">
          <x14:formula1>
            <xm:f>Lists!$D$2:$D$9</xm:f>
          </x14:formula1>
          <xm:sqref>B3</xm:sqref>
        </x14:dataValidation>
        <x14:dataValidation type="list" showErrorMessage="1" errorTitle="Invalid Destination" error="Please choose a valid destination city from the list." xr:uid="{00000000-0002-0000-0000-000001000000}">
          <x14:formula1>
            <xm:f>Lists!$F$2:$F$36</xm:f>
          </x14:formula1>
          <xm:sqref>G3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5" x14ac:dyDescent="0.25"/>
  <cols>
    <col min="1" max="1" width="22" customWidth="1"/>
    <col min="2" max="2" width="28" customWidth="1"/>
    <col min="3" max="3" width="13" customWidth="1"/>
    <col min="4" max="4" width="40" customWidth="1"/>
  </cols>
  <sheetData>
    <row r="1" spans="1:4" ht="30" customHeight="1" x14ac:dyDescent="0.25">
      <c r="A1" s="11" t="s">
        <v>17</v>
      </c>
      <c r="B1" s="11" t="s">
        <v>18</v>
      </c>
      <c r="C1" s="11" t="s">
        <v>19</v>
      </c>
      <c r="D1" s="11" t="s">
        <v>20</v>
      </c>
    </row>
    <row r="2" spans="1:4" x14ac:dyDescent="0.25">
      <c r="A2" t="s">
        <v>21</v>
      </c>
      <c r="B2" t="s">
        <v>22</v>
      </c>
      <c r="C2" s="12">
        <v>15.51</v>
      </c>
      <c r="D2" t="s">
        <v>23</v>
      </c>
    </row>
    <row r="3" spans="1:4" x14ac:dyDescent="0.25">
      <c r="A3" t="s">
        <v>24</v>
      </c>
      <c r="B3" t="s">
        <v>25</v>
      </c>
      <c r="C3" s="12">
        <v>17.95</v>
      </c>
      <c r="D3" t="s">
        <v>23</v>
      </c>
    </row>
    <row r="4" spans="1:4" x14ac:dyDescent="0.25">
      <c r="A4" t="s">
        <v>26</v>
      </c>
      <c r="B4" t="s">
        <v>27</v>
      </c>
      <c r="C4" s="12">
        <v>13.52</v>
      </c>
      <c r="D4" t="s">
        <v>23</v>
      </c>
    </row>
    <row r="5" spans="1:4" x14ac:dyDescent="0.25">
      <c r="A5" t="s">
        <v>29</v>
      </c>
      <c r="B5" t="s">
        <v>30</v>
      </c>
      <c r="C5" s="12">
        <v>24</v>
      </c>
      <c r="D5" t="s">
        <v>23</v>
      </c>
    </row>
    <row r="8" spans="1:4" x14ac:dyDescent="0.25">
      <c r="A8" s="13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80"/>
  <sheetViews>
    <sheetView topLeftCell="A10" zoomScaleNormal="100" workbookViewId="0">
      <selection activeCell="D12" sqref="D12"/>
    </sheetView>
  </sheetViews>
  <sheetFormatPr defaultColWidth="8.7109375" defaultRowHeight="15" x14ac:dyDescent="0.25"/>
  <cols>
    <col min="4" max="4" width="15.5703125" customWidth="1"/>
    <col min="5" max="5" width="13.7109375" customWidth="1"/>
    <col min="15" max="15" width="13" hidden="1" customWidth="1"/>
  </cols>
  <sheetData>
    <row r="1" spans="1:15" x14ac:dyDescent="0.25">
      <c r="A1" s="1" t="s">
        <v>32</v>
      </c>
      <c r="B1" s="1" t="s">
        <v>33</v>
      </c>
      <c r="C1" s="1" t="s">
        <v>34</v>
      </c>
      <c r="D1" s="1" t="s">
        <v>18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2" t="s">
        <v>45</v>
      </c>
    </row>
    <row r="2" spans="1:15" x14ac:dyDescent="0.25">
      <c r="A2" t="s">
        <v>2</v>
      </c>
      <c r="B2" t="s">
        <v>46</v>
      </c>
      <c r="C2" t="s">
        <v>47</v>
      </c>
      <c r="D2" t="s">
        <v>24</v>
      </c>
      <c r="E2" t="s">
        <v>48</v>
      </c>
      <c r="F2" t="s">
        <v>49</v>
      </c>
      <c r="G2">
        <v>1</v>
      </c>
      <c r="H2">
        <v>0</v>
      </c>
      <c r="I2">
        <v>1</v>
      </c>
      <c r="J2">
        <v>0</v>
      </c>
      <c r="K2">
        <v>1</v>
      </c>
      <c r="L2">
        <v>1</v>
      </c>
      <c r="M2">
        <v>1</v>
      </c>
      <c r="N2">
        <f t="shared" ref="N2:N65" si="0">SUM(G2:M2)</f>
        <v>5</v>
      </c>
      <c r="O2" t="str">
        <f>IF(AND($A2=Dashboard!$B$3,$B2=Dashboard!$G$3,$D2&lt;&gt;"NO_SERVICE"),ROW(),"")</f>
        <v/>
      </c>
    </row>
    <row r="3" spans="1:15" x14ac:dyDescent="0.25">
      <c r="A3" t="s">
        <v>2</v>
      </c>
      <c r="B3" t="s">
        <v>50</v>
      </c>
      <c r="C3" t="s">
        <v>51</v>
      </c>
      <c r="D3" t="s">
        <v>52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f t="shared" si="0"/>
        <v>0</v>
      </c>
      <c r="O3" t="str">
        <f>IF(AND($A3=Dashboard!$B$3,$B3=Dashboard!$G$3,$D3&lt;&gt;"NO_SERVICE"),ROW(),"")</f>
        <v/>
      </c>
    </row>
    <row r="4" spans="1:15" x14ac:dyDescent="0.25">
      <c r="A4" t="s">
        <v>2</v>
      </c>
      <c r="B4" t="s">
        <v>53</v>
      </c>
      <c r="C4" t="s">
        <v>54</v>
      </c>
      <c r="D4" t="s">
        <v>24</v>
      </c>
      <c r="E4" t="s">
        <v>55</v>
      </c>
      <c r="F4" t="s">
        <v>56</v>
      </c>
      <c r="G4">
        <v>1</v>
      </c>
      <c r="H4">
        <v>0</v>
      </c>
      <c r="I4">
        <v>1</v>
      </c>
      <c r="J4">
        <v>0</v>
      </c>
      <c r="K4">
        <v>1</v>
      </c>
      <c r="L4">
        <v>1</v>
      </c>
      <c r="M4">
        <v>1</v>
      </c>
      <c r="N4">
        <f t="shared" si="0"/>
        <v>5</v>
      </c>
      <c r="O4" t="str">
        <f>IF(AND($A4=Dashboard!$B$3,$B4=Dashboard!$G$3,$D4&lt;&gt;"NO_SERVICE"),ROW(),"")</f>
        <v/>
      </c>
    </row>
    <row r="5" spans="1:15" x14ac:dyDescent="0.25">
      <c r="A5" t="s">
        <v>2</v>
      </c>
      <c r="B5" t="s">
        <v>57</v>
      </c>
      <c r="C5" t="s">
        <v>58</v>
      </c>
      <c r="D5" t="s">
        <v>24</v>
      </c>
      <c r="E5" t="s">
        <v>59</v>
      </c>
      <c r="F5" t="s">
        <v>60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f t="shared" si="0"/>
        <v>6</v>
      </c>
      <c r="O5" t="str">
        <f>IF(AND($A5=Dashboard!$B$3,$B5=Dashboard!$G$3,$D5&lt;&gt;"NO_SERVICE"),ROW(),"")</f>
        <v/>
      </c>
    </row>
    <row r="6" spans="1:15" x14ac:dyDescent="0.25">
      <c r="A6" t="s">
        <v>2</v>
      </c>
      <c r="B6" t="s">
        <v>57</v>
      </c>
      <c r="C6" t="s">
        <v>58</v>
      </c>
      <c r="D6" t="s">
        <v>24</v>
      </c>
      <c r="E6" t="s">
        <v>61</v>
      </c>
      <c r="F6" t="s">
        <v>62</v>
      </c>
      <c r="G6">
        <v>1</v>
      </c>
      <c r="H6">
        <v>1</v>
      </c>
      <c r="I6">
        <v>0</v>
      </c>
      <c r="J6">
        <v>1</v>
      </c>
      <c r="K6">
        <v>1</v>
      </c>
      <c r="L6">
        <v>0</v>
      </c>
      <c r="M6">
        <v>1</v>
      </c>
      <c r="N6">
        <f t="shared" si="0"/>
        <v>5</v>
      </c>
      <c r="O6" t="str">
        <f>IF(AND($A6=Dashboard!$B$3,$B6=Dashboard!$G$3,$D6&lt;&gt;"NO_SERVICE"),ROW(),"")</f>
        <v/>
      </c>
    </row>
    <row r="7" spans="1:15" x14ac:dyDescent="0.25">
      <c r="A7" t="s">
        <v>2</v>
      </c>
      <c r="B7" t="s">
        <v>63</v>
      </c>
      <c r="C7" t="s">
        <v>64</v>
      </c>
      <c r="D7" t="s">
        <v>24</v>
      </c>
      <c r="E7" t="s">
        <v>65</v>
      </c>
      <c r="F7" t="s">
        <v>66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f t="shared" si="0"/>
        <v>7</v>
      </c>
      <c r="O7" t="str">
        <f>IF(AND($A7=Dashboard!$B$3,$B7=Dashboard!$G$3,$D7&lt;&gt;"NO_SERVICE"),ROW(),"")</f>
        <v/>
      </c>
    </row>
    <row r="8" spans="1:15" x14ac:dyDescent="0.25">
      <c r="A8" t="s">
        <v>2</v>
      </c>
      <c r="B8" t="s">
        <v>67</v>
      </c>
      <c r="C8" t="s">
        <v>68</v>
      </c>
      <c r="D8" t="s">
        <v>24</v>
      </c>
      <c r="E8" t="s">
        <v>69</v>
      </c>
      <c r="F8" t="s">
        <v>70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f t="shared" si="0"/>
        <v>7</v>
      </c>
      <c r="O8" t="str">
        <f>IF(AND($A8=Dashboard!$B$3,$B8=Dashboard!$G$3,$D8&lt;&gt;"NO_SERVICE"),ROW(),"")</f>
        <v/>
      </c>
    </row>
    <row r="9" spans="1:15" x14ac:dyDescent="0.25">
      <c r="A9" t="s">
        <v>2</v>
      </c>
      <c r="B9" t="s">
        <v>67</v>
      </c>
      <c r="C9" t="s">
        <v>68</v>
      </c>
      <c r="D9" t="s">
        <v>24</v>
      </c>
      <c r="E9" t="s">
        <v>71</v>
      </c>
      <c r="F9" t="s">
        <v>72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f t="shared" si="0"/>
        <v>7</v>
      </c>
      <c r="O9" t="str">
        <f>IF(AND($A9=Dashboard!$B$3,$B9=Dashboard!$G$3,$D9&lt;&gt;"NO_SERVICE"),ROW(),"")</f>
        <v/>
      </c>
    </row>
    <row r="10" spans="1:15" x14ac:dyDescent="0.25">
      <c r="A10" t="s">
        <v>2</v>
      </c>
      <c r="B10" t="s">
        <v>73</v>
      </c>
      <c r="C10" t="s">
        <v>74</v>
      </c>
      <c r="D10" t="s">
        <v>26</v>
      </c>
      <c r="E10" t="s">
        <v>75</v>
      </c>
      <c r="F10" t="s">
        <v>76</v>
      </c>
      <c r="G10">
        <v>1</v>
      </c>
      <c r="H10">
        <v>0</v>
      </c>
      <c r="I10">
        <v>1</v>
      </c>
      <c r="J10">
        <v>0</v>
      </c>
      <c r="K10">
        <v>1</v>
      </c>
      <c r="L10">
        <v>0</v>
      </c>
      <c r="M10">
        <v>1</v>
      </c>
      <c r="N10">
        <f t="shared" si="0"/>
        <v>4</v>
      </c>
      <c r="O10" t="str">
        <f>IF(AND($A10=Dashboard!$B$3,$B10=Dashboard!$G$3,$D10&lt;&gt;"NO_SERVICE"),ROW(),"")</f>
        <v/>
      </c>
    </row>
    <row r="11" spans="1:15" x14ac:dyDescent="0.25">
      <c r="A11" t="s">
        <v>2</v>
      </c>
      <c r="B11" t="s">
        <v>73</v>
      </c>
      <c r="C11" t="s">
        <v>74</v>
      </c>
      <c r="D11" t="s">
        <v>26</v>
      </c>
      <c r="E11" t="s">
        <v>77</v>
      </c>
      <c r="F11" t="s">
        <v>78</v>
      </c>
      <c r="G11">
        <v>0</v>
      </c>
      <c r="H11">
        <v>1</v>
      </c>
      <c r="I11">
        <v>0</v>
      </c>
      <c r="J11">
        <v>1</v>
      </c>
      <c r="K11">
        <v>0</v>
      </c>
      <c r="L11">
        <v>0</v>
      </c>
      <c r="M11">
        <v>0</v>
      </c>
      <c r="N11">
        <f t="shared" si="0"/>
        <v>2</v>
      </c>
      <c r="O11" t="str">
        <f>IF(AND($A11=Dashboard!$B$3,$B11=Dashboard!$G$3,$D11&lt;&gt;"NO_SERVICE"),ROW(),"")</f>
        <v/>
      </c>
    </row>
    <row r="12" spans="1:15" x14ac:dyDescent="0.25">
      <c r="A12" t="s">
        <v>2</v>
      </c>
      <c r="B12" t="s">
        <v>79</v>
      </c>
      <c r="C12" t="s">
        <v>80</v>
      </c>
      <c r="D12" t="s">
        <v>52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f t="shared" si="0"/>
        <v>0</v>
      </c>
      <c r="O12" t="str">
        <f>IF(AND($A12=Dashboard!$B$3,$B12=Dashboard!$G$3,$D12&lt;&gt;"NO_SERVICE"),ROW(),"")</f>
        <v/>
      </c>
    </row>
    <row r="13" spans="1:15" x14ac:dyDescent="0.25">
      <c r="A13" t="s">
        <v>2</v>
      </c>
      <c r="B13" t="s">
        <v>81</v>
      </c>
      <c r="C13" t="s">
        <v>82</v>
      </c>
      <c r="D13" t="s">
        <v>52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f t="shared" si="0"/>
        <v>0</v>
      </c>
      <c r="O13" t="str">
        <f>IF(AND($A13=Dashboard!$B$3,$B13=Dashboard!$G$3,$D13&lt;&gt;"NO_SERVICE"),ROW(),"")</f>
        <v/>
      </c>
    </row>
    <row r="14" spans="1:15" x14ac:dyDescent="0.25">
      <c r="A14" t="s">
        <v>2</v>
      </c>
      <c r="B14" t="s">
        <v>83</v>
      </c>
      <c r="C14" t="s">
        <v>84</v>
      </c>
      <c r="D14" t="s">
        <v>24</v>
      </c>
      <c r="E14" t="s">
        <v>85</v>
      </c>
      <c r="F14" t="s">
        <v>86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f t="shared" si="0"/>
        <v>7</v>
      </c>
      <c r="O14" t="str">
        <f>IF(AND($A14=Dashboard!$B$3,$B14=Dashboard!$G$3,$D14&lt;&gt;"NO_SERVICE"),ROW(),"")</f>
        <v/>
      </c>
    </row>
    <row r="15" spans="1:15" x14ac:dyDescent="0.25">
      <c r="A15" t="s">
        <v>2</v>
      </c>
      <c r="B15" t="s">
        <v>83</v>
      </c>
      <c r="C15" t="s">
        <v>84</v>
      </c>
      <c r="D15" t="s">
        <v>24</v>
      </c>
      <c r="E15" t="s">
        <v>87</v>
      </c>
      <c r="F15" t="s">
        <v>88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f t="shared" si="0"/>
        <v>7</v>
      </c>
      <c r="O15" t="str">
        <f>IF(AND($A15=Dashboard!$B$3,$B15=Dashboard!$G$3,$D15&lt;&gt;"NO_SERVICE"),ROW(),"")</f>
        <v/>
      </c>
    </row>
    <row r="16" spans="1:15" x14ac:dyDescent="0.25">
      <c r="A16" t="s">
        <v>2</v>
      </c>
      <c r="B16" t="s">
        <v>83</v>
      </c>
      <c r="C16" t="s">
        <v>84</v>
      </c>
      <c r="D16" t="s">
        <v>24</v>
      </c>
      <c r="E16" t="s">
        <v>89</v>
      </c>
      <c r="F16" t="s">
        <v>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f t="shared" si="0"/>
        <v>7</v>
      </c>
      <c r="O16" t="str">
        <f>IF(AND($A16=Dashboard!$B$3,$B16=Dashboard!$G$3,$D16&lt;&gt;"NO_SERVICE"),ROW(),"")</f>
        <v/>
      </c>
    </row>
    <row r="17" spans="1:15" x14ac:dyDescent="0.25">
      <c r="A17" t="s">
        <v>2</v>
      </c>
      <c r="B17" t="s">
        <v>91</v>
      </c>
      <c r="C17" t="s">
        <v>92</v>
      </c>
      <c r="D17" t="s">
        <v>24</v>
      </c>
      <c r="E17" t="s">
        <v>93</v>
      </c>
      <c r="F17" t="s">
        <v>94</v>
      </c>
      <c r="G17">
        <v>1</v>
      </c>
      <c r="H17">
        <v>1</v>
      </c>
      <c r="I17">
        <v>0</v>
      </c>
      <c r="J17">
        <v>1</v>
      </c>
      <c r="K17">
        <v>1</v>
      </c>
      <c r="L17">
        <v>1</v>
      </c>
      <c r="M17">
        <v>1</v>
      </c>
      <c r="N17">
        <f t="shared" si="0"/>
        <v>6</v>
      </c>
      <c r="O17" t="str">
        <f>IF(AND($A17=Dashboard!$B$3,$B17=Dashboard!$G$3,$D17&lt;&gt;"NO_SERVICE"),ROW(),"")</f>
        <v/>
      </c>
    </row>
    <row r="18" spans="1:15" x14ac:dyDescent="0.25">
      <c r="A18" t="s">
        <v>2</v>
      </c>
      <c r="B18" t="s">
        <v>91</v>
      </c>
      <c r="C18" t="s">
        <v>92</v>
      </c>
      <c r="D18" t="s">
        <v>24</v>
      </c>
      <c r="E18" t="s">
        <v>95</v>
      </c>
      <c r="F18" t="s">
        <v>96</v>
      </c>
      <c r="G18">
        <v>0</v>
      </c>
      <c r="H18">
        <v>1</v>
      </c>
      <c r="I18">
        <v>0</v>
      </c>
      <c r="J18">
        <v>0</v>
      </c>
      <c r="K18">
        <v>1</v>
      </c>
      <c r="L18">
        <v>1</v>
      </c>
      <c r="M18">
        <v>1</v>
      </c>
      <c r="N18">
        <f t="shared" si="0"/>
        <v>4</v>
      </c>
      <c r="O18" t="str">
        <f>IF(AND($A18=Dashboard!$B$3,$B18=Dashboard!$G$3,$D18&lt;&gt;"NO_SERVICE"),ROW(),"")</f>
        <v/>
      </c>
    </row>
    <row r="19" spans="1:15" x14ac:dyDescent="0.25">
      <c r="A19" t="s">
        <v>2</v>
      </c>
      <c r="B19" t="s">
        <v>97</v>
      </c>
      <c r="C19" t="s">
        <v>98</v>
      </c>
      <c r="D19" t="s">
        <v>24</v>
      </c>
      <c r="E19" t="s">
        <v>99</v>
      </c>
      <c r="F19" t="s">
        <v>100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f t="shared" si="0"/>
        <v>7</v>
      </c>
      <c r="O19" t="str">
        <f>IF(AND($A19=Dashboard!$B$3,$B19=Dashboard!$G$3,$D19&lt;&gt;"NO_SERVICE"),ROW(),"")</f>
        <v/>
      </c>
    </row>
    <row r="20" spans="1:15" x14ac:dyDescent="0.25">
      <c r="A20" t="s">
        <v>2</v>
      </c>
      <c r="B20" t="s">
        <v>97</v>
      </c>
      <c r="C20" t="s">
        <v>98</v>
      </c>
      <c r="D20" t="s">
        <v>24</v>
      </c>
      <c r="E20" t="s">
        <v>101</v>
      </c>
      <c r="F20" t="s">
        <v>102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f t="shared" si="0"/>
        <v>7</v>
      </c>
      <c r="O20" t="str">
        <f>IF(AND($A20=Dashboard!$B$3,$B20=Dashboard!$G$3,$D20&lt;&gt;"NO_SERVICE"),ROW(),"")</f>
        <v/>
      </c>
    </row>
    <row r="21" spans="1:15" x14ac:dyDescent="0.25">
      <c r="A21" t="s">
        <v>2</v>
      </c>
      <c r="B21" t="s">
        <v>103</v>
      </c>
      <c r="C21" t="s">
        <v>104</v>
      </c>
      <c r="D21" t="s">
        <v>24</v>
      </c>
      <c r="E21" t="s">
        <v>105</v>
      </c>
      <c r="F21" t="s">
        <v>106</v>
      </c>
      <c r="G21">
        <v>1</v>
      </c>
      <c r="H21">
        <v>1</v>
      </c>
      <c r="I21">
        <v>0</v>
      </c>
      <c r="J21">
        <v>1</v>
      </c>
      <c r="K21">
        <v>1</v>
      </c>
      <c r="L21">
        <v>1</v>
      </c>
      <c r="M21">
        <v>1</v>
      </c>
      <c r="N21">
        <f t="shared" si="0"/>
        <v>6</v>
      </c>
      <c r="O21" t="str">
        <f>IF(AND($A21=Dashboard!$B$3,$B21=Dashboard!$G$3,$D21&lt;&gt;"NO_SERVICE"),ROW(),"")</f>
        <v/>
      </c>
    </row>
    <row r="22" spans="1:15" x14ac:dyDescent="0.25">
      <c r="A22" t="s">
        <v>2</v>
      </c>
      <c r="B22" t="s">
        <v>103</v>
      </c>
      <c r="C22" t="s">
        <v>104</v>
      </c>
      <c r="D22" t="s">
        <v>24</v>
      </c>
      <c r="E22" t="s">
        <v>107</v>
      </c>
      <c r="F22" t="s">
        <v>108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f t="shared" si="0"/>
        <v>1</v>
      </c>
      <c r="O22" t="str">
        <f>IF(AND($A22=Dashboard!$B$3,$B22=Dashboard!$G$3,$D22&lt;&gt;"NO_SERVICE"),ROW(),"")</f>
        <v/>
      </c>
    </row>
    <row r="23" spans="1:15" x14ac:dyDescent="0.25">
      <c r="A23" t="s">
        <v>2</v>
      </c>
      <c r="B23" t="s">
        <v>109</v>
      </c>
      <c r="C23" t="s">
        <v>110</v>
      </c>
      <c r="D23" t="s">
        <v>24</v>
      </c>
      <c r="E23" t="s">
        <v>111</v>
      </c>
      <c r="F23" t="s">
        <v>112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f t="shared" si="0"/>
        <v>7</v>
      </c>
      <c r="O23" t="str">
        <f>IF(AND($A23=Dashboard!$B$3,$B23=Dashboard!$G$3,$D23&lt;&gt;"NO_SERVICE"),ROW(),"")</f>
        <v/>
      </c>
    </row>
    <row r="24" spans="1:15" x14ac:dyDescent="0.25">
      <c r="A24" t="s">
        <v>2</v>
      </c>
      <c r="B24" t="s">
        <v>113</v>
      </c>
      <c r="C24" t="s">
        <v>114</v>
      </c>
      <c r="D24" t="s">
        <v>24</v>
      </c>
      <c r="E24" t="s">
        <v>115</v>
      </c>
      <c r="F24" t="s">
        <v>76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f t="shared" si="0"/>
        <v>7</v>
      </c>
      <c r="O24" t="str">
        <f>IF(AND($A24=Dashboard!$B$3,$B24=Dashboard!$G$3,$D24&lt;&gt;"NO_SERVICE"),ROW(),"")</f>
        <v/>
      </c>
    </row>
    <row r="25" spans="1:15" x14ac:dyDescent="0.25">
      <c r="A25" t="s">
        <v>2</v>
      </c>
      <c r="B25" t="s">
        <v>116</v>
      </c>
      <c r="C25" t="s">
        <v>117</v>
      </c>
      <c r="D25" t="s">
        <v>24</v>
      </c>
      <c r="E25" t="s">
        <v>118</v>
      </c>
      <c r="F25" t="s">
        <v>119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f t="shared" si="0"/>
        <v>6</v>
      </c>
      <c r="O25" t="str">
        <f>IF(AND($A25=Dashboard!$B$3,$B25=Dashboard!$G$3,$D25&lt;&gt;"NO_SERVICE"),ROW(),"")</f>
        <v/>
      </c>
    </row>
    <row r="26" spans="1:15" x14ac:dyDescent="0.25">
      <c r="A26" t="s">
        <v>2</v>
      </c>
      <c r="B26" t="s">
        <v>116</v>
      </c>
      <c r="C26" t="s">
        <v>117</v>
      </c>
      <c r="D26" t="s">
        <v>24</v>
      </c>
      <c r="E26" t="s">
        <v>120</v>
      </c>
      <c r="F26" t="s">
        <v>121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f t="shared" si="0"/>
        <v>1</v>
      </c>
      <c r="O26" t="str">
        <f>IF(AND($A26=Dashboard!$B$3,$B26=Dashboard!$G$3,$D26&lt;&gt;"NO_SERVICE"),ROW(),"")</f>
        <v/>
      </c>
    </row>
    <row r="27" spans="1:15" x14ac:dyDescent="0.25">
      <c r="A27" t="s">
        <v>2</v>
      </c>
      <c r="B27" t="s">
        <v>122</v>
      </c>
      <c r="C27" t="s">
        <v>123</v>
      </c>
      <c r="D27" t="s">
        <v>52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f t="shared" si="0"/>
        <v>0</v>
      </c>
      <c r="O27" t="str">
        <f>IF(AND($A27=Dashboard!$B$3,$B27=Dashboard!$G$3,$D27&lt;&gt;"NO_SERVICE"),ROW(),"")</f>
        <v/>
      </c>
    </row>
    <row r="28" spans="1:15" x14ac:dyDescent="0.25">
      <c r="A28" t="s">
        <v>2</v>
      </c>
      <c r="B28" t="s">
        <v>124</v>
      </c>
      <c r="C28" t="s">
        <v>125</v>
      </c>
      <c r="D28" t="s">
        <v>24</v>
      </c>
      <c r="E28" t="s">
        <v>126</v>
      </c>
      <c r="F28" t="s">
        <v>127</v>
      </c>
      <c r="G28">
        <v>0</v>
      </c>
      <c r="H28">
        <v>0</v>
      </c>
      <c r="I28">
        <v>1</v>
      </c>
      <c r="J28">
        <v>0</v>
      </c>
      <c r="K28">
        <v>1</v>
      </c>
      <c r="L28">
        <v>0</v>
      </c>
      <c r="M28">
        <v>1</v>
      </c>
      <c r="N28">
        <f t="shared" si="0"/>
        <v>3</v>
      </c>
      <c r="O28" t="str">
        <f>IF(AND($A28=Dashboard!$B$3,$B28=Dashboard!$G$3,$D28&lt;&gt;"NO_SERVICE"),ROW(),"")</f>
        <v/>
      </c>
    </row>
    <row r="29" spans="1:15" x14ac:dyDescent="0.25">
      <c r="A29" t="s">
        <v>2</v>
      </c>
      <c r="B29" t="s">
        <v>128</v>
      </c>
      <c r="C29" t="s">
        <v>129</v>
      </c>
      <c r="D29" t="s">
        <v>24</v>
      </c>
      <c r="E29" t="s">
        <v>130</v>
      </c>
      <c r="F29" t="s">
        <v>131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f t="shared" si="0"/>
        <v>7</v>
      </c>
      <c r="O29" t="str">
        <f>IF(AND($A29=Dashboard!$B$3,$B29=Dashboard!$G$3,$D29&lt;&gt;"NO_SERVICE"),ROW(),"")</f>
        <v/>
      </c>
    </row>
    <row r="30" spans="1:15" x14ac:dyDescent="0.25">
      <c r="A30" t="s">
        <v>2</v>
      </c>
      <c r="B30" t="s">
        <v>132</v>
      </c>
      <c r="C30" t="s">
        <v>133</v>
      </c>
      <c r="D30" t="s">
        <v>52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f t="shared" si="0"/>
        <v>0</v>
      </c>
      <c r="O30" t="str">
        <f>IF(AND($A30=Dashboard!$B$3,$B30=Dashboard!$G$3,$D30&lt;&gt;"NO_SERVICE"),ROW(),"")</f>
        <v/>
      </c>
    </row>
    <row r="31" spans="1:15" x14ac:dyDescent="0.25">
      <c r="A31" t="s">
        <v>2</v>
      </c>
      <c r="B31" t="s">
        <v>134</v>
      </c>
      <c r="C31" t="s">
        <v>135</v>
      </c>
      <c r="D31" t="s">
        <v>24</v>
      </c>
      <c r="E31" t="s">
        <v>136</v>
      </c>
      <c r="F31" t="s">
        <v>137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f t="shared" si="0"/>
        <v>7</v>
      </c>
      <c r="O31" t="str">
        <f>IF(AND($A31=Dashboard!$B$3,$B31=Dashboard!$G$3,$D31&lt;&gt;"NO_SERVICE"),ROW(),"")</f>
        <v/>
      </c>
    </row>
    <row r="32" spans="1:15" x14ac:dyDescent="0.25">
      <c r="A32" t="s">
        <v>2</v>
      </c>
      <c r="B32" t="s">
        <v>138</v>
      </c>
      <c r="C32" t="s">
        <v>139</v>
      </c>
      <c r="D32" t="s">
        <v>52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f t="shared" si="0"/>
        <v>0</v>
      </c>
      <c r="O32" t="str">
        <f>IF(AND($A32=Dashboard!$B$3,$B32=Dashboard!$G$3,$D32&lt;&gt;"NO_SERVICE"),ROW(),"")</f>
        <v/>
      </c>
    </row>
    <row r="33" spans="1:15" x14ac:dyDescent="0.25">
      <c r="A33" t="s">
        <v>2</v>
      </c>
      <c r="B33" t="s">
        <v>140</v>
      </c>
      <c r="C33" t="s">
        <v>141</v>
      </c>
      <c r="D33" t="s">
        <v>24</v>
      </c>
      <c r="E33" t="s">
        <v>142</v>
      </c>
      <c r="F33" t="s">
        <v>143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f t="shared" si="0"/>
        <v>7</v>
      </c>
      <c r="O33" t="str">
        <f>IF(AND($A33=Dashboard!$B$3,$B33=Dashboard!$G$3,$D33&lt;&gt;"NO_SERVICE"),ROW(),"")</f>
        <v/>
      </c>
    </row>
    <row r="34" spans="1:15" x14ac:dyDescent="0.25">
      <c r="A34" t="s">
        <v>2</v>
      </c>
      <c r="B34" t="s">
        <v>144</v>
      </c>
      <c r="C34" t="s">
        <v>145</v>
      </c>
      <c r="D34" t="s">
        <v>24</v>
      </c>
      <c r="E34" t="s">
        <v>146</v>
      </c>
      <c r="F34" t="s">
        <v>147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f t="shared" si="0"/>
        <v>7</v>
      </c>
      <c r="O34" t="str">
        <f>IF(AND($A34=Dashboard!$B$3,$B34=Dashboard!$G$3,$D34&lt;&gt;"NO_SERVICE"),ROW(),"")</f>
        <v/>
      </c>
    </row>
    <row r="35" spans="1:15" x14ac:dyDescent="0.25">
      <c r="A35" t="s">
        <v>2</v>
      </c>
      <c r="B35" t="s">
        <v>148</v>
      </c>
      <c r="C35" t="s">
        <v>149</v>
      </c>
      <c r="D35" t="s">
        <v>52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f t="shared" si="0"/>
        <v>0</v>
      </c>
      <c r="O35" t="str">
        <f>IF(AND($A35=Dashboard!$B$3,$B35=Dashboard!$G$3,$D35&lt;&gt;"NO_SERVICE"),ROW(),"")</f>
        <v/>
      </c>
    </row>
    <row r="36" spans="1:15" x14ac:dyDescent="0.25">
      <c r="A36" t="s">
        <v>2</v>
      </c>
      <c r="B36" t="s">
        <v>150</v>
      </c>
      <c r="C36" t="s">
        <v>151</v>
      </c>
      <c r="D36" t="s">
        <v>52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f t="shared" si="0"/>
        <v>0</v>
      </c>
      <c r="O36" t="str">
        <f>IF(AND($A36=Dashboard!$B$3,$B36=Dashboard!$G$3,$D36&lt;&gt;"NO_SERVICE"),ROW(),"")</f>
        <v/>
      </c>
    </row>
    <row r="37" spans="1:15" x14ac:dyDescent="0.25">
      <c r="A37" t="s">
        <v>2</v>
      </c>
      <c r="B37" t="s">
        <v>152</v>
      </c>
      <c r="C37" t="s">
        <v>153</v>
      </c>
      <c r="D37" t="s">
        <v>52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f t="shared" si="0"/>
        <v>0</v>
      </c>
      <c r="O37" t="str">
        <f>IF(AND($A37=Dashboard!$B$3,$B37=Dashboard!$G$3,$D37&lt;&gt;"NO_SERVICE"),ROW(),"")</f>
        <v/>
      </c>
    </row>
    <row r="38" spans="1:15" x14ac:dyDescent="0.25">
      <c r="A38" t="s">
        <v>154</v>
      </c>
      <c r="B38" t="s">
        <v>46</v>
      </c>
      <c r="C38" t="s">
        <v>155</v>
      </c>
      <c r="D38" t="s">
        <v>24</v>
      </c>
      <c r="E38" t="s">
        <v>156</v>
      </c>
      <c r="F38" t="s">
        <v>157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f t="shared" si="0"/>
        <v>7</v>
      </c>
      <c r="O38" t="str">
        <f>IF(AND($A38=Dashboard!$B$3,$B38=Dashboard!$G$3,$D38&lt;&gt;"NO_SERVICE"),ROW(),"")</f>
        <v/>
      </c>
    </row>
    <row r="39" spans="1:15" x14ac:dyDescent="0.25">
      <c r="A39" t="s">
        <v>154</v>
      </c>
      <c r="B39" t="s">
        <v>46</v>
      </c>
      <c r="C39" t="s">
        <v>155</v>
      </c>
      <c r="D39" t="s">
        <v>24</v>
      </c>
      <c r="E39" t="s">
        <v>158</v>
      </c>
      <c r="F39" t="s">
        <v>159</v>
      </c>
      <c r="G39">
        <v>0</v>
      </c>
      <c r="H39">
        <v>1</v>
      </c>
      <c r="I39">
        <v>0</v>
      </c>
      <c r="J39">
        <v>1</v>
      </c>
      <c r="K39">
        <v>0</v>
      </c>
      <c r="L39">
        <v>1</v>
      </c>
      <c r="M39">
        <v>0</v>
      </c>
      <c r="N39">
        <f t="shared" si="0"/>
        <v>3</v>
      </c>
      <c r="O39" t="str">
        <f>IF(AND($A39=Dashboard!$B$3,$B39=Dashboard!$G$3,$D39&lt;&gt;"NO_SERVICE"),ROW(),"")</f>
        <v/>
      </c>
    </row>
    <row r="40" spans="1:15" x14ac:dyDescent="0.25">
      <c r="A40" t="s">
        <v>154</v>
      </c>
      <c r="B40" t="s">
        <v>46</v>
      </c>
      <c r="C40" t="s">
        <v>155</v>
      </c>
      <c r="D40" t="s">
        <v>24</v>
      </c>
      <c r="E40" t="s">
        <v>160</v>
      </c>
      <c r="F40" t="s">
        <v>161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f t="shared" si="0"/>
        <v>7</v>
      </c>
      <c r="O40" t="str">
        <f>IF(AND($A40=Dashboard!$B$3,$B40=Dashboard!$G$3,$D40&lt;&gt;"NO_SERVICE"),ROW(),"")</f>
        <v/>
      </c>
    </row>
    <row r="41" spans="1:15" x14ac:dyDescent="0.25">
      <c r="A41" t="s">
        <v>154</v>
      </c>
      <c r="B41" t="s">
        <v>46</v>
      </c>
      <c r="C41" t="s">
        <v>155</v>
      </c>
      <c r="D41" t="s">
        <v>26</v>
      </c>
      <c r="E41" t="s">
        <v>162</v>
      </c>
      <c r="F41" t="s">
        <v>163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f t="shared" si="0"/>
        <v>7</v>
      </c>
      <c r="O41" t="str">
        <f>IF(AND($A41=Dashboard!$B$3,$B41=Dashboard!$G$3,$D41&lt;&gt;"NO_SERVICE"),ROW(),"")</f>
        <v/>
      </c>
    </row>
    <row r="42" spans="1:15" x14ac:dyDescent="0.25">
      <c r="A42" t="s">
        <v>154</v>
      </c>
      <c r="B42" t="s">
        <v>46</v>
      </c>
      <c r="C42" t="s">
        <v>155</v>
      </c>
      <c r="D42" t="s">
        <v>21</v>
      </c>
      <c r="E42" t="s">
        <v>164</v>
      </c>
      <c r="F42" t="s">
        <v>165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f t="shared" si="0"/>
        <v>7</v>
      </c>
      <c r="O42" t="str">
        <f>IF(AND($A42=Dashboard!$B$3,$B42=Dashboard!$G$3,$D42&lt;&gt;"NO_SERVICE"),ROW(),"")</f>
        <v/>
      </c>
    </row>
    <row r="43" spans="1:15" x14ac:dyDescent="0.25">
      <c r="A43" t="s">
        <v>154</v>
      </c>
      <c r="B43" t="s">
        <v>50</v>
      </c>
      <c r="C43" t="s">
        <v>166</v>
      </c>
      <c r="D43" t="s">
        <v>24</v>
      </c>
      <c r="E43" t="s">
        <v>167</v>
      </c>
      <c r="F43" t="s">
        <v>168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f t="shared" si="0"/>
        <v>7</v>
      </c>
      <c r="O43" t="str">
        <f>IF(AND($A43=Dashboard!$B$3,$B43=Dashboard!$G$3,$D43&lt;&gt;"NO_SERVICE"),ROW(),"")</f>
        <v/>
      </c>
    </row>
    <row r="44" spans="1:15" x14ac:dyDescent="0.25">
      <c r="A44" t="s">
        <v>154</v>
      </c>
      <c r="B44" t="s">
        <v>50</v>
      </c>
      <c r="C44" t="s">
        <v>166</v>
      </c>
      <c r="D44" t="s">
        <v>24</v>
      </c>
      <c r="E44" t="s">
        <v>169</v>
      </c>
      <c r="F44" t="s">
        <v>170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f t="shared" si="0"/>
        <v>7</v>
      </c>
      <c r="O44" t="str">
        <f>IF(AND($A44=Dashboard!$B$3,$B44=Dashboard!$G$3,$D44&lt;&gt;"NO_SERVICE"),ROW(),"")</f>
        <v/>
      </c>
    </row>
    <row r="45" spans="1:15" x14ac:dyDescent="0.25">
      <c r="A45" t="s">
        <v>154</v>
      </c>
      <c r="B45" t="s">
        <v>50</v>
      </c>
      <c r="C45" t="s">
        <v>166</v>
      </c>
      <c r="D45" t="s">
        <v>24</v>
      </c>
      <c r="E45" t="s">
        <v>171</v>
      </c>
      <c r="F45" t="s">
        <v>172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f t="shared" si="0"/>
        <v>1</v>
      </c>
      <c r="O45" t="str">
        <f>IF(AND($A45=Dashboard!$B$3,$B45=Dashboard!$G$3,$D45&lt;&gt;"NO_SERVICE"),ROW(),"")</f>
        <v/>
      </c>
    </row>
    <row r="46" spans="1:15" x14ac:dyDescent="0.25">
      <c r="A46" t="s">
        <v>154</v>
      </c>
      <c r="B46" t="s">
        <v>50</v>
      </c>
      <c r="C46" t="s">
        <v>166</v>
      </c>
      <c r="D46" t="s">
        <v>24</v>
      </c>
      <c r="E46" t="s">
        <v>173</v>
      </c>
      <c r="F46" t="s">
        <v>174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f t="shared" si="0"/>
        <v>7</v>
      </c>
      <c r="O46" t="str">
        <f>IF(AND($A46=Dashboard!$B$3,$B46=Dashboard!$G$3,$D46&lt;&gt;"NO_SERVICE"),ROW(),"")</f>
        <v/>
      </c>
    </row>
    <row r="47" spans="1:15" x14ac:dyDescent="0.25">
      <c r="A47" t="s">
        <v>154</v>
      </c>
      <c r="B47" t="s">
        <v>57</v>
      </c>
      <c r="C47" t="s">
        <v>175</v>
      </c>
      <c r="D47" t="s">
        <v>24</v>
      </c>
      <c r="E47" t="s">
        <v>176</v>
      </c>
      <c r="F47" t="s">
        <v>66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f t="shared" si="0"/>
        <v>7</v>
      </c>
      <c r="O47" t="str">
        <f>IF(AND($A47=Dashboard!$B$3,$B47=Dashboard!$G$3,$D47&lt;&gt;"NO_SERVICE"),ROW(),"")</f>
        <v/>
      </c>
    </row>
    <row r="48" spans="1:15" x14ac:dyDescent="0.25">
      <c r="A48" t="s">
        <v>154</v>
      </c>
      <c r="B48" t="s">
        <v>57</v>
      </c>
      <c r="C48" t="s">
        <v>175</v>
      </c>
      <c r="D48" t="s">
        <v>24</v>
      </c>
      <c r="E48" t="s">
        <v>177</v>
      </c>
      <c r="F48" t="s">
        <v>178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f t="shared" si="0"/>
        <v>7</v>
      </c>
      <c r="O48" t="str">
        <f>IF(AND($A48=Dashboard!$B$3,$B48=Dashboard!$G$3,$D48&lt;&gt;"NO_SERVICE"),ROW(),"")</f>
        <v/>
      </c>
    </row>
    <row r="49" spans="1:15" x14ac:dyDescent="0.25">
      <c r="A49" t="s">
        <v>154</v>
      </c>
      <c r="B49" t="s">
        <v>57</v>
      </c>
      <c r="C49" t="s">
        <v>175</v>
      </c>
      <c r="D49" t="s">
        <v>24</v>
      </c>
      <c r="E49" t="s">
        <v>179</v>
      </c>
      <c r="F49" t="s">
        <v>180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f t="shared" si="0"/>
        <v>7</v>
      </c>
      <c r="O49" t="str">
        <f>IF(AND($A49=Dashboard!$B$3,$B49=Dashboard!$G$3,$D49&lt;&gt;"NO_SERVICE"),ROW(),"")</f>
        <v/>
      </c>
    </row>
    <row r="50" spans="1:15" x14ac:dyDescent="0.25">
      <c r="A50" t="s">
        <v>154</v>
      </c>
      <c r="B50" t="s">
        <v>57</v>
      </c>
      <c r="C50" t="s">
        <v>175</v>
      </c>
      <c r="D50" t="s">
        <v>24</v>
      </c>
      <c r="E50" t="s">
        <v>181</v>
      </c>
      <c r="F50" t="s">
        <v>182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f t="shared" si="0"/>
        <v>7</v>
      </c>
      <c r="O50" t="str">
        <f>IF(AND($A50=Dashboard!$B$3,$B50=Dashboard!$G$3,$D50&lt;&gt;"NO_SERVICE"),ROW(),"")</f>
        <v/>
      </c>
    </row>
    <row r="51" spans="1:15" x14ac:dyDescent="0.25">
      <c r="A51" t="s">
        <v>154</v>
      </c>
      <c r="B51" t="s">
        <v>57</v>
      </c>
      <c r="C51" t="s">
        <v>175</v>
      </c>
      <c r="D51" t="s">
        <v>24</v>
      </c>
      <c r="E51" t="s">
        <v>183</v>
      </c>
      <c r="F51" t="s">
        <v>184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f t="shared" si="0"/>
        <v>7</v>
      </c>
      <c r="O51" t="str">
        <f>IF(AND($A51=Dashboard!$B$3,$B51=Dashboard!$G$3,$D51&lt;&gt;"NO_SERVICE"),ROW(),"")</f>
        <v/>
      </c>
    </row>
    <row r="52" spans="1:15" x14ac:dyDescent="0.25">
      <c r="A52" t="s">
        <v>154</v>
      </c>
      <c r="B52" t="s">
        <v>57</v>
      </c>
      <c r="C52" t="s">
        <v>175</v>
      </c>
      <c r="D52" t="s">
        <v>21</v>
      </c>
      <c r="E52" t="s">
        <v>185</v>
      </c>
      <c r="F52" t="s">
        <v>186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f t="shared" si="0"/>
        <v>7</v>
      </c>
      <c r="O52" t="str">
        <f>IF(AND($A52=Dashboard!$B$3,$B52=Dashboard!$G$3,$D52&lt;&gt;"NO_SERVICE"),ROW(),"")</f>
        <v/>
      </c>
    </row>
    <row r="53" spans="1:15" x14ac:dyDescent="0.25">
      <c r="A53" t="s">
        <v>154</v>
      </c>
      <c r="B53" t="s">
        <v>57</v>
      </c>
      <c r="C53" t="s">
        <v>175</v>
      </c>
      <c r="D53" t="s">
        <v>21</v>
      </c>
      <c r="E53" t="s">
        <v>187</v>
      </c>
      <c r="F53" t="s">
        <v>188</v>
      </c>
      <c r="G53">
        <v>0</v>
      </c>
      <c r="H53">
        <v>0</v>
      </c>
      <c r="I53">
        <v>1</v>
      </c>
      <c r="J53">
        <v>0</v>
      </c>
      <c r="K53">
        <v>1</v>
      </c>
      <c r="L53">
        <v>0</v>
      </c>
      <c r="M53">
        <v>1</v>
      </c>
      <c r="N53">
        <f t="shared" si="0"/>
        <v>3</v>
      </c>
      <c r="O53" t="str">
        <f>IF(AND($A53=Dashboard!$B$3,$B53=Dashboard!$G$3,$D53&lt;&gt;"NO_SERVICE"),ROW(),"")</f>
        <v/>
      </c>
    </row>
    <row r="54" spans="1:15" x14ac:dyDescent="0.25">
      <c r="A54" t="s">
        <v>154</v>
      </c>
      <c r="B54" t="s">
        <v>67</v>
      </c>
      <c r="C54" t="s">
        <v>189</v>
      </c>
      <c r="D54" t="s">
        <v>24</v>
      </c>
      <c r="E54" t="s">
        <v>190</v>
      </c>
      <c r="F54" t="s">
        <v>157</v>
      </c>
      <c r="G54">
        <v>0</v>
      </c>
      <c r="H54">
        <v>1</v>
      </c>
      <c r="I54">
        <v>0</v>
      </c>
      <c r="J54">
        <v>1</v>
      </c>
      <c r="K54">
        <v>0</v>
      </c>
      <c r="L54">
        <v>1</v>
      </c>
      <c r="M54">
        <v>1</v>
      </c>
      <c r="N54">
        <f t="shared" si="0"/>
        <v>4</v>
      </c>
      <c r="O54" t="str">
        <f>IF(AND($A54=Dashboard!$B$3,$B54=Dashboard!$G$3,$D54&lt;&gt;"NO_SERVICE"),ROW(),"")</f>
        <v/>
      </c>
    </row>
    <row r="55" spans="1:15" x14ac:dyDescent="0.25">
      <c r="A55" t="s">
        <v>154</v>
      </c>
      <c r="B55" t="s">
        <v>67</v>
      </c>
      <c r="C55" t="s">
        <v>189</v>
      </c>
      <c r="D55" t="s">
        <v>24</v>
      </c>
      <c r="E55" t="s">
        <v>191</v>
      </c>
      <c r="F55" t="s">
        <v>49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f t="shared" si="0"/>
        <v>7</v>
      </c>
      <c r="O55" t="str">
        <f>IF(AND($A55=Dashboard!$B$3,$B55=Dashboard!$G$3,$D55&lt;&gt;"NO_SERVICE"),ROW(),"")</f>
        <v/>
      </c>
    </row>
    <row r="56" spans="1:15" x14ac:dyDescent="0.25">
      <c r="A56" t="s">
        <v>154</v>
      </c>
      <c r="B56" t="s">
        <v>67</v>
      </c>
      <c r="C56" t="s">
        <v>189</v>
      </c>
      <c r="D56" t="s">
        <v>24</v>
      </c>
      <c r="E56" t="s">
        <v>192</v>
      </c>
      <c r="F56" t="s">
        <v>193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f t="shared" si="0"/>
        <v>7</v>
      </c>
      <c r="O56" t="str">
        <f>IF(AND($A56=Dashboard!$B$3,$B56=Dashboard!$G$3,$D56&lt;&gt;"NO_SERVICE"),ROW(),"")</f>
        <v/>
      </c>
    </row>
    <row r="57" spans="1:15" x14ac:dyDescent="0.25">
      <c r="A57" t="s">
        <v>154</v>
      </c>
      <c r="B57" t="s">
        <v>67</v>
      </c>
      <c r="C57" t="s">
        <v>189</v>
      </c>
      <c r="D57" t="s">
        <v>21</v>
      </c>
      <c r="E57" t="s">
        <v>194</v>
      </c>
      <c r="F57" t="s">
        <v>195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f t="shared" si="0"/>
        <v>7</v>
      </c>
      <c r="O57" t="str">
        <f>IF(AND($A57=Dashboard!$B$3,$B57=Dashboard!$G$3,$D57&lt;&gt;"NO_SERVICE"),ROW(),"")</f>
        <v/>
      </c>
    </row>
    <row r="58" spans="1:15" x14ac:dyDescent="0.25">
      <c r="A58" t="s">
        <v>154</v>
      </c>
      <c r="B58" t="s">
        <v>73</v>
      </c>
      <c r="C58" t="s">
        <v>196</v>
      </c>
      <c r="D58" t="s">
        <v>24</v>
      </c>
      <c r="E58" t="s">
        <v>197</v>
      </c>
      <c r="F58" t="s">
        <v>94</v>
      </c>
      <c r="G58">
        <v>1</v>
      </c>
      <c r="H58">
        <v>0</v>
      </c>
      <c r="I58">
        <v>1</v>
      </c>
      <c r="J58">
        <v>0</v>
      </c>
      <c r="K58">
        <v>1</v>
      </c>
      <c r="L58">
        <v>0</v>
      </c>
      <c r="M58">
        <v>1</v>
      </c>
      <c r="N58">
        <f t="shared" si="0"/>
        <v>4</v>
      </c>
      <c r="O58" t="str">
        <f>IF(AND($A58=Dashboard!$B$3,$B58=Dashboard!$G$3,$D58&lt;&gt;"NO_SERVICE"),ROW(),"")</f>
        <v/>
      </c>
    </row>
    <row r="59" spans="1:15" x14ac:dyDescent="0.25">
      <c r="A59" t="s">
        <v>154</v>
      </c>
      <c r="B59" t="s">
        <v>73</v>
      </c>
      <c r="C59" t="s">
        <v>196</v>
      </c>
      <c r="D59" t="s">
        <v>26</v>
      </c>
      <c r="E59" t="s">
        <v>198</v>
      </c>
      <c r="F59" t="s">
        <v>199</v>
      </c>
      <c r="G59">
        <v>0</v>
      </c>
      <c r="H59">
        <v>0</v>
      </c>
      <c r="I59">
        <v>1</v>
      </c>
      <c r="J59">
        <v>0</v>
      </c>
      <c r="K59">
        <v>1</v>
      </c>
      <c r="L59">
        <v>1</v>
      </c>
      <c r="M59">
        <v>1</v>
      </c>
      <c r="N59">
        <f t="shared" si="0"/>
        <v>4</v>
      </c>
      <c r="O59" t="str">
        <f>IF(AND($A59=Dashboard!$B$3,$B59=Dashboard!$G$3,$D59&lt;&gt;"NO_SERVICE"),ROW(),"")</f>
        <v/>
      </c>
    </row>
    <row r="60" spans="1:15" x14ac:dyDescent="0.25">
      <c r="A60" t="s">
        <v>154</v>
      </c>
      <c r="B60" t="s">
        <v>73</v>
      </c>
      <c r="C60" t="s">
        <v>196</v>
      </c>
      <c r="D60" t="s">
        <v>21</v>
      </c>
      <c r="E60" t="s">
        <v>200</v>
      </c>
      <c r="F60" t="s">
        <v>143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f t="shared" si="0"/>
        <v>1</v>
      </c>
      <c r="O60" t="str">
        <f>IF(AND($A60=Dashboard!$B$3,$B60=Dashboard!$G$3,$D60&lt;&gt;"NO_SERVICE"),ROW(),"")</f>
        <v/>
      </c>
    </row>
    <row r="61" spans="1:15" x14ac:dyDescent="0.25">
      <c r="A61" t="s">
        <v>154</v>
      </c>
      <c r="B61" t="s">
        <v>73</v>
      </c>
      <c r="C61" t="s">
        <v>196</v>
      </c>
      <c r="D61" t="s">
        <v>21</v>
      </c>
      <c r="E61" t="s">
        <v>201</v>
      </c>
      <c r="F61" t="s">
        <v>202</v>
      </c>
      <c r="G61">
        <v>1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f t="shared" si="0"/>
        <v>6</v>
      </c>
      <c r="O61" t="str">
        <f>IF(AND($A61=Dashboard!$B$3,$B61=Dashboard!$G$3,$D61&lt;&gt;"NO_SERVICE"),ROW(),"")</f>
        <v/>
      </c>
    </row>
    <row r="62" spans="1:15" x14ac:dyDescent="0.25">
      <c r="A62" t="s">
        <v>154</v>
      </c>
      <c r="B62" t="s">
        <v>73</v>
      </c>
      <c r="C62" t="s">
        <v>196</v>
      </c>
      <c r="D62" t="s">
        <v>21</v>
      </c>
      <c r="E62" t="s">
        <v>203</v>
      </c>
      <c r="F62" t="s">
        <v>204</v>
      </c>
      <c r="G62">
        <v>1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f t="shared" si="0"/>
        <v>6</v>
      </c>
      <c r="O62" t="str">
        <f>IF(AND($A62=Dashboard!$B$3,$B62=Dashboard!$G$3,$D62&lt;&gt;"NO_SERVICE"),ROW(),"")</f>
        <v/>
      </c>
    </row>
    <row r="63" spans="1:15" x14ac:dyDescent="0.25">
      <c r="A63" t="s">
        <v>154</v>
      </c>
      <c r="B63" t="s">
        <v>79</v>
      </c>
      <c r="C63" t="s">
        <v>205</v>
      </c>
      <c r="D63" t="s">
        <v>24</v>
      </c>
      <c r="E63" t="s">
        <v>206</v>
      </c>
      <c r="F63" t="s">
        <v>127</v>
      </c>
      <c r="G63">
        <v>1</v>
      </c>
      <c r="H63">
        <v>0</v>
      </c>
      <c r="I63">
        <v>1</v>
      </c>
      <c r="J63">
        <v>0</v>
      </c>
      <c r="K63">
        <v>1</v>
      </c>
      <c r="L63">
        <v>0</v>
      </c>
      <c r="M63">
        <v>1</v>
      </c>
      <c r="N63">
        <f t="shared" si="0"/>
        <v>4</v>
      </c>
      <c r="O63" t="str">
        <f>IF(AND($A63=Dashboard!$B$3,$B63=Dashboard!$G$3,$D63&lt;&gt;"NO_SERVICE"),ROW(),"")</f>
        <v/>
      </c>
    </row>
    <row r="64" spans="1:15" x14ac:dyDescent="0.25">
      <c r="A64" t="s">
        <v>154</v>
      </c>
      <c r="B64" t="s">
        <v>79</v>
      </c>
      <c r="C64" t="s">
        <v>205</v>
      </c>
      <c r="D64" t="s">
        <v>24</v>
      </c>
      <c r="E64" t="s">
        <v>207</v>
      </c>
      <c r="F64" t="s">
        <v>208</v>
      </c>
      <c r="G64">
        <v>0</v>
      </c>
      <c r="H64">
        <v>1</v>
      </c>
      <c r="I64">
        <v>0</v>
      </c>
      <c r="J64">
        <v>1</v>
      </c>
      <c r="K64">
        <v>0</v>
      </c>
      <c r="L64">
        <v>1</v>
      </c>
      <c r="M64">
        <v>0</v>
      </c>
      <c r="N64">
        <f t="shared" si="0"/>
        <v>3</v>
      </c>
      <c r="O64" t="str">
        <f>IF(AND($A64=Dashboard!$B$3,$B64=Dashboard!$G$3,$D64&lt;&gt;"NO_SERVICE"),ROW(),"")</f>
        <v/>
      </c>
    </row>
    <row r="65" spans="1:15" x14ac:dyDescent="0.25">
      <c r="A65" t="s">
        <v>154</v>
      </c>
      <c r="B65" t="s">
        <v>79</v>
      </c>
      <c r="C65" t="s">
        <v>205</v>
      </c>
      <c r="D65" t="s">
        <v>24</v>
      </c>
      <c r="E65" t="s">
        <v>209</v>
      </c>
      <c r="F65" t="s">
        <v>72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f t="shared" si="0"/>
        <v>7</v>
      </c>
      <c r="O65" t="str">
        <f>IF(AND($A65=Dashboard!$B$3,$B65=Dashboard!$G$3,$D65&lt;&gt;"NO_SERVICE"),ROW(),"")</f>
        <v/>
      </c>
    </row>
    <row r="66" spans="1:15" x14ac:dyDescent="0.25">
      <c r="A66" t="s">
        <v>154</v>
      </c>
      <c r="B66" t="s">
        <v>81</v>
      </c>
      <c r="C66" t="s">
        <v>210</v>
      </c>
      <c r="D66" t="s">
        <v>21</v>
      </c>
      <c r="E66" t="s">
        <v>211</v>
      </c>
      <c r="F66" t="s">
        <v>212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f t="shared" ref="N66:N129" si="1">SUM(G66:M66)</f>
        <v>7</v>
      </c>
      <c r="O66" t="str">
        <f>IF(AND($A66=Dashboard!$B$3,$B66=Dashboard!$G$3,$D66&lt;&gt;"NO_SERVICE"),ROW(),"")</f>
        <v/>
      </c>
    </row>
    <row r="67" spans="1:15" x14ac:dyDescent="0.25">
      <c r="A67" t="s">
        <v>154</v>
      </c>
      <c r="B67" t="s">
        <v>83</v>
      </c>
      <c r="C67" t="s">
        <v>213</v>
      </c>
      <c r="D67" t="s">
        <v>24</v>
      </c>
      <c r="E67" t="s">
        <v>214</v>
      </c>
      <c r="F67" t="s">
        <v>215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f t="shared" si="1"/>
        <v>1</v>
      </c>
      <c r="O67" t="str">
        <f>IF(AND($A67=Dashboard!$B$3,$B67=Dashboard!$G$3,$D67&lt;&gt;"NO_SERVICE"),ROW(),"")</f>
        <v/>
      </c>
    </row>
    <row r="68" spans="1:15" x14ac:dyDescent="0.25">
      <c r="A68" t="s">
        <v>154</v>
      </c>
      <c r="B68" t="s">
        <v>83</v>
      </c>
      <c r="C68" t="s">
        <v>213</v>
      </c>
      <c r="D68" t="s">
        <v>24</v>
      </c>
      <c r="E68" t="s">
        <v>216</v>
      </c>
      <c r="F68" t="s">
        <v>217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f t="shared" si="1"/>
        <v>7</v>
      </c>
      <c r="O68" t="str">
        <f>IF(AND($A68=Dashboard!$B$3,$B68=Dashboard!$G$3,$D68&lt;&gt;"NO_SERVICE"),ROW(),"")</f>
        <v/>
      </c>
    </row>
    <row r="69" spans="1:15" x14ac:dyDescent="0.25">
      <c r="A69" t="s">
        <v>154</v>
      </c>
      <c r="B69" t="s">
        <v>83</v>
      </c>
      <c r="C69" t="s">
        <v>213</v>
      </c>
      <c r="D69" t="s">
        <v>24</v>
      </c>
      <c r="E69" t="s">
        <v>218</v>
      </c>
      <c r="F69" t="s">
        <v>219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f t="shared" si="1"/>
        <v>7</v>
      </c>
      <c r="O69" t="str">
        <f>IF(AND($A69=Dashboard!$B$3,$B69=Dashboard!$G$3,$D69&lt;&gt;"NO_SERVICE"),ROW(),"")</f>
        <v/>
      </c>
    </row>
    <row r="70" spans="1:15" x14ac:dyDescent="0.25">
      <c r="A70" t="s">
        <v>154</v>
      </c>
      <c r="B70" t="s">
        <v>83</v>
      </c>
      <c r="C70" t="s">
        <v>213</v>
      </c>
      <c r="D70" t="s">
        <v>24</v>
      </c>
      <c r="E70" t="s">
        <v>220</v>
      </c>
      <c r="F70" t="s">
        <v>221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f t="shared" si="1"/>
        <v>7</v>
      </c>
      <c r="O70" t="str">
        <f>IF(AND($A70=Dashboard!$B$3,$B70=Dashboard!$G$3,$D70&lt;&gt;"NO_SERVICE"),ROW(),"")</f>
        <v/>
      </c>
    </row>
    <row r="71" spans="1:15" x14ac:dyDescent="0.25">
      <c r="A71" t="s">
        <v>154</v>
      </c>
      <c r="B71" t="s">
        <v>83</v>
      </c>
      <c r="C71" t="s">
        <v>213</v>
      </c>
      <c r="D71" t="s">
        <v>21</v>
      </c>
      <c r="E71" t="s">
        <v>222</v>
      </c>
      <c r="F71" t="s">
        <v>223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f t="shared" si="1"/>
        <v>7</v>
      </c>
      <c r="O71" t="str">
        <f>IF(AND($A71=Dashboard!$B$3,$B71=Dashboard!$G$3,$D71&lt;&gt;"NO_SERVICE"),ROW(),"")</f>
        <v/>
      </c>
    </row>
    <row r="72" spans="1:15" x14ac:dyDescent="0.25">
      <c r="A72" t="s">
        <v>154</v>
      </c>
      <c r="B72" t="s">
        <v>83</v>
      </c>
      <c r="C72" t="s">
        <v>213</v>
      </c>
      <c r="D72" t="s">
        <v>21</v>
      </c>
      <c r="E72" t="s">
        <v>224</v>
      </c>
      <c r="F72" t="s">
        <v>225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f t="shared" si="1"/>
        <v>7</v>
      </c>
      <c r="O72" t="str">
        <f>IF(AND($A72=Dashboard!$B$3,$B72=Dashboard!$G$3,$D72&lt;&gt;"NO_SERVICE"),ROW(),"")</f>
        <v/>
      </c>
    </row>
    <row r="73" spans="1:15" x14ac:dyDescent="0.25">
      <c r="A73" t="s">
        <v>154</v>
      </c>
      <c r="B73" t="s">
        <v>91</v>
      </c>
      <c r="C73" t="s">
        <v>226</v>
      </c>
      <c r="D73" t="s">
        <v>24</v>
      </c>
      <c r="E73" t="s">
        <v>214</v>
      </c>
      <c r="F73" t="s">
        <v>215</v>
      </c>
      <c r="G73">
        <v>1</v>
      </c>
      <c r="H73">
        <v>1</v>
      </c>
      <c r="I73">
        <v>0</v>
      </c>
      <c r="J73">
        <v>1</v>
      </c>
      <c r="K73">
        <v>1</v>
      </c>
      <c r="L73">
        <v>1</v>
      </c>
      <c r="M73">
        <v>1</v>
      </c>
      <c r="N73">
        <f t="shared" si="1"/>
        <v>6</v>
      </c>
      <c r="O73" t="str">
        <f>IF(AND($A73=Dashboard!$B$3,$B73=Dashboard!$G$3,$D73&lt;&gt;"NO_SERVICE"),ROW(),"")</f>
        <v/>
      </c>
    </row>
    <row r="74" spans="1:15" x14ac:dyDescent="0.25">
      <c r="A74" t="s">
        <v>154</v>
      </c>
      <c r="B74" t="s">
        <v>91</v>
      </c>
      <c r="C74" t="s">
        <v>226</v>
      </c>
      <c r="D74" t="s">
        <v>24</v>
      </c>
      <c r="E74" t="s">
        <v>227</v>
      </c>
      <c r="F74" t="s">
        <v>228</v>
      </c>
      <c r="G74">
        <v>0</v>
      </c>
      <c r="H74">
        <v>1</v>
      </c>
      <c r="I74">
        <v>1</v>
      </c>
      <c r="J74">
        <v>1</v>
      </c>
      <c r="K74">
        <v>1</v>
      </c>
      <c r="L74">
        <v>0</v>
      </c>
      <c r="M74">
        <v>0</v>
      </c>
      <c r="N74">
        <f t="shared" si="1"/>
        <v>4</v>
      </c>
      <c r="O74" t="str">
        <f>IF(AND($A74=Dashboard!$B$3,$B74=Dashboard!$G$3,$D74&lt;&gt;"NO_SERVICE"),ROW(),"")</f>
        <v/>
      </c>
    </row>
    <row r="75" spans="1:15" x14ac:dyDescent="0.25">
      <c r="A75" t="s">
        <v>154</v>
      </c>
      <c r="B75" t="s">
        <v>91</v>
      </c>
      <c r="C75" t="s">
        <v>226</v>
      </c>
      <c r="D75" t="s">
        <v>24</v>
      </c>
      <c r="E75" t="s">
        <v>229</v>
      </c>
      <c r="F75" t="s">
        <v>230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f t="shared" si="1"/>
        <v>7</v>
      </c>
      <c r="O75" t="str">
        <f>IF(AND($A75=Dashboard!$B$3,$B75=Dashboard!$G$3,$D75&lt;&gt;"NO_SERVICE"),ROW(),"")</f>
        <v/>
      </c>
    </row>
    <row r="76" spans="1:15" x14ac:dyDescent="0.25">
      <c r="A76" t="s">
        <v>154</v>
      </c>
      <c r="B76" t="s">
        <v>91</v>
      </c>
      <c r="C76" t="s">
        <v>226</v>
      </c>
      <c r="D76" t="s">
        <v>24</v>
      </c>
      <c r="E76" t="s">
        <v>231</v>
      </c>
      <c r="F76" t="s">
        <v>232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f t="shared" si="1"/>
        <v>7</v>
      </c>
      <c r="O76" t="str">
        <f>IF(AND($A76=Dashboard!$B$3,$B76=Dashboard!$G$3,$D76&lt;&gt;"NO_SERVICE"),ROW(),"")</f>
        <v/>
      </c>
    </row>
    <row r="77" spans="1:15" x14ac:dyDescent="0.25">
      <c r="A77" t="s">
        <v>154</v>
      </c>
      <c r="B77" t="s">
        <v>91</v>
      </c>
      <c r="C77" t="s">
        <v>226</v>
      </c>
      <c r="D77" t="s">
        <v>21</v>
      </c>
      <c r="E77" t="s">
        <v>233</v>
      </c>
      <c r="F77" t="s">
        <v>86</v>
      </c>
      <c r="G77">
        <v>1</v>
      </c>
      <c r="H77">
        <v>0</v>
      </c>
      <c r="I77">
        <v>1</v>
      </c>
      <c r="J77">
        <v>1</v>
      </c>
      <c r="K77">
        <v>1</v>
      </c>
      <c r="L77">
        <v>1</v>
      </c>
      <c r="M77">
        <v>0</v>
      </c>
      <c r="N77">
        <f t="shared" si="1"/>
        <v>5</v>
      </c>
      <c r="O77" t="str">
        <f>IF(AND($A77=Dashboard!$B$3,$B77=Dashboard!$G$3,$D77&lt;&gt;"NO_SERVICE"),ROW(),"")</f>
        <v/>
      </c>
    </row>
    <row r="78" spans="1:15" x14ac:dyDescent="0.25">
      <c r="A78" t="s">
        <v>154</v>
      </c>
      <c r="B78" t="s">
        <v>91</v>
      </c>
      <c r="C78" t="s">
        <v>226</v>
      </c>
      <c r="D78" t="s">
        <v>21</v>
      </c>
      <c r="E78" t="s">
        <v>234</v>
      </c>
      <c r="F78" t="s">
        <v>235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f t="shared" si="1"/>
        <v>1</v>
      </c>
      <c r="O78" t="str">
        <f>IF(AND($A78=Dashboard!$B$3,$B78=Dashboard!$G$3,$D78&lt;&gt;"NO_SERVICE"),ROW(),"")</f>
        <v/>
      </c>
    </row>
    <row r="79" spans="1:15" x14ac:dyDescent="0.25">
      <c r="A79" t="s">
        <v>154</v>
      </c>
      <c r="B79" t="s">
        <v>91</v>
      </c>
      <c r="C79" t="s">
        <v>226</v>
      </c>
      <c r="D79" t="s">
        <v>21</v>
      </c>
      <c r="E79" t="s">
        <v>236</v>
      </c>
      <c r="F79" t="s">
        <v>237</v>
      </c>
      <c r="G79">
        <v>1</v>
      </c>
      <c r="H79">
        <v>1</v>
      </c>
      <c r="I79">
        <v>0</v>
      </c>
      <c r="J79">
        <v>1</v>
      </c>
      <c r="K79">
        <v>1</v>
      </c>
      <c r="L79">
        <v>1</v>
      </c>
      <c r="M79">
        <v>1</v>
      </c>
      <c r="N79">
        <f t="shared" si="1"/>
        <v>6</v>
      </c>
      <c r="O79" t="str">
        <f>IF(AND($A79=Dashboard!$B$3,$B79=Dashboard!$G$3,$D79&lt;&gt;"NO_SERVICE"),ROW(),"")</f>
        <v/>
      </c>
    </row>
    <row r="80" spans="1:15" x14ac:dyDescent="0.25">
      <c r="A80" t="s">
        <v>154</v>
      </c>
      <c r="B80" t="s">
        <v>97</v>
      </c>
      <c r="C80" t="s">
        <v>238</v>
      </c>
      <c r="D80" t="s">
        <v>24</v>
      </c>
      <c r="E80" t="s">
        <v>239</v>
      </c>
      <c r="F80" t="s">
        <v>240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f t="shared" si="1"/>
        <v>7</v>
      </c>
      <c r="O80" t="str">
        <f>IF(AND($A80=Dashboard!$B$3,$B80=Dashboard!$G$3,$D80&lt;&gt;"NO_SERVICE"),ROW(),"")</f>
        <v/>
      </c>
    </row>
    <row r="81" spans="1:15" x14ac:dyDescent="0.25">
      <c r="A81" t="s">
        <v>154</v>
      </c>
      <c r="B81" t="s">
        <v>97</v>
      </c>
      <c r="C81" t="s">
        <v>238</v>
      </c>
      <c r="D81" t="s">
        <v>24</v>
      </c>
      <c r="E81" t="s">
        <v>241</v>
      </c>
      <c r="F81" t="s">
        <v>242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f t="shared" si="1"/>
        <v>7</v>
      </c>
      <c r="O81" t="str">
        <f>IF(AND($A81=Dashboard!$B$3,$B81=Dashboard!$G$3,$D81&lt;&gt;"NO_SERVICE"),ROW(),"")</f>
        <v/>
      </c>
    </row>
    <row r="82" spans="1:15" x14ac:dyDescent="0.25">
      <c r="A82" t="s">
        <v>154</v>
      </c>
      <c r="B82" t="s">
        <v>97</v>
      </c>
      <c r="C82" t="s">
        <v>238</v>
      </c>
      <c r="D82" t="s">
        <v>21</v>
      </c>
      <c r="E82" t="s">
        <v>243</v>
      </c>
      <c r="F82" t="s">
        <v>244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f t="shared" si="1"/>
        <v>7</v>
      </c>
      <c r="O82" t="str">
        <f>IF(AND($A82=Dashboard!$B$3,$B82=Dashboard!$G$3,$D82&lt;&gt;"NO_SERVICE"),ROW(),"")</f>
        <v/>
      </c>
    </row>
    <row r="83" spans="1:15" x14ac:dyDescent="0.25">
      <c r="A83" t="s">
        <v>154</v>
      </c>
      <c r="B83" t="s">
        <v>103</v>
      </c>
      <c r="C83" t="s">
        <v>245</v>
      </c>
      <c r="D83" t="s">
        <v>24</v>
      </c>
      <c r="E83" t="s">
        <v>246</v>
      </c>
      <c r="F83" t="s">
        <v>247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f t="shared" si="1"/>
        <v>7</v>
      </c>
      <c r="O83" t="str">
        <f>IF(AND($A83=Dashboard!$B$3,$B83=Dashboard!$G$3,$D83&lt;&gt;"NO_SERVICE"),ROW(),"")</f>
        <v/>
      </c>
    </row>
    <row r="84" spans="1:15" x14ac:dyDescent="0.25">
      <c r="A84" t="s">
        <v>154</v>
      </c>
      <c r="B84" t="s">
        <v>103</v>
      </c>
      <c r="C84" t="s">
        <v>245</v>
      </c>
      <c r="D84" t="s">
        <v>24</v>
      </c>
      <c r="E84" t="s">
        <v>248</v>
      </c>
      <c r="F84" t="s">
        <v>147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f t="shared" si="1"/>
        <v>7</v>
      </c>
      <c r="O84" t="str">
        <f>IF(AND($A84=Dashboard!$B$3,$B84=Dashboard!$G$3,$D84&lt;&gt;"NO_SERVICE"),ROW(),"")</f>
        <v/>
      </c>
    </row>
    <row r="85" spans="1:15" x14ac:dyDescent="0.25">
      <c r="A85" t="s">
        <v>154</v>
      </c>
      <c r="B85" t="s">
        <v>103</v>
      </c>
      <c r="C85" t="s">
        <v>245</v>
      </c>
      <c r="D85" t="s">
        <v>24</v>
      </c>
      <c r="E85" t="s">
        <v>249</v>
      </c>
      <c r="F85" t="s">
        <v>250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f t="shared" si="1"/>
        <v>7</v>
      </c>
      <c r="O85" t="str">
        <f>IF(AND($A85=Dashboard!$B$3,$B85=Dashboard!$G$3,$D85&lt;&gt;"NO_SERVICE"),ROW(),"")</f>
        <v/>
      </c>
    </row>
    <row r="86" spans="1:15" x14ac:dyDescent="0.25">
      <c r="A86" t="s">
        <v>154</v>
      </c>
      <c r="B86" t="s">
        <v>103</v>
      </c>
      <c r="C86" t="s">
        <v>245</v>
      </c>
      <c r="D86" t="s">
        <v>21</v>
      </c>
      <c r="E86" t="s">
        <v>251</v>
      </c>
      <c r="F86" t="s">
        <v>252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f t="shared" si="1"/>
        <v>7</v>
      </c>
      <c r="O86" t="str">
        <f>IF(AND($A86=Dashboard!$B$3,$B86=Dashboard!$G$3,$D86&lt;&gt;"NO_SERVICE"),ROW(),"")</f>
        <v/>
      </c>
    </row>
    <row r="87" spans="1:15" x14ac:dyDescent="0.25">
      <c r="A87" t="s">
        <v>154</v>
      </c>
      <c r="B87" t="s">
        <v>103</v>
      </c>
      <c r="C87" t="s">
        <v>245</v>
      </c>
      <c r="D87" t="s">
        <v>21</v>
      </c>
      <c r="E87" t="s">
        <v>253</v>
      </c>
      <c r="F87" t="s">
        <v>102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f t="shared" si="1"/>
        <v>1</v>
      </c>
      <c r="O87" t="str">
        <f>IF(AND($A87=Dashboard!$B$3,$B87=Dashboard!$G$3,$D87&lt;&gt;"NO_SERVICE"),ROW(),"")</f>
        <v/>
      </c>
    </row>
    <row r="88" spans="1:15" x14ac:dyDescent="0.25">
      <c r="A88" t="s">
        <v>154</v>
      </c>
      <c r="B88" t="s">
        <v>109</v>
      </c>
      <c r="C88" t="s">
        <v>254</v>
      </c>
      <c r="D88" t="s">
        <v>24</v>
      </c>
      <c r="E88" t="s">
        <v>255</v>
      </c>
      <c r="F88" t="s">
        <v>256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f t="shared" si="1"/>
        <v>7</v>
      </c>
      <c r="O88" t="str">
        <f>IF(AND($A88=Dashboard!$B$3,$B88=Dashboard!$G$3,$D88&lt;&gt;"NO_SERVICE"),ROW(),"")</f>
        <v/>
      </c>
    </row>
    <row r="89" spans="1:15" x14ac:dyDescent="0.25">
      <c r="A89" t="s">
        <v>154</v>
      </c>
      <c r="B89" t="s">
        <v>109</v>
      </c>
      <c r="C89" t="s">
        <v>254</v>
      </c>
      <c r="D89" t="s">
        <v>21</v>
      </c>
      <c r="E89" t="s">
        <v>257</v>
      </c>
      <c r="F89" t="s">
        <v>258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f t="shared" si="1"/>
        <v>7</v>
      </c>
      <c r="O89" t="str">
        <f>IF(AND($A89=Dashboard!$B$3,$B89=Dashboard!$G$3,$D89&lt;&gt;"NO_SERVICE"),ROW(),"")</f>
        <v/>
      </c>
    </row>
    <row r="90" spans="1:15" x14ac:dyDescent="0.25">
      <c r="A90" t="s">
        <v>154</v>
      </c>
      <c r="B90" t="s">
        <v>109</v>
      </c>
      <c r="C90" t="s">
        <v>254</v>
      </c>
      <c r="D90" t="s">
        <v>21</v>
      </c>
      <c r="E90" t="s">
        <v>259</v>
      </c>
      <c r="F90" t="s">
        <v>260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f t="shared" si="1"/>
        <v>7</v>
      </c>
      <c r="O90" t="str">
        <f>IF(AND($A90=Dashboard!$B$3,$B90=Dashboard!$G$3,$D90&lt;&gt;"NO_SERVICE"),ROW(),"")</f>
        <v/>
      </c>
    </row>
    <row r="91" spans="1:15" x14ac:dyDescent="0.25">
      <c r="A91" t="s">
        <v>154</v>
      </c>
      <c r="B91" t="s">
        <v>109</v>
      </c>
      <c r="C91" t="s">
        <v>254</v>
      </c>
      <c r="D91" t="s">
        <v>21</v>
      </c>
      <c r="E91" t="s">
        <v>261</v>
      </c>
      <c r="F91" t="s">
        <v>262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f t="shared" si="1"/>
        <v>7</v>
      </c>
      <c r="O91" t="str">
        <f>IF(AND($A91=Dashboard!$B$3,$B91=Dashboard!$G$3,$D91&lt;&gt;"NO_SERVICE"),ROW(),"")</f>
        <v/>
      </c>
    </row>
    <row r="92" spans="1:15" x14ac:dyDescent="0.25">
      <c r="A92" t="s">
        <v>154</v>
      </c>
      <c r="B92" t="s">
        <v>113</v>
      </c>
      <c r="C92" t="s">
        <v>263</v>
      </c>
      <c r="D92" t="s">
        <v>24</v>
      </c>
      <c r="E92" t="s">
        <v>264</v>
      </c>
      <c r="F92" t="s">
        <v>119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f t="shared" si="1"/>
        <v>7</v>
      </c>
      <c r="O92" t="str">
        <f>IF(AND($A92=Dashboard!$B$3,$B92=Dashboard!$G$3,$D92&lt;&gt;"NO_SERVICE"),ROW(),"")</f>
        <v/>
      </c>
    </row>
    <row r="93" spans="1:15" x14ac:dyDescent="0.25">
      <c r="A93" t="s">
        <v>154</v>
      </c>
      <c r="B93" t="s">
        <v>113</v>
      </c>
      <c r="C93" t="s">
        <v>263</v>
      </c>
      <c r="D93" t="s">
        <v>24</v>
      </c>
      <c r="E93" t="s">
        <v>265</v>
      </c>
      <c r="F93" t="s">
        <v>266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f t="shared" si="1"/>
        <v>7</v>
      </c>
      <c r="O93" t="str">
        <f>IF(AND($A93=Dashboard!$B$3,$B93=Dashboard!$G$3,$D93&lt;&gt;"NO_SERVICE"),ROW(),"")</f>
        <v/>
      </c>
    </row>
    <row r="94" spans="1:15" x14ac:dyDescent="0.25">
      <c r="A94" t="s">
        <v>154</v>
      </c>
      <c r="B94" t="s">
        <v>116</v>
      </c>
      <c r="C94" t="s">
        <v>267</v>
      </c>
      <c r="D94" t="s">
        <v>24</v>
      </c>
      <c r="E94" t="s">
        <v>268</v>
      </c>
      <c r="F94" t="s">
        <v>269</v>
      </c>
      <c r="G94">
        <v>1</v>
      </c>
      <c r="H94">
        <v>0</v>
      </c>
      <c r="I94">
        <v>1</v>
      </c>
      <c r="J94">
        <v>0</v>
      </c>
      <c r="K94">
        <v>0</v>
      </c>
      <c r="L94">
        <v>1</v>
      </c>
      <c r="M94">
        <v>1</v>
      </c>
      <c r="N94">
        <f t="shared" si="1"/>
        <v>4</v>
      </c>
      <c r="O94" t="str">
        <f>IF(AND($A94=Dashboard!$B$3,$B94=Dashboard!$G$3,$D94&lt;&gt;"NO_SERVICE"),ROW(),"")</f>
        <v/>
      </c>
    </row>
    <row r="95" spans="1:15" x14ac:dyDescent="0.25">
      <c r="A95" t="s">
        <v>154</v>
      </c>
      <c r="B95" t="s">
        <v>116</v>
      </c>
      <c r="C95" t="s">
        <v>267</v>
      </c>
      <c r="D95" t="s">
        <v>24</v>
      </c>
      <c r="E95" t="s">
        <v>270</v>
      </c>
      <c r="F95" t="s">
        <v>230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f t="shared" si="1"/>
        <v>7</v>
      </c>
      <c r="O95" t="str">
        <f>IF(AND($A95=Dashboard!$B$3,$B95=Dashboard!$G$3,$D95&lt;&gt;"NO_SERVICE"),ROW(),"")</f>
        <v/>
      </c>
    </row>
    <row r="96" spans="1:15" x14ac:dyDescent="0.25">
      <c r="A96" t="s">
        <v>154</v>
      </c>
      <c r="B96" t="s">
        <v>116</v>
      </c>
      <c r="C96" t="s">
        <v>267</v>
      </c>
      <c r="D96" t="s">
        <v>24</v>
      </c>
      <c r="E96" t="s">
        <v>271</v>
      </c>
      <c r="F96" t="s">
        <v>272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f t="shared" si="1"/>
        <v>7</v>
      </c>
      <c r="O96" t="str">
        <f>IF(AND($A96=Dashboard!$B$3,$B96=Dashboard!$G$3,$D96&lt;&gt;"NO_SERVICE"),ROW(),"")</f>
        <v/>
      </c>
    </row>
    <row r="97" spans="1:15" x14ac:dyDescent="0.25">
      <c r="A97" t="s">
        <v>154</v>
      </c>
      <c r="B97" t="s">
        <v>116</v>
      </c>
      <c r="C97" t="s">
        <v>267</v>
      </c>
      <c r="D97" t="s">
        <v>21</v>
      </c>
      <c r="E97" t="s">
        <v>273</v>
      </c>
      <c r="F97" t="s">
        <v>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f t="shared" si="1"/>
        <v>7</v>
      </c>
      <c r="O97" t="str">
        <f>IF(AND($A97=Dashboard!$B$3,$B97=Dashboard!$G$3,$D97&lt;&gt;"NO_SERVICE"),ROW(),"")</f>
        <v/>
      </c>
    </row>
    <row r="98" spans="1:15" x14ac:dyDescent="0.25">
      <c r="A98" t="s">
        <v>154</v>
      </c>
      <c r="B98" t="s">
        <v>122</v>
      </c>
      <c r="C98" t="s">
        <v>274</v>
      </c>
      <c r="D98" t="s">
        <v>24</v>
      </c>
      <c r="E98" t="s">
        <v>275</v>
      </c>
      <c r="F98" t="s">
        <v>276</v>
      </c>
      <c r="G98">
        <v>0</v>
      </c>
      <c r="H98">
        <v>1</v>
      </c>
      <c r="I98">
        <v>0</v>
      </c>
      <c r="J98">
        <v>1</v>
      </c>
      <c r="K98">
        <v>0</v>
      </c>
      <c r="L98">
        <v>1</v>
      </c>
      <c r="M98">
        <v>0</v>
      </c>
      <c r="N98">
        <f t="shared" si="1"/>
        <v>3</v>
      </c>
      <c r="O98" t="str">
        <f>IF(AND($A98=Dashboard!$B$3,$B98=Dashboard!$G$3,$D98&lt;&gt;"NO_SERVICE"),ROW(),"")</f>
        <v/>
      </c>
    </row>
    <row r="99" spans="1:15" x14ac:dyDescent="0.25">
      <c r="A99" t="s">
        <v>154</v>
      </c>
      <c r="B99" t="s">
        <v>124</v>
      </c>
      <c r="C99" t="s">
        <v>277</v>
      </c>
      <c r="D99" t="s">
        <v>24</v>
      </c>
      <c r="E99" t="s">
        <v>278</v>
      </c>
      <c r="F99" t="s">
        <v>215</v>
      </c>
      <c r="G99">
        <v>0</v>
      </c>
      <c r="H99">
        <v>0</v>
      </c>
      <c r="I99">
        <v>0</v>
      </c>
      <c r="J99">
        <v>1</v>
      </c>
      <c r="K99">
        <v>1</v>
      </c>
      <c r="L99">
        <v>0</v>
      </c>
      <c r="M99">
        <v>0</v>
      </c>
      <c r="N99">
        <f t="shared" si="1"/>
        <v>2</v>
      </c>
      <c r="O99" t="str">
        <f>IF(AND($A99=Dashboard!$B$3,$B99=Dashboard!$G$3,$D99&lt;&gt;"NO_SERVICE"),ROW(),"")</f>
        <v/>
      </c>
    </row>
    <row r="100" spans="1:15" x14ac:dyDescent="0.25">
      <c r="A100" t="s">
        <v>154</v>
      </c>
      <c r="B100" t="s">
        <v>124</v>
      </c>
      <c r="C100" t="s">
        <v>277</v>
      </c>
      <c r="D100" t="s">
        <v>21</v>
      </c>
      <c r="E100" t="s">
        <v>279</v>
      </c>
      <c r="F100" t="s">
        <v>56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f t="shared" si="1"/>
        <v>7</v>
      </c>
      <c r="O100" t="str">
        <f>IF(AND($A100=Dashboard!$B$3,$B100=Dashboard!$G$3,$D100&lt;&gt;"NO_SERVICE"),ROW(),"")</f>
        <v/>
      </c>
    </row>
    <row r="101" spans="1:15" x14ac:dyDescent="0.25">
      <c r="A101" t="s">
        <v>154</v>
      </c>
      <c r="B101" t="s">
        <v>53</v>
      </c>
      <c r="C101" t="s">
        <v>280</v>
      </c>
      <c r="D101" t="s">
        <v>24</v>
      </c>
      <c r="E101" t="s">
        <v>281</v>
      </c>
      <c r="F101" t="s">
        <v>282</v>
      </c>
      <c r="G101">
        <v>1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f t="shared" si="1"/>
        <v>6</v>
      </c>
      <c r="O101" t="str">
        <f>IF(AND($A101=Dashboard!$B$3,$B101=Dashboard!$G$3,$D101&lt;&gt;"NO_SERVICE"),ROW(),"")</f>
        <v/>
      </c>
    </row>
    <row r="102" spans="1:15" x14ac:dyDescent="0.25">
      <c r="A102" t="s">
        <v>154</v>
      </c>
      <c r="B102" t="s">
        <v>53</v>
      </c>
      <c r="C102" t="s">
        <v>280</v>
      </c>
      <c r="D102" t="s">
        <v>24</v>
      </c>
      <c r="E102" t="s">
        <v>283</v>
      </c>
      <c r="F102" t="s">
        <v>168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f t="shared" si="1"/>
        <v>7</v>
      </c>
      <c r="O102" t="str">
        <f>IF(AND($A102=Dashboard!$B$3,$B102=Dashboard!$G$3,$D102&lt;&gt;"NO_SERVICE"),ROW(),"")</f>
        <v/>
      </c>
    </row>
    <row r="103" spans="1:15" x14ac:dyDescent="0.25">
      <c r="A103" t="s">
        <v>154</v>
      </c>
      <c r="B103" t="s">
        <v>53</v>
      </c>
      <c r="C103" t="s">
        <v>280</v>
      </c>
      <c r="D103" t="s">
        <v>24</v>
      </c>
      <c r="E103" t="s">
        <v>284</v>
      </c>
      <c r="F103" t="s">
        <v>285</v>
      </c>
      <c r="G103">
        <v>1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1</v>
      </c>
      <c r="N103">
        <f t="shared" si="1"/>
        <v>4</v>
      </c>
      <c r="O103" t="str">
        <f>IF(AND($A103=Dashboard!$B$3,$B103=Dashboard!$G$3,$D103&lt;&gt;"NO_SERVICE"),ROW(),"")</f>
        <v/>
      </c>
    </row>
    <row r="104" spans="1:15" x14ac:dyDescent="0.25">
      <c r="A104" t="s">
        <v>154</v>
      </c>
      <c r="B104" t="s">
        <v>53</v>
      </c>
      <c r="C104" t="s">
        <v>280</v>
      </c>
      <c r="D104" t="s">
        <v>24</v>
      </c>
      <c r="E104" t="s">
        <v>286</v>
      </c>
      <c r="F104" t="s">
        <v>208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f t="shared" si="1"/>
        <v>7</v>
      </c>
      <c r="O104" t="str">
        <f>IF(AND($A104=Dashboard!$B$3,$B104=Dashboard!$G$3,$D104&lt;&gt;"NO_SERVICE"),ROW(),"")</f>
        <v/>
      </c>
    </row>
    <row r="105" spans="1:15" x14ac:dyDescent="0.25">
      <c r="A105" t="s">
        <v>154</v>
      </c>
      <c r="B105" t="s">
        <v>53</v>
      </c>
      <c r="C105" t="s">
        <v>280</v>
      </c>
      <c r="D105" t="s">
        <v>24</v>
      </c>
      <c r="E105" t="s">
        <v>287</v>
      </c>
      <c r="F105" t="s">
        <v>159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f t="shared" si="1"/>
        <v>1</v>
      </c>
      <c r="O105" t="str">
        <f>IF(AND($A105=Dashboard!$B$3,$B105=Dashboard!$G$3,$D105&lt;&gt;"NO_SERVICE"),ROW(),"")</f>
        <v/>
      </c>
    </row>
    <row r="106" spans="1:15" x14ac:dyDescent="0.25">
      <c r="A106" t="s">
        <v>154</v>
      </c>
      <c r="B106" t="s">
        <v>53</v>
      </c>
      <c r="C106" t="s">
        <v>280</v>
      </c>
      <c r="D106" t="s">
        <v>24</v>
      </c>
      <c r="E106" t="s">
        <v>288</v>
      </c>
      <c r="F106" t="s">
        <v>289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f t="shared" si="1"/>
        <v>6</v>
      </c>
      <c r="O106" t="str">
        <f>IF(AND($A106=Dashboard!$B$3,$B106=Dashboard!$G$3,$D106&lt;&gt;"NO_SERVICE"),ROW(),"")</f>
        <v/>
      </c>
    </row>
    <row r="107" spans="1:15" x14ac:dyDescent="0.25">
      <c r="A107" t="s">
        <v>154</v>
      </c>
      <c r="B107" t="s">
        <v>53</v>
      </c>
      <c r="C107" t="s">
        <v>280</v>
      </c>
      <c r="D107" t="s">
        <v>24</v>
      </c>
      <c r="E107" t="s">
        <v>171</v>
      </c>
      <c r="F107" t="s">
        <v>195</v>
      </c>
      <c r="G107">
        <v>1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f t="shared" si="1"/>
        <v>6</v>
      </c>
      <c r="O107" t="str">
        <f>IF(AND($A107=Dashboard!$B$3,$B107=Dashboard!$G$3,$D107&lt;&gt;"NO_SERVICE"),ROW(),"")</f>
        <v/>
      </c>
    </row>
    <row r="108" spans="1:15" x14ac:dyDescent="0.25">
      <c r="A108" t="s">
        <v>154</v>
      </c>
      <c r="B108" t="s">
        <v>53</v>
      </c>
      <c r="C108" t="s">
        <v>280</v>
      </c>
      <c r="D108" t="s">
        <v>24</v>
      </c>
      <c r="E108" t="s">
        <v>290</v>
      </c>
      <c r="F108" t="s">
        <v>291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f t="shared" si="1"/>
        <v>1</v>
      </c>
      <c r="O108" t="str">
        <f>IF(AND($A108=Dashboard!$B$3,$B108=Dashboard!$G$3,$D108&lt;&gt;"NO_SERVICE"),ROW(),"")</f>
        <v/>
      </c>
    </row>
    <row r="109" spans="1:15" x14ac:dyDescent="0.25">
      <c r="A109" t="s">
        <v>154</v>
      </c>
      <c r="B109" t="s">
        <v>53</v>
      </c>
      <c r="C109" t="s">
        <v>280</v>
      </c>
      <c r="D109" t="s">
        <v>24</v>
      </c>
      <c r="E109" t="s">
        <v>292</v>
      </c>
      <c r="F109" t="s">
        <v>293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f t="shared" si="1"/>
        <v>7</v>
      </c>
      <c r="O109" t="str">
        <f>IF(AND($A109=Dashboard!$B$3,$B109=Dashboard!$G$3,$D109&lt;&gt;"NO_SERVICE"),ROW(),"")</f>
        <v/>
      </c>
    </row>
    <row r="110" spans="1:15" x14ac:dyDescent="0.25">
      <c r="A110" t="s">
        <v>154</v>
      </c>
      <c r="B110" t="s">
        <v>53</v>
      </c>
      <c r="C110" t="s">
        <v>280</v>
      </c>
      <c r="D110" t="s">
        <v>24</v>
      </c>
      <c r="E110" t="s">
        <v>294</v>
      </c>
      <c r="F110" t="s">
        <v>295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f t="shared" si="1"/>
        <v>7</v>
      </c>
      <c r="O110" t="str">
        <f>IF(AND($A110=Dashboard!$B$3,$B110=Dashboard!$G$3,$D110&lt;&gt;"NO_SERVICE"),ROW(),"")</f>
        <v/>
      </c>
    </row>
    <row r="111" spans="1:15" x14ac:dyDescent="0.25">
      <c r="A111" t="s">
        <v>154</v>
      </c>
      <c r="B111" t="s">
        <v>53</v>
      </c>
      <c r="C111" t="s">
        <v>280</v>
      </c>
      <c r="D111" t="s">
        <v>21</v>
      </c>
      <c r="E111" t="s">
        <v>296</v>
      </c>
      <c r="F111" t="s">
        <v>199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f t="shared" si="1"/>
        <v>7</v>
      </c>
      <c r="O111" t="str">
        <f>IF(AND($A111=Dashboard!$B$3,$B111=Dashboard!$G$3,$D111&lt;&gt;"NO_SERVICE"),ROW(),"")</f>
        <v/>
      </c>
    </row>
    <row r="112" spans="1:15" x14ac:dyDescent="0.25">
      <c r="A112" t="s">
        <v>154</v>
      </c>
      <c r="B112" t="s">
        <v>53</v>
      </c>
      <c r="C112" t="s">
        <v>280</v>
      </c>
      <c r="D112" t="s">
        <v>21</v>
      </c>
      <c r="E112" t="s">
        <v>297</v>
      </c>
      <c r="F112" t="s">
        <v>298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f t="shared" si="1"/>
        <v>7</v>
      </c>
      <c r="O112" t="str">
        <f>IF(AND($A112=Dashboard!$B$3,$B112=Dashboard!$G$3,$D112&lt;&gt;"NO_SERVICE"),ROW(),"")</f>
        <v/>
      </c>
    </row>
    <row r="113" spans="1:15" x14ac:dyDescent="0.25">
      <c r="A113" t="s">
        <v>154</v>
      </c>
      <c r="B113" t="s">
        <v>53</v>
      </c>
      <c r="C113" t="s">
        <v>280</v>
      </c>
      <c r="D113" t="s">
        <v>21</v>
      </c>
      <c r="E113" t="s">
        <v>299</v>
      </c>
      <c r="F113" t="s">
        <v>300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f t="shared" si="1"/>
        <v>1</v>
      </c>
      <c r="O113" t="str">
        <f>IF(AND($A113=Dashboard!$B$3,$B113=Dashboard!$G$3,$D113&lt;&gt;"NO_SERVICE"),ROW(),"")</f>
        <v/>
      </c>
    </row>
    <row r="114" spans="1:15" x14ac:dyDescent="0.25">
      <c r="A114" t="s">
        <v>154</v>
      </c>
      <c r="B114" t="s">
        <v>53</v>
      </c>
      <c r="C114" t="s">
        <v>280</v>
      </c>
      <c r="D114" t="s">
        <v>21</v>
      </c>
      <c r="E114" t="s">
        <v>301</v>
      </c>
      <c r="F114" t="s">
        <v>60</v>
      </c>
      <c r="G114">
        <v>1</v>
      </c>
      <c r="H114">
        <v>1</v>
      </c>
      <c r="I114">
        <v>1</v>
      </c>
      <c r="J114">
        <v>0</v>
      </c>
      <c r="K114">
        <v>1</v>
      </c>
      <c r="L114">
        <v>1</v>
      </c>
      <c r="M114">
        <v>1</v>
      </c>
      <c r="N114">
        <f t="shared" si="1"/>
        <v>6</v>
      </c>
      <c r="O114" t="str">
        <f>IF(AND($A114=Dashboard!$B$3,$B114=Dashboard!$G$3,$D114&lt;&gt;"NO_SERVICE"),ROW(),"")</f>
        <v/>
      </c>
    </row>
    <row r="115" spans="1:15" x14ac:dyDescent="0.25">
      <c r="A115" t="s">
        <v>154</v>
      </c>
      <c r="B115" t="s">
        <v>53</v>
      </c>
      <c r="C115" t="s">
        <v>280</v>
      </c>
      <c r="D115" t="s">
        <v>21</v>
      </c>
      <c r="E115" t="s">
        <v>302</v>
      </c>
      <c r="F115" t="s">
        <v>303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f t="shared" si="1"/>
        <v>7</v>
      </c>
      <c r="O115" t="str">
        <f>IF(AND($A115=Dashboard!$B$3,$B115=Dashboard!$G$3,$D115&lt;&gt;"NO_SERVICE"),ROW(),"")</f>
        <v/>
      </c>
    </row>
    <row r="116" spans="1:15" x14ac:dyDescent="0.25">
      <c r="A116" t="s">
        <v>154</v>
      </c>
      <c r="B116" t="s">
        <v>128</v>
      </c>
      <c r="C116" t="s">
        <v>304</v>
      </c>
      <c r="D116" t="s">
        <v>52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f t="shared" si="1"/>
        <v>0</v>
      </c>
      <c r="O116" t="str">
        <f>IF(AND($A116=Dashboard!$B$3,$B116=Dashboard!$G$3,$D116&lt;&gt;"NO_SERVICE"),ROW(),"")</f>
        <v/>
      </c>
    </row>
    <row r="117" spans="1:15" x14ac:dyDescent="0.25">
      <c r="A117" t="s">
        <v>154</v>
      </c>
      <c r="B117" t="s">
        <v>132</v>
      </c>
      <c r="C117" t="s">
        <v>305</v>
      </c>
      <c r="D117" t="s">
        <v>24</v>
      </c>
      <c r="E117" t="s">
        <v>306</v>
      </c>
      <c r="F117" t="s">
        <v>307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f t="shared" si="1"/>
        <v>7</v>
      </c>
      <c r="O117" t="str">
        <f>IF(AND($A117=Dashboard!$B$3,$B117=Dashboard!$G$3,$D117&lt;&gt;"NO_SERVICE"),ROW(),"")</f>
        <v/>
      </c>
    </row>
    <row r="118" spans="1:15" x14ac:dyDescent="0.25">
      <c r="A118" t="s">
        <v>154</v>
      </c>
      <c r="B118" t="s">
        <v>132</v>
      </c>
      <c r="C118" t="s">
        <v>305</v>
      </c>
      <c r="D118" t="s">
        <v>24</v>
      </c>
      <c r="E118" t="s">
        <v>308</v>
      </c>
      <c r="F118" t="s">
        <v>309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f t="shared" si="1"/>
        <v>7</v>
      </c>
      <c r="O118" t="str">
        <f>IF(AND($A118=Dashboard!$B$3,$B118=Dashboard!$G$3,$D118&lt;&gt;"NO_SERVICE"),ROW(),"")</f>
        <v/>
      </c>
    </row>
    <row r="119" spans="1:15" x14ac:dyDescent="0.25">
      <c r="A119" t="s">
        <v>154</v>
      </c>
      <c r="B119" t="s">
        <v>132</v>
      </c>
      <c r="C119" t="s">
        <v>305</v>
      </c>
      <c r="D119" t="s">
        <v>24</v>
      </c>
      <c r="E119" t="s">
        <v>310</v>
      </c>
      <c r="F119" t="s">
        <v>212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1</v>
      </c>
      <c r="M119">
        <v>1</v>
      </c>
      <c r="N119">
        <f t="shared" si="1"/>
        <v>3</v>
      </c>
      <c r="O119" t="str">
        <f>IF(AND($A119=Dashboard!$B$3,$B119=Dashboard!$G$3,$D119&lt;&gt;"NO_SERVICE"),ROW(),"")</f>
        <v/>
      </c>
    </row>
    <row r="120" spans="1:15" x14ac:dyDescent="0.25">
      <c r="A120" t="s">
        <v>154</v>
      </c>
      <c r="B120" t="s">
        <v>132</v>
      </c>
      <c r="C120" t="s">
        <v>305</v>
      </c>
      <c r="D120" t="s">
        <v>24</v>
      </c>
      <c r="E120" t="s">
        <v>311</v>
      </c>
      <c r="F120" t="s">
        <v>180</v>
      </c>
      <c r="G120">
        <v>1</v>
      </c>
      <c r="H120">
        <v>0</v>
      </c>
      <c r="I120">
        <v>0</v>
      </c>
      <c r="J120">
        <v>1</v>
      </c>
      <c r="K120">
        <v>1</v>
      </c>
      <c r="L120">
        <v>1</v>
      </c>
      <c r="M120">
        <v>1</v>
      </c>
      <c r="N120">
        <f t="shared" si="1"/>
        <v>5</v>
      </c>
      <c r="O120" t="str">
        <f>IF(AND($A120=Dashboard!$B$3,$B120=Dashboard!$G$3,$D120&lt;&gt;"NO_SERVICE"),ROW(),"")</f>
        <v/>
      </c>
    </row>
    <row r="121" spans="1:15" x14ac:dyDescent="0.25">
      <c r="A121" t="s">
        <v>154</v>
      </c>
      <c r="B121" t="s">
        <v>132</v>
      </c>
      <c r="C121" t="s">
        <v>305</v>
      </c>
      <c r="D121" t="s">
        <v>21</v>
      </c>
      <c r="E121" t="s">
        <v>312</v>
      </c>
      <c r="F121" t="s">
        <v>272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f t="shared" si="1"/>
        <v>7</v>
      </c>
      <c r="O121" t="str">
        <f>IF(AND($A121=Dashboard!$B$3,$B121=Dashboard!$G$3,$D121&lt;&gt;"NO_SERVICE"),ROW(),"")</f>
        <v/>
      </c>
    </row>
    <row r="122" spans="1:15" x14ac:dyDescent="0.25">
      <c r="A122" t="s">
        <v>154</v>
      </c>
      <c r="B122" t="s">
        <v>134</v>
      </c>
      <c r="C122" t="s">
        <v>313</v>
      </c>
      <c r="D122" t="s">
        <v>24</v>
      </c>
      <c r="E122" t="s">
        <v>314</v>
      </c>
      <c r="F122" t="s">
        <v>315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f t="shared" si="1"/>
        <v>7</v>
      </c>
      <c r="O122" t="str">
        <f>IF(AND($A122=Dashboard!$B$3,$B122=Dashboard!$G$3,$D122&lt;&gt;"NO_SERVICE"),ROW(),"")</f>
        <v/>
      </c>
    </row>
    <row r="123" spans="1:15" x14ac:dyDescent="0.25">
      <c r="A123" t="s">
        <v>154</v>
      </c>
      <c r="B123" t="s">
        <v>134</v>
      </c>
      <c r="C123" t="s">
        <v>313</v>
      </c>
      <c r="D123" t="s">
        <v>24</v>
      </c>
      <c r="E123" t="s">
        <v>316</v>
      </c>
      <c r="F123" t="s">
        <v>317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f t="shared" si="1"/>
        <v>7</v>
      </c>
      <c r="O123" t="str">
        <f>IF(AND($A123=Dashboard!$B$3,$B123=Dashboard!$G$3,$D123&lt;&gt;"NO_SERVICE"),ROW(),"")</f>
        <v/>
      </c>
    </row>
    <row r="124" spans="1:15" x14ac:dyDescent="0.25">
      <c r="A124" t="s">
        <v>154</v>
      </c>
      <c r="B124" t="s">
        <v>134</v>
      </c>
      <c r="C124" t="s">
        <v>313</v>
      </c>
      <c r="D124" t="s">
        <v>21</v>
      </c>
      <c r="E124" t="s">
        <v>318</v>
      </c>
      <c r="F124" t="s">
        <v>319</v>
      </c>
      <c r="G124">
        <v>1</v>
      </c>
      <c r="H124">
        <v>1</v>
      </c>
      <c r="I124">
        <v>1</v>
      </c>
      <c r="J124">
        <v>1</v>
      </c>
      <c r="K124">
        <v>0</v>
      </c>
      <c r="L124">
        <v>1</v>
      </c>
      <c r="M124">
        <v>0</v>
      </c>
      <c r="N124">
        <f t="shared" si="1"/>
        <v>5</v>
      </c>
      <c r="O124" t="str">
        <f>IF(AND($A124=Dashboard!$B$3,$B124=Dashboard!$G$3,$D124&lt;&gt;"NO_SERVICE"),ROW(),"")</f>
        <v/>
      </c>
    </row>
    <row r="125" spans="1:15" x14ac:dyDescent="0.25">
      <c r="A125" t="s">
        <v>154</v>
      </c>
      <c r="B125" t="s">
        <v>134</v>
      </c>
      <c r="C125" t="s">
        <v>313</v>
      </c>
      <c r="D125" t="s">
        <v>21</v>
      </c>
      <c r="E125" t="s">
        <v>320</v>
      </c>
      <c r="F125" t="s">
        <v>262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f t="shared" si="1"/>
        <v>7</v>
      </c>
      <c r="O125" t="str">
        <f>IF(AND($A125=Dashboard!$B$3,$B125=Dashboard!$G$3,$D125&lt;&gt;"NO_SERVICE"),ROW(),"")</f>
        <v/>
      </c>
    </row>
    <row r="126" spans="1:15" x14ac:dyDescent="0.25">
      <c r="A126" t="s">
        <v>154</v>
      </c>
      <c r="B126" t="s">
        <v>134</v>
      </c>
      <c r="C126" t="s">
        <v>313</v>
      </c>
      <c r="D126" t="s">
        <v>21</v>
      </c>
      <c r="E126" t="s">
        <v>321</v>
      </c>
      <c r="F126" t="s">
        <v>322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1</v>
      </c>
      <c r="M126">
        <v>0</v>
      </c>
      <c r="N126">
        <f t="shared" si="1"/>
        <v>2</v>
      </c>
      <c r="O126" t="str">
        <f>IF(AND($A126=Dashboard!$B$3,$B126=Dashboard!$G$3,$D126&lt;&gt;"NO_SERVICE"),ROW(),"")</f>
        <v/>
      </c>
    </row>
    <row r="127" spans="1:15" x14ac:dyDescent="0.25">
      <c r="A127" t="s">
        <v>154</v>
      </c>
      <c r="B127" t="s">
        <v>138</v>
      </c>
      <c r="C127" t="s">
        <v>323</v>
      </c>
      <c r="D127" t="s">
        <v>52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f t="shared" si="1"/>
        <v>0</v>
      </c>
      <c r="O127" t="str">
        <f>IF(AND($A127=Dashboard!$B$3,$B127=Dashboard!$G$3,$D127&lt;&gt;"NO_SERVICE"),ROW(),"")</f>
        <v/>
      </c>
    </row>
    <row r="128" spans="1:15" x14ac:dyDescent="0.25">
      <c r="A128" t="s">
        <v>154</v>
      </c>
      <c r="B128" t="s">
        <v>140</v>
      </c>
      <c r="C128" t="s">
        <v>324</v>
      </c>
      <c r="D128" t="s">
        <v>24</v>
      </c>
      <c r="E128" t="s">
        <v>325</v>
      </c>
      <c r="F128" t="s">
        <v>326</v>
      </c>
      <c r="G128">
        <v>0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0</v>
      </c>
      <c r="N128">
        <f t="shared" si="1"/>
        <v>3</v>
      </c>
      <c r="O128" t="str">
        <f>IF(AND($A128=Dashboard!$B$3,$B128=Dashboard!$G$3,$D128&lt;&gt;"NO_SERVICE"),ROW(),"")</f>
        <v/>
      </c>
    </row>
    <row r="129" spans="1:15" x14ac:dyDescent="0.25">
      <c r="A129" t="s">
        <v>154</v>
      </c>
      <c r="B129" t="s">
        <v>140</v>
      </c>
      <c r="C129" t="s">
        <v>324</v>
      </c>
      <c r="D129" t="s">
        <v>24</v>
      </c>
      <c r="E129" t="s">
        <v>327</v>
      </c>
      <c r="F129" t="s">
        <v>242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f t="shared" si="1"/>
        <v>7</v>
      </c>
      <c r="O129" t="str">
        <f>IF(AND($A129=Dashboard!$B$3,$B129=Dashboard!$G$3,$D129&lt;&gt;"NO_SERVICE"),ROW(),"")</f>
        <v/>
      </c>
    </row>
    <row r="130" spans="1:15" x14ac:dyDescent="0.25">
      <c r="A130" t="s">
        <v>154</v>
      </c>
      <c r="B130" t="s">
        <v>144</v>
      </c>
      <c r="C130" t="s">
        <v>328</v>
      </c>
      <c r="D130" t="s">
        <v>24</v>
      </c>
      <c r="E130" t="s">
        <v>329</v>
      </c>
      <c r="F130" t="s">
        <v>330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f t="shared" ref="N130:N193" si="2">SUM(G130:M130)</f>
        <v>7</v>
      </c>
      <c r="O130" t="str">
        <f>IF(AND($A130=Dashboard!$B$3,$B130=Dashboard!$G$3,$D130&lt;&gt;"NO_SERVICE"),ROW(),"")</f>
        <v/>
      </c>
    </row>
    <row r="131" spans="1:15" x14ac:dyDescent="0.25">
      <c r="A131" t="s">
        <v>154</v>
      </c>
      <c r="B131" t="s">
        <v>144</v>
      </c>
      <c r="C131" t="s">
        <v>328</v>
      </c>
      <c r="D131" t="s">
        <v>24</v>
      </c>
      <c r="E131" t="s">
        <v>331</v>
      </c>
      <c r="F131" t="s">
        <v>293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f t="shared" si="2"/>
        <v>7</v>
      </c>
      <c r="O131" t="str">
        <f>IF(AND($A131=Dashboard!$B$3,$B131=Dashboard!$G$3,$D131&lt;&gt;"NO_SERVICE"),ROW(),"")</f>
        <v/>
      </c>
    </row>
    <row r="132" spans="1:15" x14ac:dyDescent="0.25">
      <c r="A132" t="s">
        <v>154</v>
      </c>
      <c r="B132" t="s">
        <v>144</v>
      </c>
      <c r="C132" t="s">
        <v>328</v>
      </c>
      <c r="D132" t="s">
        <v>26</v>
      </c>
      <c r="E132" t="s">
        <v>332</v>
      </c>
      <c r="F132" t="s">
        <v>333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1</v>
      </c>
      <c r="N132">
        <f t="shared" si="2"/>
        <v>2</v>
      </c>
      <c r="O132" t="str">
        <f>IF(AND($A132=Dashboard!$B$3,$B132=Dashboard!$G$3,$D132&lt;&gt;"NO_SERVICE"),ROW(),"")</f>
        <v/>
      </c>
    </row>
    <row r="133" spans="1:15" x14ac:dyDescent="0.25">
      <c r="A133" t="s">
        <v>154</v>
      </c>
      <c r="B133" t="s">
        <v>144</v>
      </c>
      <c r="C133" t="s">
        <v>328</v>
      </c>
      <c r="D133" t="s">
        <v>21</v>
      </c>
      <c r="E133" t="s">
        <v>334</v>
      </c>
      <c r="F133" t="s">
        <v>335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f t="shared" si="2"/>
        <v>7</v>
      </c>
      <c r="O133" t="str">
        <f>IF(AND($A133=Dashboard!$B$3,$B133=Dashboard!$G$3,$D133&lt;&gt;"NO_SERVICE"),ROW(),"")</f>
        <v/>
      </c>
    </row>
    <row r="134" spans="1:15" x14ac:dyDescent="0.25">
      <c r="A134" t="s">
        <v>154</v>
      </c>
      <c r="B134" t="s">
        <v>148</v>
      </c>
      <c r="C134" t="s">
        <v>336</v>
      </c>
      <c r="D134" t="s">
        <v>52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f t="shared" si="2"/>
        <v>0</v>
      </c>
      <c r="O134" t="str">
        <f>IF(AND($A134=Dashboard!$B$3,$B134=Dashboard!$G$3,$D134&lt;&gt;"NO_SERVICE"),ROW(),"")</f>
        <v/>
      </c>
    </row>
    <row r="135" spans="1:15" x14ac:dyDescent="0.25">
      <c r="A135" t="s">
        <v>154</v>
      </c>
      <c r="B135" t="s">
        <v>150</v>
      </c>
      <c r="C135" t="s">
        <v>337</v>
      </c>
      <c r="D135" t="s">
        <v>24</v>
      </c>
      <c r="E135" t="s">
        <v>338</v>
      </c>
      <c r="F135" t="s">
        <v>339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f t="shared" si="2"/>
        <v>7</v>
      </c>
      <c r="O135" t="str">
        <f>IF(AND($A135=Dashboard!$B$3,$B135=Dashboard!$G$3,$D135&lt;&gt;"NO_SERVICE"),ROW(),"")</f>
        <v/>
      </c>
    </row>
    <row r="136" spans="1:15" x14ac:dyDescent="0.25">
      <c r="A136" t="s">
        <v>154</v>
      </c>
      <c r="B136" t="s">
        <v>150</v>
      </c>
      <c r="C136" t="s">
        <v>337</v>
      </c>
      <c r="D136" t="s">
        <v>24</v>
      </c>
      <c r="E136" t="s">
        <v>340</v>
      </c>
      <c r="F136" t="s">
        <v>56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f t="shared" si="2"/>
        <v>7</v>
      </c>
      <c r="O136" t="str">
        <f>IF(AND($A136=Dashboard!$B$3,$B136=Dashboard!$G$3,$D136&lt;&gt;"NO_SERVICE"),ROW(),"")</f>
        <v/>
      </c>
    </row>
    <row r="137" spans="1:15" x14ac:dyDescent="0.25">
      <c r="A137" t="s">
        <v>154</v>
      </c>
      <c r="B137" t="s">
        <v>150</v>
      </c>
      <c r="C137" t="s">
        <v>337</v>
      </c>
      <c r="D137" t="s">
        <v>24</v>
      </c>
      <c r="E137" t="s">
        <v>341</v>
      </c>
      <c r="F137" t="s">
        <v>342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f t="shared" si="2"/>
        <v>7</v>
      </c>
      <c r="O137" t="str">
        <f>IF(AND($A137=Dashboard!$B$3,$B137=Dashboard!$G$3,$D137&lt;&gt;"NO_SERVICE"),ROW(),"")</f>
        <v/>
      </c>
    </row>
    <row r="138" spans="1:15" x14ac:dyDescent="0.25">
      <c r="A138" t="s">
        <v>154</v>
      </c>
      <c r="B138" t="s">
        <v>150</v>
      </c>
      <c r="C138" t="s">
        <v>337</v>
      </c>
      <c r="D138" t="s">
        <v>21</v>
      </c>
      <c r="E138" t="s">
        <v>343</v>
      </c>
      <c r="F138" t="s">
        <v>215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f t="shared" si="2"/>
        <v>7</v>
      </c>
      <c r="O138" t="str">
        <f>IF(AND($A138=Dashboard!$B$3,$B138=Dashboard!$G$3,$D138&lt;&gt;"NO_SERVICE"),ROW(),"")</f>
        <v/>
      </c>
    </row>
    <row r="139" spans="1:15" x14ac:dyDescent="0.25">
      <c r="A139" t="s">
        <v>154</v>
      </c>
      <c r="B139" t="s">
        <v>152</v>
      </c>
      <c r="C139" t="s">
        <v>344</v>
      </c>
      <c r="D139" t="s">
        <v>24</v>
      </c>
      <c r="E139" t="s">
        <v>345</v>
      </c>
      <c r="F139" t="s">
        <v>70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f t="shared" si="2"/>
        <v>7</v>
      </c>
      <c r="O139" t="str">
        <f>IF(AND($A139=Dashboard!$B$3,$B139=Dashboard!$G$3,$D139&lt;&gt;"NO_SERVICE"),ROW(),"")</f>
        <v/>
      </c>
    </row>
    <row r="140" spans="1:15" x14ac:dyDescent="0.25">
      <c r="A140" t="s">
        <v>154</v>
      </c>
      <c r="B140" t="s">
        <v>152</v>
      </c>
      <c r="C140" t="s">
        <v>344</v>
      </c>
      <c r="D140" t="s">
        <v>24</v>
      </c>
      <c r="E140" t="s">
        <v>346</v>
      </c>
      <c r="F140" t="s">
        <v>347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f t="shared" si="2"/>
        <v>7</v>
      </c>
      <c r="O140" t="str">
        <f>IF(AND($A140=Dashboard!$B$3,$B140=Dashboard!$G$3,$D140&lt;&gt;"NO_SERVICE"),ROW(),"")</f>
        <v/>
      </c>
    </row>
    <row r="141" spans="1:15" x14ac:dyDescent="0.25">
      <c r="A141" t="s">
        <v>154</v>
      </c>
      <c r="B141" t="s">
        <v>152</v>
      </c>
      <c r="C141" t="s">
        <v>344</v>
      </c>
      <c r="D141" t="s">
        <v>24</v>
      </c>
      <c r="E141" t="s">
        <v>348</v>
      </c>
      <c r="F141" t="s">
        <v>349</v>
      </c>
      <c r="G141">
        <v>1</v>
      </c>
      <c r="H141">
        <v>0</v>
      </c>
      <c r="I141">
        <v>1</v>
      </c>
      <c r="J141">
        <v>0</v>
      </c>
      <c r="K141">
        <v>1</v>
      </c>
      <c r="L141">
        <v>0</v>
      </c>
      <c r="M141">
        <v>1</v>
      </c>
      <c r="N141">
        <f t="shared" si="2"/>
        <v>4</v>
      </c>
      <c r="O141" t="str">
        <f>IF(AND($A141=Dashboard!$B$3,$B141=Dashboard!$G$3,$D141&lt;&gt;"NO_SERVICE"),ROW(),"")</f>
        <v/>
      </c>
    </row>
    <row r="142" spans="1:15" x14ac:dyDescent="0.25">
      <c r="A142" t="s">
        <v>154</v>
      </c>
      <c r="B142" t="s">
        <v>152</v>
      </c>
      <c r="C142" t="s">
        <v>344</v>
      </c>
      <c r="D142" t="s">
        <v>21</v>
      </c>
      <c r="E142" t="s">
        <v>350</v>
      </c>
      <c r="F142" t="s">
        <v>182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0</v>
      </c>
      <c r="N142">
        <f t="shared" si="2"/>
        <v>3</v>
      </c>
      <c r="O142" t="str">
        <f>IF(AND($A142=Dashboard!$B$3,$B142=Dashboard!$G$3,$D142&lt;&gt;"NO_SERVICE"),ROW(),"")</f>
        <v/>
      </c>
    </row>
    <row r="143" spans="1:15" x14ac:dyDescent="0.25">
      <c r="A143" t="s">
        <v>154</v>
      </c>
      <c r="B143" t="s">
        <v>152</v>
      </c>
      <c r="C143" t="s">
        <v>344</v>
      </c>
      <c r="D143" t="s">
        <v>21</v>
      </c>
      <c r="E143" t="s">
        <v>351</v>
      </c>
      <c r="F143" t="s">
        <v>352</v>
      </c>
      <c r="G143">
        <v>0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0</v>
      </c>
      <c r="N143">
        <f t="shared" si="2"/>
        <v>2</v>
      </c>
      <c r="O143" t="str">
        <f>IF(AND($A143=Dashboard!$B$3,$B143=Dashboard!$G$3,$D143&lt;&gt;"NO_SERVICE"),ROW(),"")</f>
        <v/>
      </c>
    </row>
    <row r="144" spans="1:15" x14ac:dyDescent="0.25">
      <c r="A144" t="s">
        <v>353</v>
      </c>
      <c r="B144" t="s">
        <v>46</v>
      </c>
      <c r="C144" t="s">
        <v>354</v>
      </c>
      <c r="D144" t="s">
        <v>24</v>
      </c>
      <c r="E144" t="s">
        <v>355</v>
      </c>
      <c r="F144" t="s">
        <v>356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f t="shared" si="2"/>
        <v>7</v>
      </c>
      <c r="O144" t="str">
        <f>IF(AND($A144=Dashboard!$B$3,$B144=Dashboard!$G$3,$D144&lt;&gt;"NO_SERVICE"),ROW(),"")</f>
        <v/>
      </c>
    </row>
    <row r="145" spans="1:15" x14ac:dyDescent="0.25">
      <c r="A145" t="s">
        <v>353</v>
      </c>
      <c r="B145" t="s">
        <v>46</v>
      </c>
      <c r="C145" t="s">
        <v>354</v>
      </c>
      <c r="D145" t="s">
        <v>24</v>
      </c>
      <c r="E145" t="s">
        <v>357</v>
      </c>
      <c r="F145" t="s">
        <v>262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f t="shared" si="2"/>
        <v>7</v>
      </c>
      <c r="O145" t="str">
        <f>IF(AND($A145=Dashboard!$B$3,$B145=Dashboard!$G$3,$D145&lt;&gt;"NO_SERVICE"),ROW(),"")</f>
        <v/>
      </c>
    </row>
    <row r="146" spans="1:15" x14ac:dyDescent="0.25">
      <c r="A146" t="s">
        <v>353</v>
      </c>
      <c r="B146" t="s">
        <v>46</v>
      </c>
      <c r="C146" t="s">
        <v>354</v>
      </c>
      <c r="D146" t="s">
        <v>24</v>
      </c>
      <c r="E146" t="s">
        <v>358</v>
      </c>
      <c r="F146" t="s">
        <v>359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f t="shared" si="2"/>
        <v>7</v>
      </c>
      <c r="O146" t="str">
        <f>IF(AND($A146=Dashboard!$B$3,$B146=Dashboard!$G$3,$D146&lt;&gt;"NO_SERVICE"),ROW(),"")</f>
        <v/>
      </c>
    </row>
    <row r="147" spans="1:15" x14ac:dyDescent="0.25">
      <c r="A147" t="s">
        <v>353</v>
      </c>
      <c r="B147" t="s">
        <v>46</v>
      </c>
      <c r="C147" t="s">
        <v>354</v>
      </c>
      <c r="D147" t="s">
        <v>21</v>
      </c>
      <c r="E147" t="s">
        <v>360</v>
      </c>
      <c r="F147" t="s">
        <v>186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f t="shared" si="2"/>
        <v>7</v>
      </c>
      <c r="O147" t="str">
        <f>IF(AND($A147=Dashboard!$B$3,$B147=Dashboard!$G$3,$D147&lt;&gt;"NO_SERVICE"),ROW(),"")</f>
        <v/>
      </c>
    </row>
    <row r="148" spans="1:15" x14ac:dyDescent="0.25">
      <c r="A148" t="s">
        <v>353</v>
      </c>
      <c r="B148" t="s">
        <v>50</v>
      </c>
      <c r="C148" t="s">
        <v>361</v>
      </c>
      <c r="D148" t="s">
        <v>24</v>
      </c>
      <c r="E148" t="s">
        <v>362</v>
      </c>
      <c r="F148" t="s">
        <v>217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f t="shared" si="2"/>
        <v>7</v>
      </c>
      <c r="O148" t="str">
        <f>IF(AND($A148=Dashboard!$B$3,$B148=Dashboard!$G$3,$D148&lt;&gt;"NO_SERVICE"),ROW(),"")</f>
        <v/>
      </c>
    </row>
    <row r="149" spans="1:15" x14ac:dyDescent="0.25">
      <c r="A149" t="s">
        <v>353</v>
      </c>
      <c r="B149" t="s">
        <v>50</v>
      </c>
      <c r="C149" t="s">
        <v>361</v>
      </c>
      <c r="D149" t="s">
        <v>24</v>
      </c>
      <c r="E149" t="s">
        <v>363</v>
      </c>
      <c r="F149" t="s">
        <v>364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f t="shared" si="2"/>
        <v>7</v>
      </c>
      <c r="O149" t="str">
        <f>IF(AND($A149=Dashboard!$B$3,$B149=Dashboard!$G$3,$D149&lt;&gt;"NO_SERVICE"),ROW(),"")</f>
        <v/>
      </c>
    </row>
    <row r="150" spans="1:15" x14ac:dyDescent="0.25">
      <c r="A150" t="s">
        <v>353</v>
      </c>
      <c r="B150" t="s">
        <v>50</v>
      </c>
      <c r="C150" t="s">
        <v>361</v>
      </c>
      <c r="D150" t="s">
        <v>21</v>
      </c>
      <c r="E150" t="s">
        <v>365</v>
      </c>
      <c r="F150" t="s">
        <v>366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f t="shared" si="2"/>
        <v>7</v>
      </c>
      <c r="O150" t="str">
        <f>IF(AND($A150=Dashboard!$B$3,$B150=Dashboard!$G$3,$D150&lt;&gt;"NO_SERVICE"),ROW(),"")</f>
        <v/>
      </c>
    </row>
    <row r="151" spans="1:15" x14ac:dyDescent="0.25">
      <c r="A151" t="s">
        <v>353</v>
      </c>
      <c r="B151" t="s">
        <v>50</v>
      </c>
      <c r="C151" t="s">
        <v>361</v>
      </c>
      <c r="D151" t="s">
        <v>21</v>
      </c>
      <c r="E151" t="s">
        <v>367</v>
      </c>
      <c r="F151" t="s">
        <v>368</v>
      </c>
      <c r="G151">
        <v>0</v>
      </c>
      <c r="H151">
        <v>0</v>
      </c>
      <c r="I151">
        <v>1</v>
      </c>
      <c r="J151">
        <v>1</v>
      </c>
      <c r="K151">
        <v>1</v>
      </c>
      <c r="L151">
        <v>0</v>
      </c>
      <c r="M151">
        <v>0</v>
      </c>
      <c r="N151">
        <f t="shared" si="2"/>
        <v>3</v>
      </c>
      <c r="O151" t="str">
        <f>IF(AND($A151=Dashboard!$B$3,$B151=Dashboard!$G$3,$D151&lt;&gt;"NO_SERVICE"),ROW(),"")</f>
        <v/>
      </c>
    </row>
    <row r="152" spans="1:15" x14ac:dyDescent="0.25">
      <c r="A152" t="s">
        <v>353</v>
      </c>
      <c r="B152" t="s">
        <v>50</v>
      </c>
      <c r="C152" t="s">
        <v>361</v>
      </c>
      <c r="D152" t="s">
        <v>21</v>
      </c>
      <c r="E152" t="s">
        <v>369</v>
      </c>
      <c r="F152" t="s">
        <v>232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f t="shared" si="2"/>
        <v>7</v>
      </c>
      <c r="O152" t="str">
        <f>IF(AND($A152=Dashboard!$B$3,$B152=Dashboard!$G$3,$D152&lt;&gt;"NO_SERVICE"),ROW(),"")</f>
        <v/>
      </c>
    </row>
    <row r="153" spans="1:15" x14ac:dyDescent="0.25">
      <c r="A153" t="s">
        <v>353</v>
      </c>
      <c r="B153" t="s">
        <v>53</v>
      </c>
      <c r="C153" t="s">
        <v>370</v>
      </c>
      <c r="D153" t="s">
        <v>24</v>
      </c>
      <c r="E153" t="s">
        <v>371</v>
      </c>
      <c r="F153" t="s">
        <v>372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f t="shared" si="2"/>
        <v>7</v>
      </c>
      <c r="O153" t="str">
        <f>IF(AND($A153=Dashboard!$B$3,$B153=Dashboard!$G$3,$D153&lt;&gt;"NO_SERVICE"),ROW(),"")</f>
        <v/>
      </c>
    </row>
    <row r="154" spans="1:15" x14ac:dyDescent="0.25">
      <c r="A154" t="s">
        <v>353</v>
      </c>
      <c r="B154" t="s">
        <v>53</v>
      </c>
      <c r="C154" t="s">
        <v>370</v>
      </c>
      <c r="D154" t="s">
        <v>24</v>
      </c>
      <c r="E154" t="s">
        <v>373</v>
      </c>
      <c r="F154" t="s">
        <v>374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f t="shared" si="2"/>
        <v>7</v>
      </c>
      <c r="O154" t="str">
        <f>IF(AND($A154=Dashboard!$B$3,$B154=Dashboard!$G$3,$D154&lt;&gt;"NO_SERVICE"),ROW(),"")</f>
        <v/>
      </c>
    </row>
    <row r="155" spans="1:15" x14ac:dyDescent="0.25">
      <c r="A155" t="s">
        <v>353</v>
      </c>
      <c r="B155" t="s">
        <v>53</v>
      </c>
      <c r="C155" t="s">
        <v>370</v>
      </c>
      <c r="D155" t="s">
        <v>24</v>
      </c>
      <c r="E155" t="s">
        <v>375</v>
      </c>
      <c r="F155" t="s">
        <v>376</v>
      </c>
      <c r="G155">
        <v>1</v>
      </c>
      <c r="H155">
        <v>0</v>
      </c>
      <c r="I155">
        <v>1</v>
      </c>
      <c r="J155">
        <v>1</v>
      </c>
      <c r="K155">
        <v>1</v>
      </c>
      <c r="L155">
        <v>1</v>
      </c>
      <c r="M155">
        <v>1</v>
      </c>
      <c r="N155">
        <f t="shared" si="2"/>
        <v>6</v>
      </c>
      <c r="O155" t="str">
        <f>IF(AND($A155=Dashboard!$B$3,$B155=Dashboard!$G$3,$D155&lt;&gt;"NO_SERVICE"),ROW(),"")</f>
        <v/>
      </c>
    </row>
    <row r="156" spans="1:15" x14ac:dyDescent="0.25">
      <c r="A156" t="s">
        <v>353</v>
      </c>
      <c r="B156" t="s">
        <v>53</v>
      </c>
      <c r="C156" t="s">
        <v>370</v>
      </c>
      <c r="D156" t="s">
        <v>24</v>
      </c>
      <c r="E156" t="s">
        <v>377</v>
      </c>
      <c r="F156" t="s">
        <v>378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f t="shared" si="2"/>
        <v>7</v>
      </c>
      <c r="O156" t="str">
        <f>IF(AND($A156=Dashboard!$B$3,$B156=Dashboard!$G$3,$D156&lt;&gt;"NO_SERVICE"),ROW(),"")</f>
        <v/>
      </c>
    </row>
    <row r="157" spans="1:15" x14ac:dyDescent="0.25">
      <c r="A157" t="s">
        <v>353</v>
      </c>
      <c r="B157" t="s">
        <v>53</v>
      </c>
      <c r="C157" t="s">
        <v>370</v>
      </c>
      <c r="D157" t="s">
        <v>24</v>
      </c>
      <c r="E157" t="s">
        <v>379</v>
      </c>
      <c r="F157" t="s">
        <v>232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f t="shared" si="2"/>
        <v>1</v>
      </c>
      <c r="O157" t="str">
        <f>IF(AND($A157=Dashboard!$B$3,$B157=Dashboard!$G$3,$D157&lt;&gt;"NO_SERVICE"),ROW(),"")</f>
        <v/>
      </c>
    </row>
    <row r="158" spans="1:15" x14ac:dyDescent="0.25">
      <c r="A158" t="s">
        <v>353</v>
      </c>
      <c r="B158" t="s">
        <v>53</v>
      </c>
      <c r="C158" t="s">
        <v>370</v>
      </c>
      <c r="D158" t="s">
        <v>21</v>
      </c>
      <c r="E158" t="s">
        <v>380</v>
      </c>
      <c r="F158" t="s">
        <v>258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f t="shared" si="2"/>
        <v>7</v>
      </c>
      <c r="O158" t="str">
        <f>IF(AND($A158=Dashboard!$B$3,$B158=Dashboard!$G$3,$D158&lt;&gt;"NO_SERVICE"),ROW(),"")</f>
        <v/>
      </c>
    </row>
    <row r="159" spans="1:15" x14ac:dyDescent="0.25">
      <c r="A159" t="s">
        <v>353</v>
      </c>
      <c r="B159" t="s">
        <v>53</v>
      </c>
      <c r="C159" t="s">
        <v>370</v>
      </c>
      <c r="D159" t="s">
        <v>21</v>
      </c>
      <c r="E159" t="s">
        <v>381</v>
      </c>
      <c r="F159" t="s">
        <v>382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f t="shared" si="2"/>
        <v>7</v>
      </c>
      <c r="O159" t="str">
        <f>IF(AND($A159=Dashboard!$B$3,$B159=Dashboard!$G$3,$D159&lt;&gt;"NO_SERVICE"),ROW(),"")</f>
        <v/>
      </c>
    </row>
    <row r="160" spans="1:15" x14ac:dyDescent="0.25">
      <c r="A160" t="s">
        <v>353</v>
      </c>
      <c r="B160" t="s">
        <v>53</v>
      </c>
      <c r="C160" t="s">
        <v>370</v>
      </c>
      <c r="D160" t="s">
        <v>21</v>
      </c>
      <c r="E160" t="s">
        <v>383</v>
      </c>
      <c r="F160" t="s">
        <v>225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f t="shared" si="2"/>
        <v>7</v>
      </c>
      <c r="O160" t="str">
        <f>IF(AND($A160=Dashboard!$B$3,$B160=Dashboard!$G$3,$D160&lt;&gt;"NO_SERVICE"),ROW(),"")</f>
        <v/>
      </c>
    </row>
    <row r="161" spans="1:15" x14ac:dyDescent="0.25">
      <c r="A161" t="s">
        <v>353</v>
      </c>
      <c r="B161" t="s">
        <v>53</v>
      </c>
      <c r="C161" t="s">
        <v>370</v>
      </c>
      <c r="D161" t="s">
        <v>26</v>
      </c>
      <c r="E161" t="s">
        <v>384</v>
      </c>
      <c r="F161" t="s">
        <v>131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f t="shared" si="2"/>
        <v>7</v>
      </c>
      <c r="O161" t="str">
        <f>IF(AND($A161=Dashboard!$B$3,$B161=Dashboard!$G$3,$D161&lt;&gt;"NO_SERVICE"),ROW(),"")</f>
        <v/>
      </c>
    </row>
    <row r="162" spans="1:15" x14ac:dyDescent="0.25">
      <c r="A162" t="s">
        <v>353</v>
      </c>
      <c r="B162" t="s">
        <v>53</v>
      </c>
      <c r="C162" t="s">
        <v>370</v>
      </c>
      <c r="D162" t="s">
        <v>21</v>
      </c>
      <c r="E162" t="s">
        <v>385</v>
      </c>
      <c r="F162" t="s">
        <v>386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f t="shared" si="2"/>
        <v>7</v>
      </c>
      <c r="O162" t="str">
        <f>IF(AND($A162=Dashboard!$B$3,$B162=Dashboard!$G$3,$D162&lt;&gt;"NO_SERVICE"),ROW(),"")</f>
        <v/>
      </c>
    </row>
    <row r="163" spans="1:15" x14ac:dyDescent="0.25">
      <c r="A163" t="s">
        <v>353</v>
      </c>
      <c r="B163" t="s">
        <v>53</v>
      </c>
      <c r="C163" t="s">
        <v>370</v>
      </c>
      <c r="D163" t="s">
        <v>21</v>
      </c>
      <c r="E163" t="s">
        <v>387</v>
      </c>
      <c r="F163" t="s">
        <v>388</v>
      </c>
      <c r="G163">
        <v>0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f t="shared" si="2"/>
        <v>5</v>
      </c>
      <c r="O163" t="str">
        <f>IF(AND($A163=Dashboard!$B$3,$B163=Dashboard!$G$3,$D163&lt;&gt;"NO_SERVICE"),ROW(),"")</f>
        <v/>
      </c>
    </row>
    <row r="164" spans="1:15" x14ac:dyDescent="0.25">
      <c r="A164" t="s">
        <v>353</v>
      </c>
      <c r="B164" t="s">
        <v>53</v>
      </c>
      <c r="C164" t="s">
        <v>370</v>
      </c>
      <c r="D164" t="s">
        <v>21</v>
      </c>
      <c r="E164" t="s">
        <v>389</v>
      </c>
      <c r="F164" t="s">
        <v>390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f t="shared" si="2"/>
        <v>1</v>
      </c>
      <c r="O164" t="str">
        <f>IF(AND($A164=Dashboard!$B$3,$B164=Dashboard!$G$3,$D164&lt;&gt;"NO_SERVICE"),ROW(),"")</f>
        <v/>
      </c>
    </row>
    <row r="165" spans="1:15" x14ac:dyDescent="0.25">
      <c r="A165" t="s">
        <v>353</v>
      </c>
      <c r="B165" t="s">
        <v>53</v>
      </c>
      <c r="C165" t="s">
        <v>370</v>
      </c>
      <c r="D165" t="s">
        <v>21</v>
      </c>
      <c r="E165" t="s">
        <v>391</v>
      </c>
      <c r="F165" t="s">
        <v>392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f t="shared" si="2"/>
        <v>7</v>
      </c>
      <c r="O165" t="str">
        <f>IF(AND($A165=Dashboard!$B$3,$B165=Dashboard!$G$3,$D165&lt;&gt;"NO_SERVICE"),ROW(),"")</f>
        <v/>
      </c>
    </row>
    <row r="166" spans="1:15" x14ac:dyDescent="0.25">
      <c r="A166" t="s">
        <v>353</v>
      </c>
      <c r="B166" t="s">
        <v>57</v>
      </c>
      <c r="C166" t="s">
        <v>393</v>
      </c>
      <c r="D166" t="s">
        <v>24</v>
      </c>
      <c r="E166" t="s">
        <v>394</v>
      </c>
      <c r="F166" t="s">
        <v>395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f t="shared" si="2"/>
        <v>7</v>
      </c>
      <c r="O166" t="str">
        <f>IF(AND($A166=Dashboard!$B$3,$B166=Dashboard!$G$3,$D166&lt;&gt;"NO_SERVICE"),ROW(),"")</f>
        <v/>
      </c>
    </row>
    <row r="167" spans="1:15" x14ac:dyDescent="0.25">
      <c r="A167" t="s">
        <v>353</v>
      </c>
      <c r="B167" t="s">
        <v>57</v>
      </c>
      <c r="C167" t="s">
        <v>393</v>
      </c>
      <c r="D167" t="s">
        <v>24</v>
      </c>
      <c r="E167" t="s">
        <v>115</v>
      </c>
      <c r="F167" t="s">
        <v>396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f t="shared" si="2"/>
        <v>7</v>
      </c>
      <c r="O167" t="str">
        <f>IF(AND($A167=Dashboard!$B$3,$B167=Dashboard!$G$3,$D167&lt;&gt;"NO_SERVICE"),ROW(),"")</f>
        <v/>
      </c>
    </row>
    <row r="168" spans="1:15" x14ac:dyDescent="0.25">
      <c r="A168" t="s">
        <v>353</v>
      </c>
      <c r="B168" t="s">
        <v>57</v>
      </c>
      <c r="C168" t="s">
        <v>393</v>
      </c>
      <c r="D168" t="s">
        <v>24</v>
      </c>
      <c r="E168" t="s">
        <v>397</v>
      </c>
      <c r="F168" t="s">
        <v>398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f t="shared" si="2"/>
        <v>7</v>
      </c>
      <c r="O168" t="str">
        <f>IF(AND($A168=Dashboard!$B$3,$B168=Dashboard!$G$3,$D168&lt;&gt;"NO_SERVICE"),ROW(),"")</f>
        <v/>
      </c>
    </row>
    <row r="169" spans="1:15" x14ac:dyDescent="0.25">
      <c r="A169" t="s">
        <v>353</v>
      </c>
      <c r="B169" t="s">
        <v>57</v>
      </c>
      <c r="C169" t="s">
        <v>393</v>
      </c>
      <c r="D169" t="s">
        <v>24</v>
      </c>
      <c r="E169" t="s">
        <v>399</v>
      </c>
      <c r="F169" t="s">
        <v>400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f t="shared" si="2"/>
        <v>7</v>
      </c>
      <c r="O169" t="str">
        <f>IF(AND($A169=Dashboard!$B$3,$B169=Dashboard!$G$3,$D169&lt;&gt;"NO_SERVICE"),ROW(),"")</f>
        <v/>
      </c>
    </row>
    <row r="170" spans="1:15" x14ac:dyDescent="0.25">
      <c r="A170" t="s">
        <v>353</v>
      </c>
      <c r="B170" t="s">
        <v>57</v>
      </c>
      <c r="C170" t="s">
        <v>393</v>
      </c>
      <c r="D170" t="s">
        <v>24</v>
      </c>
      <c r="E170" t="s">
        <v>401</v>
      </c>
      <c r="F170" t="s">
        <v>402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f t="shared" si="2"/>
        <v>7</v>
      </c>
      <c r="O170" t="str">
        <f>IF(AND($A170=Dashboard!$B$3,$B170=Dashboard!$G$3,$D170&lt;&gt;"NO_SERVICE"),ROW(),"")</f>
        <v/>
      </c>
    </row>
    <row r="171" spans="1:15" x14ac:dyDescent="0.25">
      <c r="A171" t="s">
        <v>353</v>
      </c>
      <c r="B171" t="s">
        <v>57</v>
      </c>
      <c r="C171" t="s">
        <v>393</v>
      </c>
      <c r="D171" t="s">
        <v>21</v>
      </c>
      <c r="E171" t="s">
        <v>403</v>
      </c>
      <c r="F171" t="s">
        <v>395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f t="shared" si="2"/>
        <v>7</v>
      </c>
      <c r="O171" t="str">
        <f>IF(AND($A171=Dashboard!$B$3,$B171=Dashboard!$G$3,$D171&lt;&gt;"NO_SERVICE"),ROW(),"")</f>
        <v/>
      </c>
    </row>
    <row r="172" spans="1:15" x14ac:dyDescent="0.25">
      <c r="A172" t="s">
        <v>353</v>
      </c>
      <c r="B172" t="s">
        <v>57</v>
      </c>
      <c r="C172" t="s">
        <v>393</v>
      </c>
      <c r="D172" t="s">
        <v>21</v>
      </c>
      <c r="E172" t="s">
        <v>404</v>
      </c>
      <c r="F172" t="s">
        <v>396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f t="shared" si="2"/>
        <v>1</v>
      </c>
      <c r="O172" t="str">
        <f>IF(AND($A172=Dashboard!$B$3,$B172=Dashboard!$G$3,$D172&lt;&gt;"NO_SERVICE"),ROW(),"")</f>
        <v/>
      </c>
    </row>
    <row r="173" spans="1:15" x14ac:dyDescent="0.25">
      <c r="A173" t="s">
        <v>353</v>
      </c>
      <c r="B173" t="s">
        <v>57</v>
      </c>
      <c r="C173" t="s">
        <v>393</v>
      </c>
      <c r="D173" t="s">
        <v>21</v>
      </c>
      <c r="E173" t="s">
        <v>405</v>
      </c>
      <c r="F173" t="s">
        <v>396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1</v>
      </c>
      <c r="N173">
        <f t="shared" si="2"/>
        <v>2</v>
      </c>
      <c r="O173" t="str">
        <f>IF(AND($A173=Dashboard!$B$3,$B173=Dashboard!$G$3,$D173&lt;&gt;"NO_SERVICE"),ROW(),"")</f>
        <v/>
      </c>
    </row>
    <row r="174" spans="1:15" x14ac:dyDescent="0.25">
      <c r="A174" t="s">
        <v>353</v>
      </c>
      <c r="B174" t="s">
        <v>57</v>
      </c>
      <c r="C174" t="s">
        <v>393</v>
      </c>
      <c r="D174" t="s">
        <v>21</v>
      </c>
      <c r="E174" t="s">
        <v>406</v>
      </c>
      <c r="F174" t="s">
        <v>186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f t="shared" si="2"/>
        <v>7</v>
      </c>
      <c r="O174" t="str">
        <f>IF(AND($A174=Dashboard!$B$3,$B174=Dashboard!$G$3,$D174&lt;&gt;"NO_SERVICE"),ROW(),"")</f>
        <v/>
      </c>
    </row>
    <row r="175" spans="1:15" x14ac:dyDescent="0.25">
      <c r="A175" t="s">
        <v>353</v>
      </c>
      <c r="B175" t="s">
        <v>57</v>
      </c>
      <c r="C175" t="s">
        <v>393</v>
      </c>
      <c r="D175" t="s">
        <v>21</v>
      </c>
      <c r="E175" t="s">
        <v>407</v>
      </c>
      <c r="F175" t="s">
        <v>390</v>
      </c>
      <c r="G175">
        <v>1</v>
      </c>
      <c r="H175">
        <v>1</v>
      </c>
      <c r="I175">
        <v>0</v>
      </c>
      <c r="J175">
        <v>1</v>
      </c>
      <c r="K175">
        <v>0</v>
      </c>
      <c r="L175">
        <v>1</v>
      </c>
      <c r="M175">
        <v>1</v>
      </c>
      <c r="N175">
        <f t="shared" si="2"/>
        <v>5</v>
      </c>
      <c r="O175" t="str">
        <f>IF(AND($A175=Dashboard!$B$3,$B175=Dashboard!$G$3,$D175&lt;&gt;"NO_SERVICE"),ROW(),"")</f>
        <v/>
      </c>
    </row>
    <row r="176" spans="1:15" x14ac:dyDescent="0.25">
      <c r="A176" t="s">
        <v>353</v>
      </c>
      <c r="B176" t="s">
        <v>57</v>
      </c>
      <c r="C176" t="s">
        <v>393</v>
      </c>
      <c r="D176" t="s">
        <v>21</v>
      </c>
      <c r="E176" t="s">
        <v>408</v>
      </c>
      <c r="F176" t="s">
        <v>349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f t="shared" si="2"/>
        <v>1</v>
      </c>
      <c r="O176" t="str">
        <f>IF(AND($A176=Dashboard!$B$3,$B176=Dashboard!$G$3,$D176&lt;&gt;"NO_SERVICE"),ROW(),"")</f>
        <v/>
      </c>
    </row>
    <row r="177" spans="1:15" x14ac:dyDescent="0.25">
      <c r="A177" t="s">
        <v>353</v>
      </c>
      <c r="B177" t="s">
        <v>57</v>
      </c>
      <c r="C177" t="s">
        <v>393</v>
      </c>
      <c r="D177" t="s">
        <v>21</v>
      </c>
      <c r="E177" t="s">
        <v>409</v>
      </c>
      <c r="F177" t="s">
        <v>349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f t="shared" si="2"/>
        <v>6</v>
      </c>
      <c r="O177" t="str">
        <f>IF(AND($A177=Dashboard!$B$3,$B177=Dashboard!$G$3,$D177&lt;&gt;"NO_SERVICE"),ROW(),"")</f>
        <v/>
      </c>
    </row>
    <row r="178" spans="1:15" x14ac:dyDescent="0.25">
      <c r="A178" t="s">
        <v>353</v>
      </c>
      <c r="B178" t="s">
        <v>57</v>
      </c>
      <c r="C178" t="s">
        <v>393</v>
      </c>
      <c r="D178" t="s">
        <v>21</v>
      </c>
      <c r="E178" t="s">
        <v>410</v>
      </c>
      <c r="F178" t="s">
        <v>411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f t="shared" si="2"/>
        <v>7</v>
      </c>
      <c r="O178" t="str">
        <f>IF(AND($A178=Dashboard!$B$3,$B178=Dashboard!$G$3,$D178&lt;&gt;"NO_SERVICE"),ROW(),"")</f>
        <v/>
      </c>
    </row>
    <row r="179" spans="1:15" x14ac:dyDescent="0.25">
      <c r="A179" t="s">
        <v>353</v>
      </c>
      <c r="B179" t="s">
        <v>57</v>
      </c>
      <c r="C179" t="s">
        <v>393</v>
      </c>
      <c r="D179" t="s">
        <v>21</v>
      </c>
      <c r="E179" t="s">
        <v>412</v>
      </c>
      <c r="F179" t="s">
        <v>413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f t="shared" si="2"/>
        <v>7</v>
      </c>
      <c r="O179" t="str">
        <f>IF(AND($A179=Dashboard!$B$3,$B179=Dashboard!$G$3,$D179&lt;&gt;"NO_SERVICE"),ROW(),"")</f>
        <v/>
      </c>
    </row>
    <row r="180" spans="1:15" x14ac:dyDescent="0.25">
      <c r="A180" t="s">
        <v>353</v>
      </c>
      <c r="B180" t="s">
        <v>67</v>
      </c>
      <c r="C180" t="s">
        <v>414</v>
      </c>
      <c r="D180" t="s">
        <v>24</v>
      </c>
      <c r="E180" t="s">
        <v>415</v>
      </c>
      <c r="F180" t="s">
        <v>168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f t="shared" si="2"/>
        <v>7</v>
      </c>
      <c r="O180" t="str">
        <f>IF(AND($A180=Dashboard!$B$3,$B180=Dashboard!$G$3,$D180&lt;&gt;"NO_SERVICE"),ROW(),"")</f>
        <v/>
      </c>
    </row>
    <row r="181" spans="1:15" x14ac:dyDescent="0.25">
      <c r="A181" t="s">
        <v>353</v>
      </c>
      <c r="B181" t="s">
        <v>67</v>
      </c>
      <c r="C181" t="s">
        <v>414</v>
      </c>
      <c r="D181" t="s">
        <v>24</v>
      </c>
      <c r="E181" t="s">
        <v>416</v>
      </c>
      <c r="F181" t="s">
        <v>208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f t="shared" si="2"/>
        <v>7</v>
      </c>
      <c r="O181" t="str">
        <f>IF(AND($A181=Dashboard!$B$3,$B181=Dashboard!$G$3,$D181&lt;&gt;"NO_SERVICE"),ROW(),"")</f>
        <v/>
      </c>
    </row>
    <row r="182" spans="1:15" x14ac:dyDescent="0.25">
      <c r="A182" t="s">
        <v>353</v>
      </c>
      <c r="B182" t="s">
        <v>67</v>
      </c>
      <c r="C182" t="s">
        <v>414</v>
      </c>
      <c r="D182" t="s">
        <v>24</v>
      </c>
      <c r="E182" t="s">
        <v>417</v>
      </c>
      <c r="F182" t="s">
        <v>262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f t="shared" si="2"/>
        <v>7</v>
      </c>
      <c r="O182" t="str">
        <f>IF(AND($A182=Dashboard!$B$3,$B182=Dashboard!$G$3,$D182&lt;&gt;"NO_SERVICE"),ROW(),"")</f>
        <v/>
      </c>
    </row>
    <row r="183" spans="1:15" x14ac:dyDescent="0.25">
      <c r="A183" t="s">
        <v>353</v>
      </c>
      <c r="B183" t="s">
        <v>67</v>
      </c>
      <c r="C183" t="s">
        <v>414</v>
      </c>
      <c r="D183" t="s">
        <v>24</v>
      </c>
      <c r="E183" t="s">
        <v>418</v>
      </c>
      <c r="F183" t="s">
        <v>419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f t="shared" si="2"/>
        <v>7</v>
      </c>
      <c r="O183" t="str">
        <f>IF(AND($A183=Dashboard!$B$3,$B183=Dashboard!$G$3,$D183&lt;&gt;"NO_SERVICE"),ROW(),"")</f>
        <v/>
      </c>
    </row>
    <row r="184" spans="1:15" x14ac:dyDescent="0.25">
      <c r="A184" t="s">
        <v>353</v>
      </c>
      <c r="B184" t="s">
        <v>67</v>
      </c>
      <c r="C184" t="s">
        <v>414</v>
      </c>
      <c r="D184" t="s">
        <v>24</v>
      </c>
      <c r="E184" t="s">
        <v>420</v>
      </c>
      <c r="F184" t="s">
        <v>322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f t="shared" si="2"/>
        <v>7</v>
      </c>
      <c r="O184" t="str">
        <f>IF(AND($A184=Dashboard!$B$3,$B184=Dashboard!$G$3,$D184&lt;&gt;"NO_SERVICE"),ROW(),"")</f>
        <v/>
      </c>
    </row>
    <row r="185" spans="1:15" x14ac:dyDescent="0.25">
      <c r="A185" t="s">
        <v>353</v>
      </c>
      <c r="B185" t="s">
        <v>67</v>
      </c>
      <c r="C185" t="s">
        <v>414</v>
      </c>
      <c r="D185" t="s">
        <v>21</v>
      </c>
      <c r="E185" t="s">
        <v>421</v>
      </c>
      <c r="F185" t="s">
        <v>422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f t="shared" si="2"/>
        <v>1</v>
      </c>
      <c r="O185" t="str">
        <f>IF(AND($A185=Dashboard!$B$3,$B185=Dashboard!$G$3,$D185&lt;&gt;"NO_SERVICE"),ROW(),"")</f>
        <v/>
      </c>
    </row>
    <row r="186" spans="1:15" x14ac:dyDescent="0.25">
      <c r="A186" t="s">
        <v>353</v>
      </c>
      <c r="B186" t="s">
        <v>67</v>
      </c>
      <c r="C186" t="s">
        <v>414</v>
      </c>
      <c r="D186" t="s">
        <v>21</v>
      </c>
      <c r="E186" t="s">
        <v>423</v>
      </c>
      <c r="F186" t="s">
        <v>424</v>
      </c>
      <c r="G186">
        <v>0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f t="shared" si="2"/>
        <v>6</v>
      </c>
      <c r="O186" t="str">
        <f>IF(AND($A186=Dashboard!$B$3,$B186=Dashboard!$G$3,$D186&lt;&gt;"NO_SERVICE"),ROW(),"")</f>
        <v/>
      </c>
    </row>
    <row r="187" spans="1:15" x14ac:dyDescent="0.25">
      <c r="A187" t="s">
        <v>353</v>
      </c>
      <c r="B187" t="s">
        <v>67</v>
      </c>
      <c r="C187" t="s">
        <v>414</v>
      </c>
      <c r="D187" t="s">
        <v>21</v>
      </c>
      <c r="E187" t="s">
        <v>425</v>
      </c>
      <c r="F187" t="s">
        <v>426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f t="shared" si="2"/>
        <v>7</v>
      </c>
      <c r="O187" t="str">
        <f>IF(AND($A187=Dashboard!$B$3,$B187=Dashboard!$G$3,$D187&lt;&gt;"NO_SERVICE"),ROW(),"")</f>
        <v/>
      </c>
    </row>
    <row r="188" spans="1:15" x14ac:dyDescent="0.25">
      <c r="A188" t="s">
        <v>353</v>
      </c>
      <c r="B188" t="s">
        <v>73</v>
      </c>
      <c r="C188" t="s">
        <v>427</v>
      </c>
      <c r="D188" t="s">
        <v>24</v>
      </c>
      <c r="E188" t="s">
        <v>428</v>
      </c>
      <c r="F188" t="s">
        <v>356</v>
      </c>
      <c r="G188">
        <v>0</v>
      </c>
      <c r="H188">
        <v>0</v>
      </c>
      <c r="I188">
        <v>1</v>
      </c>
      <c r="J188">
        <v>1</v>
      </c>
      <c r="K188">
        <v>1</v>
      </c>
      <c r="L188">
        <v>1</v>
      </c>
      <c r="M188">
        <v>1</v>
      </c>
      <c r="N188">
        <f t="shared" si="2"/>
        <v>5</v>
      </c>
      <c r="O188" t="str">
        <f>IF(AND($A188=Dashboard!$B$3,$B188=Dashboard!$G$3,$D188&lt;&gt;"NO_SERVICE"),ROW(),"")</f>
        <v/>
      </c>
    </row>
    <row r="189" spans="1:15" x14ac:dyDescent="0.25">
      <c r="A189" t="s">
        <v>353</v>
      </c>
      <c r="B189" t="s">
        <v>73</v>
      </c>
      <c r="C189" t="s">
        <v>427</v>
      </c>
      <c r="D189" t="s">
        <v>26</v>
      </c>
      <c r="E189" t="s">
        <v>429</v>
      </c>
      <c r="F189" t="s">
        <v>430</v>
      </c>
      <c r="G189">
        <v>1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f t="shared" si="2"/>
        <v>6</v>
      </c>
      <c r="O189" t="str">
        <f>IF(AND($A189=Dashboard!$B$3,$B189=Dashboard!$G$3,$D189&lt;&gt;"NO_SERVICE"),ROW(),"")</f>
        <v/>
      </c>
    </row>
    <row r="190" spans="1:15" x14ac:dyDescent="0.25">
      <c r="A190" t="s">
        <v>353</v>
      </c>
      <c r="B190" t="s">
        <v>73</v>
      </c>
      <c r="C190" t="s">
        <v>427</v>
      </c>
      <c r="D190" t="s">
        <v>21</v>
      </c>
      <c r="E190" t="s">
        <v>431</v>
      </c>
      <c r="F190" t="s">
        <v>432</v>
      </c>
      <c r="G190">
        <v>1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f t="shared" si="2"/>
        <v>6</v>
      </c>
      <c r="O190" t="str">
        <f>IF(AND($A190=Dashboard!$B$3,$B190=Dashboard!$G$3,$D190&lt;&gt;"NO_SERVICE"),ROW(),"")</f>
        <v/>
      </c>
    </row>
    <row r="191" spans="1:15" x14ac:dyDescent="0.25">
      <c r="A191" t="s">
        <v>353</v>
      </c>
      <c r="B191" t="s">
        <v>79</v>
      </c>
      <c r="C191" t="s">
        <v>433</v>
      </c>
      <c r="D191" t="s">
        <v>24</v>
      </c>
      <c r="E191" t="s">
        <v>434</v>
      </c>
      <c r="F191" t="s">
        <v>435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f t="shared" si="2"/>
        <v>7</v>
      </c>
      <c r="O191" t="str">
        <f>IF(AND($A191=Dashboard!$B$3,$B191=Dashboard!$G$3,$D191&lt;&gt;"NO_SERVICE"),ROW(),"")</f>
        <v/>
      </c>
    </row>
    <row r="192" spans="1:15" x14ac:dyDescent="0.25">
      <c r="A192" t="s">
        <v>353</v>
      </c>
      <c r="B192" t="s">
        <v>81</v>
      </c>
      <c r="C192" t="s">
        <v>436</v>
      </c>
      <c r="D192" t="s">
        <v>24</v>
      </c>
      <c r="E192" t="s">
        <v>437</v>
      </c>
      <c r="F192" t="s">
        <v>366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1</v>
      </c>
      <c r="M192">
        <v>1</v>
      </c>
      <c r="N192">
        <f t="shared" si="2"/>
        <v>4</v>
      </c>
      <c r="O192" t="str">
        <f>IF(AND($A192=Dashboard!$B$3,$B192=Dashboard!$G$3,$D192&lt;&gt;"NO_SERVICE"),ROW(),"")</f>
        <v/>
      </c>
    </row>
    <row r="193" spans="1:15" x14ac:dyDescent="0.25">
      <c r="A193" t="s">
        <v>353</v>
      </c>
      <c r="B193" t="s">
        <v>83</v>
      </c>
      <c r="C193" t="s">
        <v>438</v>
      </c>
      <c r="D193" t="s">
        <v>24</v>
      </c>
      <c r="E193" t="s">
        <v>439</v>
      </c>
      <c r="F193" t="s">
        <v>298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f t="shared" si="2"/>
        <v>7</v>
      </c>
      <c r="O193" t="str">
        <f>IF(AND($A193=Dashboard!$B$3,$B193=Dashboard!$G$3,$D193&lt;&gt;"NO_SERVICE"),ROW(),"")</f>
        <v/>
      </c>
    </row>
    <row r="194" spans="1:15" x14ac:dyDescent="0.25">
      <c r="A194" t="s">
        <v>353</v>
      </c>
      <c r="B194" t="s">
        <v>83</v>
      </c>
      <c r="C194" t="s">
        <v>438</v>
      </c>
      <c r="D194" t="s">
        <v>24</v>
      </c>
      <c r="E194" t="s">
        <v>440</v>
      </c>
      <c r="F194" t="s">
        <v>441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f t="shared" ref="N194:N257" si="3">SUM(G194:M194)</f>
        <v>7</v>
      </c>
      <c r="O194" t="str">
        <f>IF(AND($A194=Dashboard!$B$3,$B194=Dashboard!$G$3,$D194&lt;&gt;"NO_SERVICE"),ROW(),"")</f>
        <v/>
      </c>
    </row>
    <row r="195" spans="1:15" x14ac:dyDescent="0.25">
      <c r="A195" t="s">
        <v>353</v>
      </c>
      <c r="B195" t="s">
        <v>83</v>
      </c>
      <c r="C195" t="s">
        <v>438</v>
      </c>
      <c r="D195" t="s">
        <v>21</v>
      </c>
      <c r="E195" t="s">
        <v>442</v>
      </c>
      <c r="F195" t="s">
        <v>443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f t="shared" si="3"/>
        <v>7</v>
      </c>
      <c r="O195" t="str">
        <f>IF(AND($A195=Dashboard!$B$3,$B195=Dashboard!$G$3,$D195&lt;&gt;"NO_SERVICE"),ROW(),"")</f>
        <v/>
      </c>
    </row>
    <row r="196" spans="1:15" x14ac:dyDescent="0.25">
      <c r="A196" t="s">
        <v>353</v>
      </c>
      <c r="B196" t="s">
        <v>83</v>
      </c>
      <c r="C196" t="s">
        <v>438</v>
      </c>
      <c r="D196" t="s">
        <v>21</v>
      </c>
      <c r="E196" t="s">
        <v>444</v>
      </c>
      <c r="F196" t="s">
        <v>392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f t="shared" si="3"/>
        <v>7</v>
      </c>
      <c r="O196" t="str">
        <f>IF(AND($A196=Dashboard!$B$3,$B196=Dashboard!$G$3,$D196&lt;&gt;"NO_SERVICE"),ROW(),"")</f>
        <v/>
      </c>
    </row>
    <row r="197" spans="1:15" x14ac:dyDescent="0.25">
      <c r="A197" t="s">
        <v>353</v>
      </c>
      <c r="B197" t="s">
        <v>63</v>
      </c>
      <c r="C197" t="s">
        <v>445</v>
      </c>
      <c r="D197" t="s">
        <v>24</v>
      </c>
      <c r="E197" t="s">
        <v>446</v>
      </c>
      <c r="F197" t="s">
        <v>395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f t="shared" si="3"/>
        <v>7</v>
      </c>
      <c r="O197" t="str">
        <f>IF(AND($A197=Dashboard!$B$3,$B197=Dashboard!$G$3,$D197&lt;&gt;"NO_SERVICE"),ROW(),"")</f>
        <v/>
      </c>
    </row>
    <row r="198" spans="1:15" x14ac:dyDescent="0.25">
      <c r="A198" t="s">
        <v>353</v>
      </c>
      <c r="B198" t="s">
        <v>63</v>
      </c>
      <c r="C198" t="s">
        <v>445</v>
      </c>
      <c r="D198" t="s">
        <v>26</v>
      </c>
      <c r="E198" t="s">
        <v>447</v>
      </c>
      <c r="F198" t="s">
        <v>163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f t="shared" si="3"/>
        <v>7</v>
      </c>
      <c r="O198" t="str">
        <f>IF(AND($A198=Dashboard!$B$3,$B198=Dashboard!$G$3,$D198&lt;&gt;"NO_SERVICE"),ROW(),"")</f>
        <v/>
      </c>
    </row>
    <row r="199" spans="1:15" x14ac:dyDescent="0.25">
      <c r="A199" t="s">
        <v>353</v>
      </c>
      <c r="B199" t="s">
        <v>63</v>
      </c>
      <c r="C199" t="s">
        <v>445</v>
      </c>
      <c r="D199" t="s">
        <v>24</v>
      </c>
      <c r="E199" t="s">
        <v>448</v>
      </c>
      <c r="F199" t="s">
        <v>242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f t="shared" si="3"/>
        <v>7</v>
      </c>
      <c r="O199" t="str">
        <f>IF(AND($A199=Dashboard!$B$3,$B199=Dashboard!$G$3,$D199&lt;&gt;"NO_SERVICE"),ROW(),"")</f>
        <v/>
      </c>
    </row>
    <row r="200" spans="1:15" x14ac:dyDescent="0.25">
      <c r="A200" t="s">
        <v>353</v>
      </c>
      <c r="B200" t="s">
        <v>91</v>
      </c>
      <c r="C200" t="s">
        <v>449</v>
      </c>
      <c r="D200" t="s">
        <v>24</v>
      </c>
      <c r="E200" t="s">
        <v>450</v>
      </c>
      <c r="F200" t="s">
        <v>451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f t="shared" si="3"/>
        <v>7</v>
      </c>
      <c r="O200" t="str">
        <f>IF(AND($A200=Dashboard!$B$3,$B200=Dashboard!$G$3,$D200&lt;&gt;"NO_SERVICE"),ROW(),"")</f>
        <v/>
      </c>
    </row>
    <row r="201" spans="1:15" x14ac:dyDescent="0.25">
      <c r="A201" t="s">
        <v>353</v>
      </c>
      <c r="B201" t="s">
        <v>91</v>
      </c>
      <c r="C201" t="s">
        <v>449</v>
      </c>
      <c r="D201" t="s">
        <v>24</v>
      </c>
      <c r="E201" t="s">
        <v>452</v>
      </c>
      <c r="F201" t="s">
        <v>247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f t="shared" si="3"/>
        <v>1</v>
      </c>
      <c r="O201" t="str">
        <f>IF(AND($A201=Dashboard!$B$3,$B201=Dashboard!$G$3,$D201&lt;&gt;"NO_SERVICE"),ROW(),"")</f>
        <v/>
      </c>
    </row>
    <row r="202" spans="1:15" x14ac:dyDescent="0.25">
      <c r="A202" t="s">
        <v>353</v>
      </c>
      <c r="B202" t="s">
        <v>91</v>
      </c>
      <c r="C202" t="s">
        <v>449</v>
      </c>
      <c r="D202" t="s">
        <v>24</v>
      </c>
      <c r="E202" t="s">
        <v>453</v>
      </c>
      <c r="F202" t="s">
        <v>76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f t="shared" si="3"/>
        <v>1</v>
      </c>
      <c r="O202" t="str">
        <f>IF(AND($A202=Dashboard!$B$3,$B202=Dashboard!$G$3,$D202&lt;&gt;"NO_SERVICE"),ROW(),"")</f>
        <v/>
      </c>
    </row>
    <row r="203" spans="1:15" x14ac:dyDescent="0.25">
      <c r="A203" t="s">
        <v>353</v>
      </c>
      <c r="B203" t="s">
        <v>91</v>
      </c>
      <c r="C203" t="s">
        <v>449</v>
      </c>
      <c r="D203" t="s">
        <v>24</v>
      </c>
      <c r="E203" t="s">
        <v>454</v>
      </c>
      <c r="F203" t="s">
        <v>455</v>
      </c>
      <c r="G203">
        <v>1</v>
      </c>
      <c r="H203">
        <v>1</v>
      </c>
      <c r="I203">
        <v>0</v>
      </c>
      <c r="J203">
        <v>1</v>
      </c>
      <c r="K203">
        <v>1</v>
      </c>
      <c r="L203">
        <v>1</v>
      </c>
      <c r="M203">
        <v>1</v>
      </c>
      <c r="N203">
        <f t="shared" si="3"/>
        <v>6</v>
      </c>
      <c r="O203" t="str">
        <f>IF(AND($A203=Dashboard!$B$3,$B203=Dashboard!$G$3,$D203&lt;&gt;"NO_SERVICE"),ROW(),"")</f>
        <v/>
      </c>
    </row>
    <row r="204" spans="1:15" x14ac:dyDescent="0.25">
      <c r="A204" t="s">
        <v>353</v>
      </c>
      <c r="B204" t="s">
        <v>91</v>
      </c>
      <c r="C204" t="s">
        <v>449</v>
      </c>
      <c r="D204" t="s">
        <v>24</v>
      </c>
      <c r="E204" t="s">
        <v>456</v>
      </c>
      <c r="F204" t="s">
        <v>342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f t="shared" si="3"/>
        <v>7</v>
      </c>
      <c r="O204" t="str">
        <f>IF(AND($A204=Dashboard!$B$3,$B204=Dashboard!$G$3,$D204&lt;&gt;"NO_SERVICE"),ROW(),"")</f>
        <v/>
      </c>
    </row>
    <row r="205" spans="1:15" x14ac:dyDescent="0.25">
      <c r="A205" t="s">
        <v>353</v>
      </c>
      <c r="B205" t="s">
        <v>91</v>
      </c>
      <c r="C205" t="s">
        <v>449</v>
      </c>
      <c r="D205" t="s">
        <v>24</v>
      </c>
      <c r="E205" t="s">
        <v>457</v>
      </c>
      <c r="F205" t="s">
        <v>458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f t="shared" si="3"/>
        <v>7</v>
      </c>
      <c r="O205" t="str">
        <f>IF(AND($A205=Dashboard!$B$3,$B205=Dashboard!$G$3,$D205&lt;&gt;"NO_SERVICE"),ROW(),"")</f>
        <v/>
      </c>
    </row>
    <row r="206" spans="1:15" x14ac:dyDescent="0.25">
      <c r="A206" t="s">
        <v>353</v>
      </c>
      <c r="B206" t="s">
        <v>91</v>
      </c>
      <c r="C206" t="s">
        <v>449</v>
      </c>
      <c r="D206" t="s">
        <v>21</v>
      </c>
      <c r="E206" t="s">
        <v>459</v>
      </c>
      <c r="F206" t="s">
        <v>78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f t="shared" si="3"/>
        <v>7</v>
      </c>
      <c r="O206" t="str">
        <f>IF(AND($A206=Dashboard!$B$3,$B206=Dashboard!$G$3,$D206&lt;&gt;"NO_SERVICE"),ROW(),"")</f>
        <v/>
      </c>
    </row>
    <row r="207" spans="1:15" x14ac:dyDescent="0.25">
      <c r="A207" t="s">
        <v>353</v>
      </c>
      <c r="B207" t="s">
        <v>91</v>
      </c>
      <c r="C207" t="s">
        <v>449</v>
      </c>
      <c r="D207" t="s">
        <v>26</v>
      </c>
      <c r="E207" t="s">
        <v>460</v>
      </c>
      <c r="F207" t="s">
        <v>298</v>
      </c>
      <c r="G207">
        <v>1</v>
      </c>
      <c r="H207">
        <v>1</v>
      </c>
      <c r="I207">
        <v>0</v>
      </c>
      <c r="J207">
        <v>1</v>
      </c>
      <c r="K207">
        <v>1</v>
      </c>
      <c r="L207">
        <v>1</v>
      </c>
      <c r="M207">
        <v>1</v>
      </c>
      <c r="N207">
        <f t="shared" si="3"/>
        <v>6</v>
      </c>
      <c r="O207" t="str">
        <f>IF(AND($A207=Dashboard!$B$3,$B207=Dashboard!$G$3,$D207&lt;&gt;"NO_SERVICE"),ROW(),"")</f>
        <v/>
      </c>
    </row>
    <row r="208" spans="1:15" x14ac:dyDescent="0.25">
      <c r="A208" t="s">
        <v>353</v>
      </c>
      <c r="B208" t="s">
        <v>91</v>
      </c>
      <c r="C208" t="s">
        <v>449</v>
      </c>
      <c r="D208" t="s">
        <v>26</v>
      </c>
      <c r="E208" t="s">
        <v>461</v>
      </c>
      <c r="F208" t="s">
        <v>462</v>
      </c>
      <c r="G208">
        <v>0</v>
      </c>
      <c r="H208">
        <v>0</v>
      </c>
      <c r="I208">
        <v>1</v>
      </c>
      <c r="J208">
        <v>1</v>
      </c>
      <c r="K208">
        <v>0</v>
      </c>
      <c r="L208">
        <v>1</v>
      </c>
      <c r="M208">
        <v>1</v>
      </c>
      <c r="N208">
        <f t="shared" si="3"/>
        <v>4</v>
      </c>
      <c r="O208" t="str">
        <f>IF(AND($A208=Dashboard!$B$3,$B208=Dashboard!$G$3,$D208&lt;&gt;"NO_SERVICE"),ROW(),"")</f>
        <v/>
      </c>
    </row>
    <row r="209" spans="1:15" x14ac:dyDescent="0.25">
      <c r="A209" t="s">
        <v>353</v>
      </c>
      <c r="B209" t="s">
        <v>91</v>
      </c>
      <c r="C209" t="s">
        <v>449</v>
      </c>
      <c r="D209" t="s">
        <v>21</v>
      </c>
      <c r="E209" t="s">
        <v>463</v>
      </c>
      <c r="F209" t="s">
        <v>464</v>
      </c>
      <c r="G209">
        <v>0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f t="shared" si="3"/>
        <v>6</v>
      </c>
      <c r="O209" t="str">
        <f>IF(AND($A209=Dashboard!$B$3,$B209=Dashboard!$G$3,$D209&lt;&gt;"NO_SERVICE"),ROW(),"")</f>
        <v/>
      </c>
    </row>
    <row r="210" spans="1:15" x14ac:dyDescent="0.25">
      <c r="A210" t="s">
        <v>353</v>
      </c>
      <c r="B210" t="s">
        <v>91</v>
      </c>
      <c r="C210" t="s">
        <v>449</v>
      </c>
      <c r="D210" t="s">
        <v>21</v>
      </c>
      <c r="E210" t="s">
        <v>465</v>
      </c>
      <c r="F210" t="s">
        <v>466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f t="shared" si="3"/>
        <v>1</v>
      </c>
      <c r="O210" t="str">
        <f>IF(AND($A210=Dashboard!$B$3,$B210=Dashboard!$G$3,$D210&lt;&gt;"NO_SERVICE"),ROW(),"")</f>
        <v/>
      </c>
    </row>
    <row r="211" spans="1:15" x14ac:dyDescent="0.25">
      <c r="A211" t="s">
        <v>353</v>
      </c>
      <c r="B211" t="s">
        <v>97</v>
      </c>
      <c r="C211" t="s">
        <v>467</v>
      </c>
      <c r="D211" t="s">
        <v>24</v>
      </c>
      <c r="E211" t="s">
        <v>468</v>
      </c>
      <c r="F211" t="s">
        <v>285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f t="shared" si="3"/>
        <v>7</v>
      </c>
      <c r="O211" t="str">
        <f>IF(AND($A211=Dashboard!$B$3,$B211=Dashboard!$G$3,$D211&lt;&gt;"NO_SERVICE"),ROW(),"")</f>
        <v/>
      </c>
    </row>
    <row r="212" spans="1:15" x14ac:dyDescent="0.25">
      <c r="A212" t="s">
        <v>353</v>
      </c>
      <c r="B212" t="s">
        <v>97</v>
      </c>
      <c r="C212" t="s">
        <v>467</v>
      </c>
      <c r="D212" t="s">
        <v>24</v>
      </c>
      <c r="E212" t="s">
        <v>469</v>
      </c>
      <c r="F212" t="s">
        <v>223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f t="shared" si="3"/>
        <v>7</v>
      </c>
      <c r="O212" t="str">
        <f>IF(AND($A212=Dashboard!$B$3,$B212=Dashboard!$G$3,$D212&lt;&gt;"NO_SERVICE"),ROW(),"")</f>
        <v/>
      </c>
    </row>
    <row r="213" spans="1:15" x14ac:dyDescent="0.25">
      <c r="A213" t="s">
        <v>353</v>
      </c>
      <c r="B213" t="s">
        <v>97</v>
      </c>
      <c r="C213" t="s">
        <v>467</v>
      </c>
      <c r="D213" t="s">
        <v>24</v>
      </c>
      <c r="E213" t="s">
        <v>470</v>
      </c>
      <c r="F213" t="s">
        <v>225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f t="shared" si="3"/>
        <v>7</v>
      </c>
      <c r="O213" t="str">
        <f>IF(AND($A213=Dashboard!$B$3,$B213=Dashboard!$G$3,$D213&lt;&gt;"NO_SERVICE"),ROW(),"")</f>
        <v/>
      </c>
    </row>
    <row r="214" spans="1:15" x14ac:dyDescent="0.25">
      <c r="A214" t="s">
        <v>353</v>
      </c>
      <c r="B214" t="s">
        <v>97</v>
      </c>
      <c r="C214" t="s">
        <v>467</v>
      </c>
      <c r="D214" t="s">
        <v>24</v>
      </c>
      <c r="E214" t="s">
        <v>471</v>
      </c>
      <c r="F214" t="s">
        <v>419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f t="shared" si="3"/>
        <v>7</v>
      </c>
      <c r="O214" t="str">
        <f>IF(AND($A214=Dashboard!$B$3,$B214=Dashboard!$G$3,$D214&lt;&gt;"NO_SERVICE"),ROW(),"")</f>
        <v/>
      </c>
    </row>
    <row r="215" spans="1:15" x14ac:dyDescent="0.25">
      <c r="A215" t="s">
        <v>353</v>
      </c>
      <c r="B215" t="s">
        <v>97</v>
      </c>
      <c r="C215" t="s">
        <v>467</v>
      </c>
      <c r="D215" t="s">
        <v>24</v>
      </c>
      <c r="E215" t="s">
        <v>472</v>
      </c>
      <c r="F215" t="s">
        <v>473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f t="shared" si="3"/>
        <v>7</v>
      </c>
      <c r="O215" t="str">
        <f>IF(AND($A215=Dashboard!$B$3,$B215=Dashboard!$G$3,$D215&lt;&gt;"NO_SERVICE"),ROW(),"")</f>
        <v/>
      </c>
    </row>
    <row r="216" spans="1:15" x14ac:dyDescent="0.25">
      <c r="A216" t="s">
        <v>353</v>
      </c>
      <c r="B216" t="s">
        <v>103</v>
      </c>
      <c r="C216" t="s">
        <v>474</v>
      </c>
      <c r="D216" t="s">
        <v>24</v>
      </c>
      <c r="E216" t="s">
        <v>475</v>
      </c>
      <c r="F216" t="s">
        <v>476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f t="shared" si="3"/>
        <v>7</v>
      </c>
      <c r="O216" t="str">
        <f>IF(AND($A216=Dashboard!$B$3,$B216=Dashboard!$G$3,$D216&lt;&gt;"NO_SERVICE"),ROW(),"")</f>
        <v/>
      </c>
    </row>
    <row r="217" spans="1:15" x14ac:dyDescent="0.25">
      <c r="A217" t="s">
        <v>353</v>
      </c>
      <c r="B217" t="s">
        <v>103</v>
      </c>
      <c r="C217" t="s">
        <v>474</v>
      </c>
      <c r="D217" t="s">
        <v>24</v>
      </c>
      <c r="E217" t="s">
        <v>477</v>
      </c>
      <c r="F217" t="s">
        <v>478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f t="shared" si="3"/>
        <v>7</v>
      </c>
      <c r="O217" t="str">
        <f>IF(AND($A217=Dashboard!$B$3,$B217=Dashboard!$G$3,$D217&lt;&gt;"NO_SERVICE"),ROW(),"")</f>
        <v/>
      </c>
    </row>
    <row r="218" spans="1:15" x14ac:dyDescent="0.25">
      <c r="A218" t="s">
        <v>353</v>
      </c>
      <c r="B218" t="s">
        <v>103</v>
      </c>
      <c r="C218" t="s">
        <v>474</v>
      </c>
      <c r="D218" t="s">
        <v>21</v>
      </c>
      <c r="E218" t="s">
        <v>479</v>
      </c>
      <c r="F218" t="s">
        <v>480</v>
      </c>
      <c r="G218">
        <v>0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f t="shared" si="3"/>
        <v>6</v>
      </c>
      <c r="O218" t="str">
        <f>IF(AND($A218=Dashboard!$B$3,$B218=Dashboard!$G$3,$D218&lt;&gt;"NO_SERVICE"),ROW(),"")</f>
        <v/>
      </c>
    </row>
    <row r="219" spans="1:15" x14ac:dyDescent="0.25">
      <c r="A219" t="s">
        <v>353</v>
      </c>
      <c r="B219" t="s">
        <v>103</v>
      </c>
      <c r="C219" t="s">
        <v>474</v>
      </c>
      <c r="D219" t="s">
        <v>21</v>
      </c>
      <c r="E219" t="s">
        <v>481</v>
      </c>
      <c r="F219" t="s">
        <v>56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f t="shared" si="3"/>
        <v>7</v>
      </c>
      <c r="O219" t="str">
        <f>IF(AND($A219=Dashboard!$B$3,$B219=Dashboard!$G$3,$D219&lt;&gt;"NO_SERVICE"),ROW(),"")</f>
        <v/>
      </c>
    </row>
    <row r="220" spans="1:15" x14ac:dyDescent="0.25">
      <c r="A220" t="s">
        <v>353</v>
      </c>
      <c r="B220" t="s">
        <v>109</v>
      </c>
      <c r="C220" t="s">
        <v>482</v>
      </c>
      <c r="D220" t="s">
        <v>24</v>
      </c>
      <c r="E220" t="s">
        <v>483</v>
      </c>
      <c r="F220" t="s">
        <v>484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f t="shared" si="3"/>
        <v>7</v>
      </c>
      <c r="O220" t="str">
        <f>IF(AND($A220=Dashboard!$B$3,$B220=Dashboard!$G$3,$D220&lt;&gt;"NO_SERVICE"),ROW(),"")</f>
        <v/>
      </c>
    </row>
    <row r="221" spans="1:15" x14ac:dyDescent="0.25">
      <c r="A221" t="s">
        <v>353</v>
      </c>
      <c r="B221" t="s">
        <v>109</v>
      </c>
      <c r="C221" t="s">
        <v>482</v>
      </c>
      <c r="D221" t="s">
        <v>21</v>
      </c>
      <c r="E221" t="s">
        <v>485</v>
      </c>
      <c r="F221" t="s">
        <v>319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f t="shared" si="3"/>
        <v>7</v>
      </c>
      <c r="O221" t="str">
        <f>IF(AND($A221=Dashboard!$B$3,$B221=Dashboard!$G$3,$D221&lt;&gt;"NO_SERVICE"),ROW(),"")</f>
        <v/>
      </c>
    </row>
    <row r="222" spans="1:15" x14ac:dyDescent="0.25">
      <c r="A222" t="s">
        <v>353</v>
      </c>
      <c r="B222" t="s">
        <v>113</v>
      </c>
      <c r="C222" t="s">
        <v>486</v>
      </c>
      <c r="D222" t="s">
        <v>24</v>
      </c>
      <c r="E222" t="s">
        <v>487</v>
      </c>
      <c r="F222" t="s">
        <v>488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f t="shared" si="3"/>
        <v>7</v>
      </c>
      <c r="O222" t="str">
        <f>IF(AND($A222=Dashboard!$B$3,$B222=Dashboard!$G$3,$D222&lt;&gt;"NO_SERVICE"),ROW(),"")</f>
        <v/>
      </c>
    </row>
    <row r="223" spans="1:15" x14ac:dyDescent="0.25">
      <c r="A223" t="s">
        <v>353</v>
      </c>
      <c r="B223" t="s">
        <v>113</v>
      </c>
      <c r="C223" t="s">
        <v>486</v>
      </c>
      <c r="D223" t="s">
        <v>24</v>
      </c>
      <c r="E223" t="s">
        <v>489</v>
      </c>
      <c r="F223" t="s">
        <v>195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f t="shared" si="3"/>
        <v>7</v>
      </c>
      <c r="O223" t="str">
        <f>IF(AND($A223=Dashboard!$B$3,$B223=Dashboard!$G$3,$D223&lt;&gt;"NO_SERVICE"),ROW(),"")</f>
        <v/>
      </c>
    </row>
    <row r="224" spans="1:15" x14ac:dyDescent="0.25">
      <c r="A224" t="s">
        <v>353</v>
      </c>
      <c r="B224" t="s">
        <v>113</v>
      </c>
      <c r="C224" t="s">
        <v>486</v>
      </c>
      <c r="D224" t="s">
        <v>24</v>
      </c>
      <c r="E224" t="s">
        <v>490</v>
      </c>
      <c r="F224" t="s">
        <v>333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f t="shared" si="3"/>
        <v>7</v>
      </c>
      <c r="O224" t="str">
        <f>IF(AND($A224=Dashboard!$B$3,$B224=Dashboard!$G$3,$D224&lt;&gt;"NO_SERVICE"),ROW(),"")</f>
        <v/>
      </c>
    </row>
    <row r="225" spans="1:15" x14ac:dyDescent="0.25">
      <c r="A225" t="s">
        <v>353</v>
      </c>
      <c r="B225" t="s">
        <v>116</v>
      </c>
      <c r="C225" t="s">
        <v>491</v>
      </c>
      <c r="D225" t="s">
        <v>24</v>
      </c>
      <c r="E225" t="s">
        <v>452</v>
      </c>
      <c r="F225" t="s">
        <v>247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0</v>
      </c>
      <c r="N225">
        <f t="shared" si="3"/>
        <v>6</v>
      </c>
      <c r="O225" t="str">
        <f>IF(AND($A225=Dashboard!$B$3,$B225=Dashboard!$G$3,$D225&lt;&gt;"NO_SERVICE"),ROW(),"")</f>
        <v/>
      </c>
    </row>
    <row r="226" spans="1:15" x14ac:dyDescent="0.25">
      <c r="A226" t="s">
        <v>353</v>
      </c>
      <c r="B226" t="s">
        <v>116</v>
      </c>
      <c r="C226" t="s">
        <v>491</v>
      </c>
      <c r="D226" t="s">
        <v>24</v>
      </c>
      <c r="E226" t="s">
        <v>492</v>
      </c>
      <c r="F226" t="s">
        <v>96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f t="shared" si="3"/>
        <v>7</v>
      </c>
      <c r="O226" t="str">
        <f>IF(AND($A226=Dashboard!$B$3,$B226=Dashboard!$G$3,$D226&lt;&gt;"NO_SERVICE"),ROW(),"")</f>
        <v/>
      </c>
    </row>
    <row r="227" spans="1:15" x14ac:dyDescent="0.25">
      <c r="A227" t="s">
        <v>353</v>
      </c>
      <c r="B227" t="s">
        <v>116</v>
      </c>
      <c r="C227" t="s">
        <v>491</v>
      </c>
      <c r="D227" t="s">
        <v>24</v>
      </c>
      <c r="E227" t="s">
        <v>493</v>
      </c>
      <c r="F227" t="s">
        <v>494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f t="shared" si="3"/>
        <v>7</v>
      </c>
      <c r="O227" t="str">
        <f>IF(AND($A227=Dashboard!$B$3,$B227=Dashboard!$G$3,$D227&lt;&gt;"NO_SERVICE"),ROW(),"")</f>
        <v/>
      </c>
    </row>
    <row r="228" spans="1:15" x14ac:dyDescent="0.25">
      <c r="A228" t="s">
        <v>353</v>
      </c>
      <c r="B228" t="s">
        <v>116</v>
      </c>
      <c r="C228" t="s">
        <v>491</v>
      </c>
      <c r="D228" t="s">
        <v>21</v>
      </c>
      <c r="E228" t="s">
        <v>495</v>
      </c>
      <c r="F228" t="s">
        <v>66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f t="shared" si="3"/>
        <v>7</v>
      </c>
      <c r="O228" t="str">
        <f>IF(AND($A228=Dashboard!$B$3,$B228=Dashboard!$G$3,$D228&lt;&gt;"NO_SERVICE"),ROW(),"")</f>
        <v/>
      </c>
    </row>
    <row r="229" spans="1:15" x14ac:dyDescent="0.25">
      <c r="A229" t="s">
        <v>353</v>
      </c>
      <c r="B229" t="s">
        <v>116</v>
      </c>
      <c r="C229" t="s">
        <v>491</v>
      </c>
      <c r="D229" t="s">
        <v>21</v>
      </c>
      <c r="E229" t="s">
        <v>496</v>
      </c>
      <c r="F229" t="s">
        <v>347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f t="shared" si="3"/>
        <v>7</v>
      </c>
      <c r="O229" t="str">
        <f>IF(AND($A229=Dashboard!$B$3,$B229=Dashboard!$G$3,$D229&lt;&gt;"NO_SERVICE"),ROW(),"")</f>
        <v/>
      </c>
    </row>
    <row r="230" spans="1:15" x14ac:dyDescent="0.25">
      <c r="A230" t="s">
        <v>353</v>
      </c>
      <c r="B230" t="s">
        <v>116</v>
      </c>
      <c r="C230" t="s">
        <v>491</v>
      </c>
      <c r="D230" t="s">
        <v>21</v>
      </c>
      <c r="E230" t="s">
        <v>497</v>
      </c>
      <c r="F230" t="s">
        <v>293</v>
      </c>
      <c r="G230">
        <v>0</v>
      </c>
      <c r="H230">
        <v>0</v>
      </c>
      <c r="I230">
        <v>1</v>
      </c>
      <c r="J230">
        <v>1</v>
      </c>
      <c r="K230">
        <v>1</v>
      </c>
      <c r="L230">
        <v>0</v>
      </c>
      <c r="M230">
        <v>0</v>
      </c>
      <c r="N230">
        <f t="shared" si="3"/>
        <v>3</v>
      </c>
      <c r="O230" t="str">
        <f>IF(AND($A230=Dashboard!$B$3,$B230=Dashboard!$G$3,$D230&lt;&gt;"NO_SERVICE"),ROW(),"")</f>
        <v/>
      </c>
    </row>
    <row r="231" spans="1:15" x14ac:dyDescent="0.25">
      <c r="A231" t="s">
        <v>353</v>
      </c>
      <c r="B231" t="s">
        <v>122</v>
      </c>
      <c r="C231" t="s">
        <v>498</v>
      </c>
      <c r="D231" t="s">
        <v>24</v>
      </c>
      <c r="E231" t="s">
        <v>499</v>
      </c>
      <c r="F231" t="s">
        <v>86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f t="shared" si="3"/>
        <v>7</v>
      </c>
      <c r="O231" t="str">
        <f>IF(AND($A231=Dashboard!$B$3,$B231=Dashboard!$G$3,$D231&lt;&gt;"NO_SERVICE"),ROW(),"")</f>
        <v/>
      </c>
    </row>
    <row r="232" spans="1:15" x14ac:dyDescent="0.25">
      <c r="A232" t="s">
        <v>353</v>
      </c>
      <c r="B232" t="s">
        <v>122</v>
      </c>
      <c r="C232" t="s">
        <v>498</v>
      </c>
      <c r="D232" t="s">
        <v>24</v>
      </c>
      <c r="E232" t="s">
        <v>500</v>
      </c>
      <c r="F232" t="s">
        <v>364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f t="shared" si="3"/>
        <v>7</v>
      </c>
      <c r="O232" t="str">
        <f>IF(AND($A232=Dashboard!$B$3,$B232=Dashboard!$G$3,$D232&lt;&gt;"NO_SERVICE"),ROW(),"")</f>
        <v/>
      </c>
    </row>
    <row r="233" spans="1:15" x14ac:dyDescent="0.25">
      <c r="A233" t="s">
        <v>353</v>
      </c>
      <c r="B233" t="s">
        <v>122</v>
      </c>
      <c r="C233" t="s">
        <v>498</v>
      </c>
      <c r="D233" t="s">
        <v>24</v>
      </c>
      <c r="E233" t="s">
        <v>501</v>
      </c>
      <c r="F233" t="s">
        <v>426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f t="shared" si="3"/>
        <v>7</v>
      </c>
      <c r="O233" t="str">
        <f>IF(AND($A233=Dashboard!$B$3,$B233=Dashboard!$G$3,$D233&lt;&gt;"NO_SERVICE"),ROW(),"")</f>
        <v/>
      </c>
    </row>
    <row r="234" spans="1:15" x14ac:dyDescent="0.25">
      <c r="A234" t="s">
        <v>353</v>
      </c>
      <c r="B234" t="s">
        <v>122</v>
      </c>
      <c r="C234" t="s">
        <v>498</v>
      </c>
      <c r="D234" t="s">
        <v>21</v>
      </c>
      <c r="E234" t="s">
        <v>502</v>
      </c>
      <c r="F234" t="s">
        <v>503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f t="shared" si="3"/>
        <v>7</v>
      </c>
      <c r="O234" t="str">
        <f>IF(AND($A234=Dashboard!$B$3,$B234=Dashboard!$G$3,$D234&lt;&gt;"NO_SERVICE"),ROW(),"")</f>
        <v/>
      </c>
    </row>
    <row r="235" spans="1:15" x14ac:dyDescent="0.25">
      <c r="A235" t="s">
        <v>353</v>
      </c>
      <c r="B235" t="s">
        <v>122</v>
      </c>
      <c r="C235" t="s">
        <v>498</v>
      </c>
      <c r="D235" t="s">
        <v>21</v>
      </c>
      <c r="E235" t="s">
        <v>504</v>
      </c>
      <c r="F235" t="s">
        <v>195</v>
      </c>
      <c r="G235">
        <v>1</v>
      </c>
      <c r="H235">
        <v>1</v>
      </c>
      <c r="I235">
        <v>1</v>
      </c>
      <c r="J235">
        <v>0</v>
      </c>
      <c r="K235">
        <v>1</v>
      </c>
      <c r="L235">
        <v>1</v>
      </c>
      <c r="M235">
        <v>1</v>
      </c>
      <c r="N235">
        <f t="shared" si="3"/>
        <v>6</v>
      </c>
      <c r="O235" t="str">
        <f>IF(AND($A235=Dashboard!$B$3,$B235=Dashboard!$G$3,$D235&lt;&gt;"NO_SERVICE"),ROW(),"")</f>
        <v/>
      </c>
    </row>
    <row r="236" spans="1:15" x14ac:dyDescent="0.25">
      <c r="A236" t="s">
        <v>353</v>
      </c>
      <c r="B236" t="s">
        <v>124</v>
      </c>
      <c r="C236" t="s">
        <v>505</v>
      </c>
      <c r="D236" t="s">
        <v>24</v>
      </c>
      <c r="E236" t="s">
        <v>506</v>
      </c>
      <c r="F236" t="s">
        <v>315</v>
      </c>
      <c r="G236">
        <v>0</v>
      </c>
      <c r="H236">
        <v>0</v>
      </c>
      <c r="I236">
        <v>1</v>
      </c>
      <c r="J236">
        <v>1</v>
      </c>
      <c r="K236">
        <v>1</v>
      </c>
      <c r="L236">
        <v>1</v>
      </c>
      <c r="M236">
        <v>1</v>
      </c>
      <c r="N236">
        <f t="shared" si="3"/>
        <v>5</v>
      </c>
      <c r="O236" t="str">
        <f>IF(AND($A236=Dashboard!$B$3,$B236=Dashboard!$G$3,$D236&lt;&gt;"NO_SERVICE"),ROW(),"")</f>
        <v/>
      </c>
    </row>
    <row r="237" spans="1:15" x14ac:dyDescent="0.25">
      <c r="A237" t="s">
        <v>353</v>
      </c>
      <c r="B237" t="s">
        <v>124</v>
      </c>
      <c r="C237" t="s">
        <v>505</v>
      </c>
      <c r="D237" t="s">
        <v>21</v>
      </c>
      <c r="E237" t="s">
        <v>507</v>
      </c>
      <c r="F237" t="s">
        <v>208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f t="shared" si="3"/>
        <v>7</v>
      </c>
      <c r="O237" t="str">
        <f>IF(AND($A237=Dashboard!$B$3,$B237=Dashboard!$G$3,$D237&lt;&gt;"NO_SERVICE"),ROW(),"")</f>
        <v/>
      </c>
    </row>
    <row r="238" spans="1:15" x14ac:dyDescent="0.25">
      <c r="A238" t="s">
        <v>353</v>
      </c>
      <c r="B238" t="s">
        <v>128</v>
      </c>
      <c r="C238" t="s">
        <v>508</v>
      </c>
      <c r="D238" t="s">
        <v>24</v>
      </c>
      <c r="E238" t="s">
        <v>509</v>
      </c>
      <c r="F238" t="s">
        <v>112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1</v>
      </c>
      <c r="M238">
        <v>0</v>
      </c>
      <c r="N238">
        <f t="shared" si="3"/>
        <v>2</v>
      </c>
      <c r="O238" t="str">
        <f>IF(AND($A238=Dashboard!$B$3,$B238=Dashboard!$G$3,$D238&lt;&gt;"NO_SERVICE"),ROW(),"")</f>
        <v/>
      </c>
    </row>
    <row r="239" spans="1:15" x14ac:dyDescent="0.25">
      <c r="A239" t="s">
        <v>353</v>
      </c>
      <c r="B239" t="s">
        <v>132</v>
      </c>
      <c r="C239" t="s">
        <v>510</v>
      </c>
      <c r="D239" t="s">
        <v>24</v>
      </c>
      <c r="E239" t="s">
        <v>511</v>
      </c>
      <c r="F239" t="s">
        <v>170</v>
      </c>
      <c r="G239">
        <v>0</v>
      </c>
      <c r="H239">
        <v>1</v>
      </c>
      <c r="I239">
        <v>0</v>
      </c>
      <c r="J239">
        <v>1</v>
      </c>
      <c r="K239">
        <v>0</v>
      </c>
      <c r="L239">
        <v>1</v>
      </c>
      <c r="M239">
        <v>0</v>
      </c>
      <c r="N239">
        <f t="shared" si="3"/>
        <v>3</v>
      </c>
      <c r="O239" t="str">
        <f>IF(AND($A239=Dashboard!$B$3,$B239=Dashboard!$G$3,$D239&lt;&gt;"NO_SERVICE"),ROW(),"")</f>
        <v/>
      </c>
    </row>
    <row r="240" spans="1:15" x14ac:dyDescent="0.25">
      <c r="A240" t="s">
        <v>353</v>
      </c>
      <c r="B240" t="s">
        <v>132</v>
      </c>
      <c r="C240" t="s">
        <v>510</v>
      </c>
      <c r="D240" t="s">
        <v>24</v>
      </c>
      <c r="E240" t="s">
        <v>512</v>
      </c>
      <c r="F240" t="s">
        <v>513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f t="shared" si="3"/>
        <v>7</v>
      </c>
      <c r="O240" t="str">
        <f>IF(AND($A240=Dashboard!$B$3,$B240=Dashboard!$G$3,$D240&lt;&gt;"NO_SERVICE"),ROW(),"")</f>
        <v/>
      </c>
    </row>
    <row r="241" spans="1:15" x14ac:dyDescent="0.25">
      <c r="A241" t="s">
        <v>353</v>
      </c>
      <c r="B241" t="s">
        <v>132</v>
      </c>
      <c r="C241" t="s">
        <v>510</v>
      </c>
      <c r="D241" t="s">
        <v>21</v>
      </c>
      <c r="E241" t="s">
        <v>514</v>
      </c>
      <c r="F241" t="s">
        <v>515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f t="shared" si="3"/>
        <v>7</v>
      </c>
      <c r="O241" t="str">
        <f>IF(AND($A241=Dashboard!$B$3,$B241=Dashboard!$G$3,$D241&lt;&gt;"NO_SERVICE"),ROW(),"")</f>
        <v/>
      </c>
    </row>
    <row r="242" spans="1:15" x14ac:dyDescent="0.25">
      <c r="A242" t="s">
        <v>353</v>
      </c>
      <c r="B242" t="s">
        <v>132</v>
      </c>
      <c r="C242" t="s">
        <v>510</v>
      </c>
      <c r="D242" t="s">
        <v>21</v>
      </c>
      <c r="E242" t="s">
        <v>516</v>
      </c>
      <c r="F242" t="s">
        <v>426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f t="shared" si="3"/>
        <v>7</v>
      </c>
      <c r="O242" t="str">
        <f>IF(AND($A242=Dashboard!$B$3,$B242=Dashboard!$G$3,$D242&lt;&gt;"NO_SERVICE"),ROW(),"")</f>
        <v/>
      </c>
    </row>
    <row r="243" spans="1:15" x14ac:dyDescent="0.25">
      <c r="A243" t="s">
        <v>353</v>
      </c>
      <c r="B243" t="s">
        <v>134</v>
      </c>
      <c r="C243" t="s">
        <v>517</v>
      </c>
      <c r="D243" t="s">
        <v>52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f t="shared" si="3"/>
        <v>0</v>
      </c>
      <c r="O243" t="str">
        <f>IF(AND($A243=Dashboard!$B$3,$B243=Dashboard!$G$3,$D243&lt;&gt;"NO_SERVICE"),ROW(),"")</f>
        <v/>
      </c>
    </row>
    <row r="244" spans="1:15" x14ac:dyDescent="0.25">
      <c r="A244" t="s">
        <v>353</v>
      </c>
      <c r="B244" t="s">
        <v>138</v>
      </c>
      <c r="C244" t="s">
        <v>518</v>
      </c>
      <c r="D244" t="s">
        <v>52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f t="shared" si="3"/>
        <v>0</v>
      </c>
      <c r="O244" t="str">
        <f>IF(AND($A244=Dashboard!$B$3,$B244=Dashboard!$G$3,$D244&lt;&gt;"NO_SERVICE"),ROW(),"")</f>
        <v/>
      </c>
    </row>
    <row r="245" spans="1:15" x14ac:dyDescent="0.25">
      <c r="A245" t="s">
        <v>353</v>
      </c>
      <c r="B245" t="s">
        <v>140</v>
      </c>
      <c r="C245" t="s">
        <v>519</v>
      </c>
      <c r="D245" t="s">
        <v>24</v>
      </c>
      <c r="E245" t="s">
        <v>520</v>
      </c>
      <c r="F245" t="s">
        <v>157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f t="shared" si="3"/>
        <v>7</v>
      </c>
      <c r="O245" t="str">
        <f>IF(AND($A245=Dashboard!$B$3,$B245=Dashboard!$G$3,$D245&lt;&gt;"NO_SERVICE"),ROW(),"")</f>
        <v/>
      </c>
    </row>
    <row r="246" spans="1:15" x14ac:dyDescent="0.25">
      <c r="A246" t="s">
        <v>353</v>
      </c>
      <c r="B246" t="s">
        <v>140</v>
      </c>
      <c r="C246" t="s">
        <v>519</v>
      </c>
      <c r="D246" t="s">
        <v>24</v>
      </c>
      <c r="E246" t="s">
        <v>521</v>
      </c>
      <c r="F246" t="s">
        <v>291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f t="shared" si="3"/>
        <v>7</v>
      </c>
      <c r="O246" t="str">
        <f>IF(AND($A246=Dashboard!$B$3,$B246=Dashboard!$G$3,$D246&lt;&gt;"NO_SERVICE"),ROW(),"")</f>
        <v/>
      </c>
    </row>
    <row r="247" spans="1:15" x14ac:dyDescent="0.25">
      <c r="A247" t="s">
        <v>353</v>
      </c>
      <c r="B247" t="s">
        <v>140</v>
      </c>
      <c r="C247" t="s">
        <v>519</v>
      </c>
      <c r="D247" t="s">
        <v>21</v>
      </c>
      <c r="E247" t="s">
        <v>522</v>
      </c>
      <c r="F247" t="s">
        <v>396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f t="shared" si="3"/>
        <v>1</v>
      </c>
      <c r="O247" t="str">
        <f>IF(AND($A247=Dashboard!$B$3,$B247=Dashboard!$G$3,$D247&lt;&gt;"NO_SERVICE"),ROW(),"")</f>
        <v/>
      </c>
    </row>
    <row r="248" spans="1:15" x14ac:dyDescent="0.25">
      <c r="A248" t="s">
        <v>353</v>
      </c>
      <c r="B248" t="s">
        <v>140</v>
      </c>
      <c r="C248" t="s">
        <v>519</v>
      </c>
      <c r="D248" t="s">
        <v>21</v>
      </c>
      <c r="E248" t="s">
        <v>523</v>
      </c>
      <c r="F248" t="s">
        <v>170</v>
      </c>
      <c r="G248">
        <v>0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f t="shared" si="3"/>
        <v>6</v>
      </c>
      <c r="O248" t="str">
        <f>IF(AND($A248=Dashboard!$B$3,$B248=Dashboard!$G$3,$D248&lt;&gt;"NO_SERVICE"),ROW(),"")</f>
        <v/>
      </c>
    </row>
    <row r="249" spans="1:15" x14ac:dyDescent="0.25">
      <c r="A249" t="s">
        <v>353</v>
      </c>
      <c r="B249" t="s">
        <v>144</v>
      </c>
      <c r="C249" t="s">
        <v>524</v>
      </c>
      <c r="D249" t="s">
        <v>24</v>
      </c>
      <c r="E249" t="s">
        <v>525</v>
      </c>
      <c r="F249" t="s">
        <v>356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f t="shared" si="3"/>
        <v>7</v>
      </c>
      <c r="O249" t="str">
        <f>IF(AND($A249=Dashboard!$B$3,$B249=Dashboard!$G$3,$D249&lt;&gt;"NO_SERVICE"),ROW(),"")</f>
        <v/>
      </c>
    </row>
    <row r="250" spans="1:15" x14ac:dyDescent="0.25">
      <c r="A250" t="s">
        <v>353</v>
      </c>
      <c r="B250" t="s">
        <v>144</v>
      </c>
      <c r="C250" t="s">
        <v>524</v>
      </c>
      <c r="D250" t="s">
        <v>24</v>
      </c>
      <c r="E250" t="s">
        <v>526</v>
      </c>
      <c r="F250" t="s">
        <v>256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f t="shared" si="3"/>
        <v>7</v>
      </c>
      <c r="O250" t="str">
        <f>IF(AND($A250=Dashboard!$B$3,$B250=Dashboard!$G$3,$D250&lt;&gt;"NO_SERVICE"),ROW(),"")</f>
        <v/>
      </c>
    </row>
    <row r="251" spans="1:15" x14ac:dyDescent="0.25">
      <c r="A251" t="s">
        <v>353</v>
      </c>
      <c r="B251" t="s">
        <v>144</v>
      </c>
      <c r="C251" t="s">
        <v>524</v>
      </c>
      <c r="D251" t="s">
        <v>26</v>
      </c>
      <c r="E251" t="s">
        <v>527</v>
      </c>
      <c r="F251" t="s">
        <v>528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f t="shared" si="3"/>
        <v>7</v>
      </c>
      <c r="O251" t="str">
        <f>IF(AND($A251=Dashboard!$B$3,$B251=Dashboard!$G$3,$D251&lt;&gt;"NO_SERVICE"),ROW(),"")</f>
        <v/>
      </c>
    </row>
    <row r="252" spans="1:15" x14ac:dyDescent="0.25">
      <c r="A252" t="s">
        <v>353</v>
      </c>
      <c r="B252" t="s">
        <v>144</v>
      </c>
      <c r="C252" t="s">
        <v>524</v>
      </c>
      <c r="D252" t="s">
        <v>26</v>
      </c>
      <c r="E252" t="s">
        <v>529</v>
      </c>
      <c r="F252" t="s">
        <v>530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f t="shared" si="3"/>
        <v>7</v>
      </c>
      <c r="O252" t="str">
        <f>IF(AND($A252=Dashboard!$B$3,$B252=Dashboard!$G$3,$D252&lt;&gt;"NO_SERVICE"),ROW(),"")</f>
        <v/>
      </c>
    </row>
    <row r="253" spans="1:15" x14ac:dyDescent="0.25">
      <c r="A253" t="s">
        <v>353</v>
      </c>
      <c r="B253" t="s">
        <v>144</v>
      </c>
      <c r="C253" t="s">
        <v>524</v>
      </c>
      <c r="D253" t="s">
        <v>21</v>
      </c>
      <c r="E253" t="s">
        <v>531</v>
      </c>
      <c r="F253" t="s">
        <v>157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f t="shared" si="3"/>
        <v>7</v>
      </c>
      <c r="O253" t="str">
        <f>IF(AND($A253=Dashboard!$B$3,$B253=Dashboard!$G$3,$D253&lt;&gt;"NO_SERVICE"),ROW(),"")</f>
        <v/>
      </c>
    </row>
    <row r="254" spans="1:15" x14ac:dyDescent="0.25">
      <c r="A254" t="s">
        <v>353</v>
      </c>
      <c r="B254" t="s">
        <v>144</v>
      </c>
      <c r="C254" t="s">
        <v>524</v>
      </c>
      <c r="D254" t="s">
        <v>21</v>
      </c>
      <c r="E254" t="s">
        <v>532</v>
      </c>
      <c r="F254" t="s">
        <v>60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f t="shared" si="3"/>
        <v>7</v>
      </c>
      <c r="O254" t="str">
        <f>IF(AND($A254=Dashboard!$B$3,$B254=Dashboard!$G$3,$D254&lt;&gt;"NO_SERVICE"),ROW(),"")</f>
        <v/>
      </c>
    </row>
    <row r="255" spans="1:15" x14ac:dyDescent="0.25">
      <c r="A255" t="s">
        <v>353</v>
      </c>
      <c r="B255" t="s">
        <v>148</v>
      </c>
      <c r="C255" t="s">
        <v>533</v>
      </c>
      <c r="D255" t="s">
        <v>24</v>
      </c>
      <c r="E255" t="s">
        <v>437</v>
      </c>
      <c r="F255" t="s">
        <v>534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f t="shared" si="3"/>
        <v>7</v>
      </c>
      <c r="O255" t="str">
        <f>IF(AND($A255=Dashboard!$B$3,$B255=Dashboard!$G$3,$D255&lt;&gt;"NO_SERVICE"),ROW(),"")</f>
        <v/>
      </c>
    </row>
    <row r="256" spans="1:15" x14ac:dyDescent="0.25">
      <c r="A256" t="s">
        <v>353</v>
      </c>
      <c r="B256" t="s">
        <v>150</v>
      </c>
      <c r="C256" t="s">
        <v>535</v>
      </c>
      <c r="D256" t="s">
        <v>21</v>
      </c>
      <c r="E256" t="s">
        <v>536</v>
      </c>
      <c r="F256" t="s">
        <v>537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f t="shared" si="3"/>
        <v>7</v>
      </c>
      <c r="O256" t="str">
        <f>IF(AND($A256=Dashboard!$B$3,$B256=Dashboard!$G$3,$D256&lt;&gt;"NO_SERVICE"),ROW(),"")</f>
        <v/>
      </c>
    </row>
    <row r="257" spans="1:15" x14ac:dyDescent="0.25">
      <c r="A257" t="s">
        <v>353</v>
      </c>
      <c r="B257" t="s">
        <v>150</v>
      </c>
      <c r="C257" t="s">
        <v>535</v>
      </c>
      <c r="D257" t="s">
        <v>24</v>
      </c>
      <c r="E257" t="s">
        <v>538</v>
      </c>
      <c r="F257" t="s">
        <v>172</v>
      </c>
      <c r="G257">
        <v>1</v>
      </c>
      <c r="H257">
        <v>0</v>
      </c>
      <c r="I257">
        <v>1</v>
      </c>
      <c r="J257">
        <v>0</v>
      </c>
      <c r="K257">
        <v>1</v>
      </c>
      <c r="L257">
        <v>0</v>
      </c>
      <c r="M257">
        <v>1</v>
      </c>
      <c r="N257">
        <f t="shared" si="3"/>
        <v>4</v>
      </c>
      <c r="O257" t="str">
        <f>IF(AND($A257=Dashboard!$B$3,$B257=Dashboard!$G$3,$D257&lt;&gt;"NO_SERVICE"),ROW(),"")</f>
        <v/>
      </c>
    </row>
    <row r="258" spans="1:15" x14ac:dyDescent="0.25">
      <c r="A258" t="s">
        <v>353</v>
      </c>
      <c r="B258" t="s">
        <v>152</v>
      </c>
      <c r="C258" t="s">
        <v>539</v>
      </c>
      <c r="D258" t="s">
        <v>24</v>
      </c>
      <c r="E258" t="s">
        <v>540</v>
      </c>
      <c r="F258" t="s">
        <v>163</v>
      </c>
      <c r="G258">
        <v>0</v>
      </c>
      <c r="H258">
        <v>1</v>
      </c>
      <c r="I258">
        <v>0</v>
      </c>
      <c r="J258">
        <v>1</v>
      </c>
      <c r="K258">
        <v>0</v>
      </c>
      <c r="L258">
        <v>1</v>
      </c>
      <c r="M258">
        <v>0</v>
      </c>
      <c r="N258">
        <f t="shared" ref="N258:N321" si="4">SUM(G258:M258)</f>
        <v>3</v>
      </c>
      <c r="O258" t="str">
        <f>IF(AND($A258=Dashboard!$B$3,$B258=Dashboard!$G$3,$D258&lt;&gt;"NO_SERVICE"),ROW(),"")</f>
        <v/>
      </c>
    </row>
    <row r="259" spans="1:15" x14ac:dyDescent="0.25">
      <c r="A259" t="s">
        <v>541</v>
      </c>
      <c r="B259" t="s">
        <v>46</v>
      </c>
      <c r="C259" t="s">
        <v>542</v>
      </c>
      <c r="D259" t="s">
        <v>24</v>
      </c>
      <c r="E259" t="s">
        <v>543</v>
      </c>
      <c r="F259" t="s">
        <v>356</v>
      </c>
      <c r="G259">
        <v>1</v>
      </c>
      <c r="H259">
        <v>0</v>
      </c>
      <c r="I259">
        <v>1</v>
      </c>
      <c r="J259">
        <v>0</v>
      </c>
      <c r="K259">
        <v>1</v>
      </c>
      <c r="L259">
        <v>1</v>
      </c>
      <c r="M259">
        <v>1</v>
      </c>
      <c r="N259">
        <f t="shared" si="4"/>
        <v>5</v>
      </c>
      <c r="O259" t="str">
        <f>IF(AND($A259=Dashboard!$B$3,$B259=Dashboard!$G$3,$D259&lt;&gt;"NO_SERVICE"),ROW(),"")</f>
        <v/>
      </c>
    </row>
    <row r="260" spans="1:15" x14ac:dyDescent="0.25">
      <c r="A260" t="s">
        <v>541</v>
      </c>
      <c r="B260" t="s">
        <v>46</v>
      </c>
      <c r="C260" t="s">
        <v>542</v>
      </c>
      <c r="D260" t="s">
        <v>24</v>
      </c>
      <c r="E260" t="s">
        <v>544</v>
      </c>
      <c r="F260" t="s">
        <v>195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f t="shared" si="4"/>
        <v>7</v>
      </c>
      <c r="O260" t="str">
        <f>IF(AND($A260=Dashboard!$B$3,$B260=Dashboard!$G$3,$D260&lt;&gt;"NO_SERVICE"),ROW(),"")</f>
        <v/>
      </c>
    </row>
    <row r="261" spans="1:15" x14ac:dyDescent="0.25">
      <c r="A261" t="s">
        <v>541</v>
      </c>
      <c r="B261" t="s">
        <v>46</v>
      </c>
      <c r="C261" t="s">
        <v>542</v>
      </c>
      <c r="D261" t="s">
        <v>24</v>
      </c>
      <c r="E261" t="s">
        <v>545</v>
      </c>
      <c r="F261" t="s">
        <v>108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f t="shared" si="4"/>
        <v>7</v>
      </c>
      <c r="O261" t="str">
        <f>IF(AND($A261=Dashboard!$B$3,$B261=Dashboard!$G$3,$D261&lt;&gt;"NO_SERVICE"),ROW(),"")</f>
        <v/>
      </c>
    </row>
    <row r="262" spans="1:15" x14ac:dyDescent="0.25">
      <c r="A262" t="s">
        <v>541</v>
      </c>
      <c r="B262" t="s">
        <v>46</v>
      </c>
      <c r="C262" t="s">
        <v>542</v>
      </c>
      <c r="D262" t="s">
        <v>24</v>
      </c>
      <c r="E262" t="s">
        <v>546</v>
      </c>
      <c r="F262" t="s">
        <v>419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f t="shared" si="4"/>
        <v>7</v>
      </c>
      <c r="O262" t="str">
        <f>IF(AND($A262=Dashboard!$B$3,$B262=Dashboard!$G$3,$D262&lt;&gt;"NO_SERVICE"),ROW(),"")</f>
        <v/>
      </c>
    </row>
    <row r="263" spans="1:15" x14ac:dyDescent="0.25">
      <c r="A263" t="s">
        <v>541</v>
      </c>
      <c r="B263" t="s">
        <v>50</v>
      </c>
      <c r="C263" t="s">
        <v>547</v>
      </c>
      <c r="D263" t="s">
        <v>52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f t="shared" si="4"/>
        <v>0</v>
      </c>
      <c r="O263" t="str">
        <f>IF(AND($A263=Dashboard!$B$3,$B263=Dashboard!$G$3,$D263&lt;&gt;"NO_SERVICE"),ROW(),"")</f>
        <v/>
      </c>
    </row>
    <row r="264" spans="1:15" x14ac:dyDescent="0.25">
      <c r="A264" t="s">
        <v>541</v>
      </c>
      <c r="B264" t="s">
        <v>53</v>
      </c>
      <c r="C264" t="s">
        <v>548</v>
      </c>
      <c r="D264" t="s">
        <v>52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f t="shared" si="4"/>
        <v>0</v>
      </c>
      <c r="O264" t="str">
        <f>IF(AND($A264=Dashboard!$B$3,$B264=Dashboard!$G$3,$D264&lt;&gt;"NO_SERVICE"),ROW(),"")</f>
        <v/>
      </c>
    </row>
    <row r="265" spans="1:15" x14ac:dyDescent="0.25">
      <c r="A265" t="s">
        <v>541</v>
      </c>
      <c r="B265" t="s">
        <v>57</v>
      </c>
      <c r="C265" t="s">
        <v>549</v>
      </c>
      <c r="D265" t="s">
        <v>24</v>
      </c>
      <c r="E265" t="s">
        <v>550</v>
      </c>
      <c r="F265" t="s">
        <v>237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f t="shared" si="4"/>
        <v>7</v>
      </c>
      <c r="O265" t="str">
        <f>IF(AND($A265=Dashboard!$B$3,$B265=Dashboard!$G$3,$D265&lt;&gt;"NO_SERVICE"),ROW(),"")</f>
        <v/>
      </c>
    </row>
    <row r="266" spans="1:15" x14ac:dyDescent="0.25">
      <c r="A266" t="s">
        <v>541</v>
      </c>
      <c r="B266" t="s">
        <v>63</v>
      </c>
      <c r="C266" t="s">
        <v>551</v>
      </c>
      <c r="D266" t="s">
        <v>24</v>
      </c>
      <c r="E266" t="s">
        <v>552</v>
      </c>
      <c r="F266" t="s">
        <v>66</v>
      </c>
      <c r="G266">
        <v>1</v>
      </c>
      <c r="H266">
        <v>0</v>
      </c>
      <c r="I266">
        <v>1</v>
      </c>
      <c r="J266">
        <v>0</v>
      </c>
      <c r="K266">
        <v>1</v>
      </c>
      <c r="L266">
        <v>0</v>
      </c>
      <c r="M266">
        <v>1</v>
      </c>
      <c r="N266">
        <f t="shared" si="4"/>
        <v>4</v>
      </c>
      <c r="O266" t="str">
        <f>IF(AND($A266=Dashboard!$B$3,$B266=Dashboard!$G$3,$D266&lt;&gt;"NO_SERVICE"),ROW(),"")</f>
        <v/>
      </c>
    </row>
    <row r="267" spans="1:15" x14ac:dyDescent="0.25">
      <c r="A267" t="s">
        <v>541</v>
      </c>
      <c r="B267" t="s">
        <v>63</v>
      </c>
      <c r="C267" t="s">
        <v>551</v>
      </c>
      <c r="D267" t="s">
        <v>24</v>
      </c>
      <c r="E267" t="s">
        <v>553</v>
      </c>
      <c r="F267" t="s">
        <v>488</v>
      </c>
      <c r="G267">
        <v>0</v>
      </c>
      <c r="H267">
        <v>1</v>
      </c>
      <c r="I267">
        <v>0</v>
      </c>
      <c r="J267">
        <v>0</v>
      </c>
      <c r="K267">
        <v>1</v>
      </c>
      <c r="L267">
        <v>0</v>
      </c>
      <c r="M267">
        <v>0</v>
      </c>
      <c r="N267">
        <f t="shared" si="4"/>
        <v>2</v>
      </c>
      <c r="O267" t="str">
        <f>IF(AND($A267=Dashboard!$B$3,$B267=Dashboard!$G$3,$D267&lt;&gt;"NO_SERVICE"),ROW(),"")</f>
        <v/>
      </c>
    </row>
    <row r="268" spans="1:15" x14ac:dyDescent="0.25">
      <c r="A268" t="s">
        <v>541</v>
      </c>
      <c r="B268" t="s">
        <v>63</v>
      </c>
      <c r="C268" t="s">
        <v>551</v>
      </c>
      <c r="D268" t="s">
        <v>24</v>
      </c>
      <c r="E268" t="s">
        <v>554</v>
      </c>
      <c r="F268" t="s">
        <v>131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f t="shared" si="4"/>
        <v>7</v>
      </c>
      <c r="O268" t="str">
        <f>IF(AND($A268=Dashboard!$B$3,$B268=Dashboard!$G$3,$D268&lt;&gt;"NO_SERVICE"),ROW(),"")</f>
        <v/>
      </c>
    </row>
    <row r="269" spans="1:15" x14ac:dyDescent="0.25">
      <c r="A269" t="s">
        <v>541</v>
      </c>
      <c r="B269" t="s">
        <v>63</v>
      </c>
      <c r="C269" t="s">
        <v>551</v>
      </c>
      <c r="D269" t="s">
        <v>24</v>
      </c>
      <c r="E269" t="s">
        <v>555</v>
      </c>
      <c r="F269" t="s">
        <v>76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f t="shared" si="4"/>
        <v>7</v>
      </c>
      <c r="O269" t="str">
        <f>IF(AND($A269=Dashboard!$B$3,$B269=Dashboard!$G$3,$D269&lt;&gt;"NO_SERVICE"),ROW(),"")</f>
        <v/>
      </c>
    </row>
    <row r="270" spans="1:15" x14ac:dyDescent="0.25">
      <c r="A270" t="s">
        <v>541</v>
      </c>
      <c r="B270" t="s">
        <v>63</v>
      </c>
      <c r="C270" t="s">
        <v>551</v>
      </c>
      <c r="D270" t="s">
        <v>24</v>
      </c>
      <c r="E270" t="s">
        <v>556</v>
      </c>
      <c r="F270" t="s">
        <v>60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f t="shared" si="4"/>
        <v>7</v>
      </c>
      <c r="O270" t="str">
        <f>IF(AND($A270=Dashboard!$B$3,$B270=Dashboard!$G$3,$D270&lt;&gt;"NO_SERVICE"),ROW(),"")</f>
        <v/>
      </c>
    </row>
    <row r="271" spans="1:15" x14ac:dyDescent="0.25">
      <c r="A271" t="s">
        <v>541</v>
      </c>
      <c r="B271" t="s">
        <v>63</v>
      </c>
      <c r="C271" t="s">
        <v>551</v>
      </c>
      <c r="D271" t="s">
        <v>24</v>
      </c>
      <c r="E271" t="s">
        <v>557</v>
      </c>
      <c r="F271" t="s">
        <v>349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f t="shared" si="4"/>
        <v>7</v>
      </c>
      <c r="O271" t="str">
        <f>IF(AND($A271=Dashboard!$B$3,$B271=Dashboard!$G$3,$D271&lt;&gt;"NO_SERVICE"),ROW(),"")</f>
        <v/>
      </c>
    </row>
    <row r="272" spans="1:15" x14ac:dyDescent="0.25">
      <c r="A272" t="s">
        <v>541</v>
      </c>
      <c r="B272" t="s">
        <v>63</v>
      </c>
      <c r="C272" t="s">
        <v>551</v>
      </c>
      <c r="D272" t="s">
        <v>21</v>
      </c>
      <c r="E272" t="s">
        <v>558</v>
      </c>
      <c r="F272" t="s">
        <v>307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f t="shared" si="4"/>
        <v>7</v>
      </c>
      <c r="O272" t="str">
        <f>IF(AND($A272=Dashboard!$B$3,$B272=Dashboard!$G$3,$D272&lt;&gt;"NO_SERVICE"),ROW(),"")</f>
        <v/>
      </c>
    </row>
    <row r="273" spans="1:15" x14ac:dyDescent="0.25">
      <c r="A273" t="s">
        <v>541</v>
      </c>
      <c r="B273" t="s">
        <v>63</v>
      </c>
      <c r="C273" t="s">
        <v>551</v>
      </c>
      <c r="D273" t="s">
        <v>21</v>
      </c>
      <c r="E273" t="s">
        <v>559</v>
      </c>
      <c r="F273" t="s">
        <v>237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f t="shared" si="4"/>
        <v>7</v>
      </c>
      <c r="O273" t="str">
        <f>IF(AND($A273=Dashboard!$B$3,$B273=Dashboard!$G$3,$D273&lt;&gt;"NO_SERVICE"),ROW(),"")</f>
        <v/>
      </c>
    </row>
    <row r="274" spans="1:15" x14ac:dyDescent="0.25">
      <c r="A274" t="s">
        <v>541</v>
      </c>
      <c r="B274" t="s">
        <v>67</v>
      </c>
      <c r="C274" t="s">
        <v>560</v>
      </c>
      <c r="D274" t="s">
        <v>24</v>
      </c>
      <c r="E274" t="s">
        <v>561</v>
      </c>
      <c r="F274" t="s">
        <v>102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f t="shared" si="4"/>
        <v>7</v>
      </c>
      <c r="O274" t="str">
        <f>IF(AND($A274=Dashboard!$B$3,$B274=Dashboard!$G$3,$D274&lt;&gt;"NO_SERVICE"),ROW(),"")</f>
        <v/>
      </c>
    </row>
    <row r="275" spans="1:15" x14ac:dyDescent="0.25">
      <c r="A275" t="s">
        <v>541</v>
      </c>
      <c r="B275" t="s">
        <v>73</v>
      </c>
      <c r="C275" t="s">
        <v>562</v>
      </c>
      <c r="D275" t="s">
        <v>24</v>
      </c>
      <c r="E275" t="s">
        <v>563</v>
      </c>
      <c r="F275" t="s">
        <v>127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f t="shared" si="4"/>
        <v>7</v>
      </c>
      <c r="O275" t="str">
        <f>IF(AND($A275=Dashboard!$B$3,$B275=Dashboard!$G$3,$D275&lt;&gt;"NO_SERVICE"),ROW(),"")</f>
        <v/>
      </c>
    </row>
    <row r="276" spans="1:15" x14ac:dyDescent="0.25">
      <c r="A276" t="s">
        <v>541</v>
      </c>
      <c r="B276" t="s">
        <v>73</v>
      </c>
      <c r="C276" t="s">
        <v>562</v>
      </c>
      <c r="D276" t="s">
        <v>24</v>
      </c>
      <c r="E276" t="s">
        <v>564</v>
      </c>
      <c r="F276" t="s">
        <v>315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f t="shared" si="4"/>
        <v>6</v>
      </c>
      <c r="O276" t="str">
        <f>IF(AND($A276=Dashboard!$B$3,$B276=Dashboard!$G$3,$D276&lt;&gt;"NO_SERVICE"),ROW(),"")</f>
        <v/>
      </c>
    </row>
    <row r="277" spans="1:15" x14ac:dyDescent="0.25">
      <c r="A277" t="s">
        <v>541</v>
      </c>
      <c r="B277" t="s">
        <v>73</v>
      </c>
      <c r="C277" t="s">
        <v>562</v>
      </c>
      <c r="D277" t="s">
        <v>24</v>
      </c>
      <c r="E277" t="s">
        <v>565</v>
      </c>
      <c r="F277" t="s">
        <v>413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f t="shared" si="4"/>
        <v>7</v>
      </c>
      <c r="O277" t="str">
        <f>IF(AND($A277=Dashboard!$B$3,$B277=Dashboard!$G$3,$D277&lt;&gt;"NO_SERVICE"),ROW(),"")</f>
        <v/>
      </c>
    </row>
    <row r="278" spans="1:15" x14ac:dyDescent="0.25">
      <c r="A278" t="s">
        <v>541</v>
      </c>
      <c r="B278" t="s">
        <v>73</v>
      </c>
      <c r="C278" t="s">
        <v>562</v>
      </c>
      <c r="D278" t="s">
        <v>21</v>
      </c>
      <c r="E278" t="s">
        <v>566</v>
      </c>
      <c r="F278" t="s">
        <v>567</v>
      </c>
      <c r="G278">
        <v>1</v>
      </c>
      <c r="H278">
        <v>0</v>
      </c>
      <c r="I278">
        <v>1</v>
      </c>
      <c r="J278">
        <v>1</v>
      </c>
      <c r="K278">
        <v>1</v>
      </c>
      <c r="L278">
        <v>0</v>
      </c>
      <c r="M278">
        <v>1</v>
      </c>
      <c r="N278">
        <f t="shared" si="4"/>
        <v>5</v>
      </c>
      <c r="O278" t="str">
        <f>IF(AND($A278=Dashboard!$B$3,$B278=Dashboard!$G$3,$D278&lt;&gt;"NO_SERVICE"),ROW(),"")</f>
        <v/>
      </c>
    </row>
    <row r="279" spans="1:15" x14ac:dyDescent="0.25">
      <c r="A279" t="s">
        <v>541</v>
      </c>
      <c r="B279" t="s">
        <v>73</v>
      </c>
      <c r="C279" t="s">
        <v>562</v>
      </c>
      <c r="D279" t="s">
        <v>21</v>
      </c>
      <c r="E279" t="s">
        <v>568</v>
      </c>
      <c r="F279" t="s">
        <v>368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f t="shared" si="4"/>
        <v>1</v>
      </c>
      <c r="O279" t="str">
        <f>IF(AND($A279=Dashboard!$B$3,$B279=Dashboard!$G$3,$D279&lt;&gt;"NO_SERVICE"),ROW(),"")</f>
        <v/>
      </c>
    </row>
    <row r="280" spans="1:15" x14ac:dyDescent="0.25">
      <c r="A280" t="s">
        <v>541</v>
      </c>
      <c r="B280" t="s">
        <v>73</v>
      </c>
      <c r="C280" t="s">
        <v>562</v>
      </c>
      <c r="D280" t="s">
        <v>21</v>
      </c>
      <c r="E280" t="s">
        <v>569</v>
      </c>
      <c r="F280" t="s">
        <v>221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f t="shared" si="4"/>
        <v>7</v>
      </c>
      <c r="O280" t="str">
        <f>IF(AND($A280=Dashboard!$B$3,$B280=Dashboard!$G$3,$D280&lt;&gt;"NO_SERVICE"),ROW(),"")</f>
        <v/>
      </c>
    </row>
    <row r="281" spans="1:15" x14ac:dyDescent="0.25">
      <c r="A281" t="s">
        <v>541</v>
      </c>
      <c r="B281" t="s">
        <v>79</v>
      </c>
      <c r="C281" t="s">
        <v>570</v>
      </c>
      <c r="D281" t="s">
        <v>52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f t="shared" si="4"/>
        <v>0</v>
      </c>
      <c r="O281" t="str">
        <f>IF(AND($A281=Dashboard!$B$3,$B281=Dashboard!$G$3,$D281&lt;&gt;"NO_SERVICE"),ROW(),"")</f>
        <v/>
      </c>
    </row>
    <row r="282" spans="1:15" x14ac:dyDescent="0.25">
      <c r="A282" t="s">
        <v>541</v>
      </c>
      <c r="B282" t="s">
        <v>81</v>
      </c>
      <c r="C282" t="s">
        <v>571</v>
      </c>
      <c r="D282" t="s">
        <v>24</v>
      </c>
      <c r="E282" t="s">
        <v>572</v>
      </c>
      <c r="F282" t="s">
        <v>573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f t="shared" si="4"/>
        <v>7</v>
      </c>
      <c r="O282" t="str">
        <f>IF(AND($A282=Dashboard!$B$3,$B282=Dashboard!$G$3,$D282&lt;&gt;"NO_SERVICE"),ROW(),"")</f>
        <v/>
      </c>
    </row>
    <row r="283" spans="1:15" x14ac:dyDescent="0.25">
      <c r="A283" t="s">
        <v>541</v>
      </c>
      <c r="B283" t="s">
        <v>81</v>
      </c>
      <c r="C283" t="s">
        <v>571</v>
      </c>
      <c r="D283" t="s">
        <v>21</v>
      </c>
      <c r="E283" t="s">
        <v>574</v>
      </c>
      <c r="F283" t="s">
        <v>326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f t="shared" si="4"/>
        <v>7</v>
      </c>
      <c r="O283" t="str">
        <f>IF(AND($A283=Dashboard!$B$3,$B283=Dashboard!$G$3,$D283&lt;&gt;"NO_SERVICE"),ROW(),"")</f>
        <v/>
      </c>
    </row>
    <row r="284" spans="1:15" x14ac:dyDescent="0.25">
      <c r="A284" t="s">
        <v>541</v>
      </c>
      <c r="B284" t="s">
        <v>81</v>
      </c>
      <c r="C284" t="s">
        <v>571</v>
      </c>
      <c r="D284" t="s">
        <v>26</v>
      </c>
      <c r="E284" t="s">
        <v>575</v>
      </c>
      <c r="F284" t="s">
        <v>106</v>
      </c>
      <c r="G284">
        <v>1</v>
      </c>
      <c r="H284">
        <v>0</v>
      </c>
      <c r="I284">
        <v>1</v>
      </c>
      <c r="J284">
        <v>0</v>
      </c>
      <c r="K284">
        <v>1</v>
      </c>
      <c r="L284">
        <v>0</v>
      </c>
      <c r="M284">
        <v>1</v>
      </c>
      <c r="N284">
        <f t="shared" si="4"/>
        <v>4</v>
      </c>
      <c r="O284" t="str">
        <f>IF(AND($A284=Dashboard!$B$3,$B284=Dashboard!$G$3,$D284&lt;&gt;"NO_SERVICE"),ROW(),"")</f>
        <v/>
      </c>
    </row>
    <row r="285" spans="1:15" x14ac:dyDescent="0.25">
      <c r="A285" t="s">
        <v>541</v>
      </c>
      <c r="B285" t="s">
        <v>83</v>
      </c>
      <c r="C285" t="s">
        <v>576</v>
      </c>
      <c r="D285" t="s">
        <v>24</v>
      </c>
      <c r="E285" t="s">
        <v>577</v>
      </c>
      <c r="F285" t="s">
        <v>168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f t="shared" si="4"/>
        <v>7</v>
      </c>
      <c r="O285" t="str">
        <f>IF(AND($A285=Dashboard!$B$3,$B285=Dashboard!$G$3,$D285&lt;&gt;"NO_SERVICE"),ROW(),"")</f>
        <v/>
      </c>
    </row>
    <row r="286" spans="1:15" x14ac:dyDescent="0.25">
      <c r="A286" t="s">
        <v>541</v>
      </c>
      <c r="B286" t="s">
        <v>83</v>
      </c>
      <c r="C286" t="s">
        <v>576</v>
      </c>
      <c r="D286" t="s">
        <v>24</v>
      </c>
      <c r="E286" t="s">
        <v>578</v>
      </c>
      <c r="F286" t="s">
        <v>78</v>
      </c>
      <c r="G286">
        <v>1</v>
      </c>
      <c r="H286">
        <v>0</v>
      </c>
      <c r="I286">
        <v>1</v>
      </c>
      <c r="J286">
        <v>0</v>
      </c>
      <c r="K286">
        <v>1</v>
      </c>
      <c r="L286">
        <v>1</v>
      </c>
      <c r="M286">
        <v>1</v>
      </c>
      <c r="N286">
        <f t="shared" si="4"/>
        <v>5</v>
      </c>
      <c r="O286" t="str">
        <f>IF(AND($A286=Dashboard!$B$3,$B286=Dashboard!$G$3,$D286&lt;&gt;"NO_SERVICE"),ROW(),"")</f>
        <v/>
      </c>
    </row>
    <row r="287" spans="1:15" x14ac:dyDescent="0.25">
      <c r="A287" t="s">
        <v>541</v>
      </c>
      <c r="B287" t="s">
        <v>83</v>
      </c>
      <c r="C287" t="s">
        <v>576</v>
      </c>
      <c r="D287" t="s">
        <v>24</v>
      </c>
      <c r="E287" t="s">
        <v>579</v>
      </c>
      <c r="F287" t="s">
        <v>580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f t="shared" si="4"/>
        <v>7</v>
      </c>
      <c r="O287" t="str">
        <f>IF(AND($A287=Dashboard!$B$3,$B287=Dashboard!$G$3,$D287&lt;&gt;"NO_SERVICE"),ROW(),"")</f>
        <v/>
      </c>
    </row>
    <row r="288" spans="1:15" x14ac:dyDescent="0.25">
      <c r="A288" t="s">
        <v>541</v>
      </c>
      <c r="B288" t="s">
        <v>91</v>
      </c>
      <c r="C288" t="s">
        <v>581</v>
      </c>
      <c r="D288" t="s">
        <v>24</v>
      </c>
      <c r="E288" t="s">
        <v>582</v>
      </c>
      <c r="F288" t="s">
        <v>215</v>
      </c>
      <c r="G288">
        <v>1</v>
      </c>
      <c r="H288">
        <v>1</v>
      </c>
      <c r="I288">
        <v>0</v>
      </c>
      <c r="J288">
        <v>1</v>
      </c>
      <c r="K288">
        <v>1</v>
      </c>
      <c r="L288">
        <v>1</v>
      </c>
      <c r="M288">
        <v>1</v>
      </c>
      <c r="N288">
        <f t="shared" si="4"/>
        <v>6</v>
      </c>
      <c r="O288" t="str">
        <f>IF(AND($A288=Dashboard!$B$3,$B288=Dashboard!$G$3,$D288&lt;&gt;"NO_SERVICE"),ROW(),"")</f>
        <v/>
      </c>
    </row>
    <row r="289" spans="1:15" x14ac:dyDescent="0.25">
      <c r="A289" t="s">
        <v>541</v>
      </c>
      <c r="B289" t="s">
        <v>91</v>
      </c>
      <c r="C289" t="s">
        <v>581</v>
      </c>
      <c r="D289" t="s">
        <v>24</v>
      </c>
      <c r="E289" t="s">
        <v>583</v>
      </c>
      <c r="F289" t="s">
        <v>293</v>
      </c>
      <c r="G289">
        <v>0</v>
      </c>
      <c r="H289">
        <v>1</v>
      </c>
      <c r="I289">
        <v>0</v>
      </c>
      <c r="J289">
        <v>1</v>
      </c>
      <c r="K289">
        <v>0</v>
      </c>
      <c r="L289">
        <v>1</v>
      </c>
      <c r="M289">
        <v>0</v>
      </c>
      <c r="N289">
        <f t="shared" si="4"/>
        <v>3</v>
      </c>
      <c r="O289" t="str">
        <f>IF(AND($A289=Dashboard!$B$3,$B289=Dashboard!$G$3,$D289&lt;&gt;"NO_SERVICE"),ROW(),"")</f>
        <v/>
      </c>
    </row>
    <row r="290" spans="1:15" x14ac:dyDescent="0.25">
      <c r="A290" t="s">
        <v>541</v>
      </c>
      <c r="B290" t="s">
        <v>97</v>
      </c>
      <c r="C290" t="s">
        <v>584</v>
      </c>
      <c r="D290" t="s">
        <v>24</v>
      </c>
      <c r="E290" t="s">
        <v>585</v>
      </c>
      <c r="F290" t="s">
        <v>359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f t="shared" si="4"/>
        <v>7</v>
      </c>
      <c r="O290" t="str">
        <f>IF(AND($A290=Dashboard!$B$3,$B290=Dashboard!$G$3,$D290&lt;&gt;"NO_SERVICE"),ROW(),"")</f>
        <v/>
      </c>
    </row>
    <row r="291" spans="1:15" x14ac:dyDescent="0.25">
      <c r="A291" t="s">
        <v>541</v>
      </c>
      <c r="B291" t="s">
        <v>103</v>
      </c>
      <c r="C291" t="s">
        <v>586</v>
      </c>
      <c r="D291" t="s">
        <v>24</v>
      </c>
      <c r="E291" t="s">
        <v>587</v>
      </c>
      <c r="F291" t="s">
        <v>484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f t="shared" si="4"/>
        <v>7</v>
      </c>
      <c r="O291" t="str">
        <f>IF(AND($A291=Dashboard!$B$3,$B291=Dashboard!$G$3,$D291&lt;&gt;"NO_SERVICE"),ROW(),"")</f>
        <v/>
      </c>
    </row>
    <row r="292" spans="1:15" x14ac:dyDescent="0.25">
      <c r="A292" t="s">
        <v>541</v>
      </c>
      <c r="B292" t="s">
        <v>103</v>
      </c>
      <c r="C292" t="s">
        <v>586</v>
      </c>
      <c r="D292" t="s">
        <v>24</v>
      </c>
      <c r="E292" t="s">
        <v>588</v>
      </c>
      <c r="F292" t="s">
        <v>589</v>
      </c>
      <c r="G292">
        <v>1</v>
      </c>
      <c r="H292">
        <v>0</v>
      </c>
      <c r="I292">
        <v>1</v>
      </c>
      <c r="J292">
        <v>1</v>
      </c>
      <c r="K292">
        <v>1</v>
      </c>
      <c r="L292">
        <v>1</v>
      </c>
      <c r="M292">
        <v>1</v>
      </c>
      <c r="N292">
        <f t="shared" si="4"/>
        <v>6</v>
      </c>
      <c r="O292" t="str">
        <f>IF(AND($A292=Dashboard!$B$3,$B292=Dashboard!$G$3,$D292&lt;&gt;"NO_SERVICE"),ROW(),"")</f>
        <v/>
      </c>
    </row>
    <row r="293" spans="1:15" x14ac:dyDescent="0.25">
      <c r="A293" t="s">
        <v>541</v>
      </c>
      <c r="B293" t="s">
        <v>109</v>
      </c>
      <c r="C293" t="s">
        <v>590</v>
      </c>
      <c r="D293" t="s">
        <v>24</v>
      </c>
      <c r="E293" t="s">
        <v>591</v>
      </c>
      <c r="F293" t="s">
        <v>339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f t="shared" si="4"/>
        <v>7</v>
      </c>
      <c r="O293" t="str">
        <f>IF(AND($A293=Dashboard!$B$3,$B293=Dashboard!$G$3,$D293&lt;&gt;"NO_SERVICE"),ROW(),"")</f>
        <v/>
      </c>
    </row>
    <row r="294" spans="1:15" x14ac:dyDescent="0.25">
      <c r="A294" t="s">
        <v>541</v>
      </c>
      <c r="B294" t="s">
        <v>109</v>
      </c>
      <c r="C294" t="s">
        <v>590</v>
      </c>
      <c r="D294" t="s">
        <v>24</v>
      </c>
      <c r="E294" t="s">
        <v>592</v>
      </c>
      <c r="F294" t="s">
        <v>593</v>
      </c>
      <c r="G294">
        <v>1</v>
      </c>
      <c r="H294">
        <v>0</v>
      </c>
      <c r="I294">
        <v>1</v>
      </c>
      <c r="J294">
        <v>0</v>
      </c>
      <c r="K294">
        <v>0</v>
      </c>
      <c r="L294">
        <v>1</v>
      </c>
      <c r="M294">
        <v>0</v>
      </c>
      <c r="N294">
        <f t="shared" si="4"/>
        <v>3</v>
      </c>
      <c r="O294" t="str">
        <f>IF(AND($A294=Dashboard!$B$3,$B294=Dashboard!$G$3,$D294&lt;&gt;"NO_SERVICE"),ROW(),"")</f>
        <v/>
      </c>
    </row>
    <row r="295" spans="1:15" x14ac:dyDescent="0.25">
      <c r="A295" t="s">
        <v>541</v>
      </c>
      <c r="B295" t="s">
        <v>109</v>
      </c>
      <c r="C295" t="s">
        <v>590</v>
      </c>
      <c r="D295" t="s">
        <v>24</v>
      </c>
      <c r="E295" t="s">
        <v>594</v>
      </c>
      <c r="F295" t="s">
        <v>230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f t="shared" si="4"/>
        <v>7</v>
      </c>
      <c r="O295" t="str">
        <f>IF(AND($A295=Dashboard!$B$3,$B295=Dashboard!$G$3,$D295&lt;&gt;"NO_SERVICE"),ROW(),"")</f>
        <v/>
      </c>
    </row>
    <row r="296" spans="1:15" x14ac:dyDescent="0.25">
      <c r="A296" t="s">
        <v>541</v>
      </c>
      <c r="B296" t="s">
        <v>109</v>
      </c>
      <c r="C296" t="s">
        <v>590</v>
      </c>
      <c r="D296" t="s">
        <v>24</v>
      </c>
      <c r="E296" t="s">
        <v>595</v>
      </c>
      <c r="F296" t="s">
        <v>596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f t="shared" si="4"/>
        <v>7</v>
      </c>
      <c r="O296" t="str">
        <f>IF(AND($A296=Dashboard!$B$3,$B296=Dashboard!$G$3,$D296&lt;&gt;"NO_SERVICE"),ROW(),"")</f>
        <v/>
      </c>
    </row>
    <row r="297" spans="1:15" x14ac:dyDescent="0.25">
      <c r="A297" t="s">
        <v>541</v>
      </c>
      <c r="B297" t="s">
        <v>113</v>
      </c>
      <c r="C297" t="s">
        <v>597</v>
      </c>
      <c r="D297" t="s">
        <v>24</v>
      </c>
      <c r="E297" t="s">
        <v>598</v>
      </c>
      <c r="F297" t="s">
        <v>599</v>
      </c>
      <c r="G297">
        <v>1</v>
      </c>
      <c r="H297">
        <v>1</v>
      </c>
      <c r="I297">
        <v>0</v>
      </c>
      <c r="J297">
        <v>1</v>
      </c>
      <c r="K297">
        <v>0</v>
      </c>
      <c r="L297">
        <v>1</v>
      </c>
      <c r="M297">
        <v>0</v>
      </c>
      <c r="N297">
        <f t="shared" si="4"/>
        <v>4</v>
      </c>
      <c r="O297" t="str">
        <f>IF(AND($A297=Dashboard!$B$3,$B297=Dashboard!$G$3,$D297&lt;&gt;"NO_SERVICE"),ROW(),"")</f>
        <v/>
      </c>
    </row>
    <row r="298" spans="1:15" x14ac:dyDescent="0.25">
      <c r="A298" t="s">
        <v>541</v>
      </c>
      <c r="B298" t="s">
        <v>113</v>
      </c>
      <c r="C298" t="s">
        <v>597</v>
      </c>
      <c r="D298" t="s">
        <v>24</v>
      </c>
      <c r="E298" t="s">
        <v>600</v>
      </c>
      <c r="F298" t="s">
        <v>466</v>
      </c>
      <c r="G298">
        <v>0</v>
      </c>
      <c r="H298">
        <v>0</v>
      </c>
      <c r="I298">
        <v>1</v>
      </c>
      <c r="J298">
        <v>0</v>
      </c>
      <c r="K298">
        <v>1</v>
      </c>
      <c r="L298">
        <v>0</v>
      </c>
      <c r="M298">
        <v>1</v>
      </c>
      <c r="N298">
        <f t="shared" si="4"/>
        <v>3</v>
      </c>
      <c r="O298" t="str">
        <f>IF(AND($A298=Dashboard!$B$3,$B298=Dashboard!$G$3,$D298&lt;&gt;"NO_SERVICE"),ROW(),"")</f>
        <v/>
      </c>
    </row>
    <row r="299" spans="1:15" x14ac:dyDescent="0.25">
      <c r="A299" t="s">
        <v>541</v>
      </c>
      <c r="B299" t="s">
        <v>113</v>
      </c>
      <c r="C299" t="s">
        <v>597</v>
      </c>
      <c r="D299" t="s">
        <v>24</v>
      </c>
      <c r="E299" t="s">
        <v>601</v>
      </c>
      <c r="F299" t="s">
        <v>293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f t="shared" si="4"/>
        <v>7</v>
      </c>
      <c r="O299" t="str">
        <f>IF(AND($A299=Dashboard!$B$3,$B299=Dashboard!$G$3,$D299&lt;&gt;"NO_SERVICE"),ROW(),"")</f>
        <v/>
      </c>
    </row>
    <row r="300" spans="1:15" x14ac:dyDescent="0.25">
      <c r="A300" t="s">
        <v>541</v>
      </c>
      <c r="B300" t="s">
        <v>116</v>
      </c>
      <c r="C300" t="s">
        <v>602</v>
      </c>
      <c r="D300" t="s">
        <v>24</v>
      </c>
      <c r="E300" t="s">
        <v>603</v>
      </c>
      <c r="F300" t="s">
        <v>159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f t="shared" si="4"/>
        <v>7</v>
      </c>
      <c r="O300" t="str">
        <f>IF(AND($A300=Dashboard!$B$3,$B300=Dashboard!$G$3,$D300&lt;&gt;"NO_SERVICE"),ROW(),"")</f>
        <v/>
      </c>
    </row>
    <row r="301" spans="1:15" x14ac:dyDescent="0.25">
      <c r="A301" t="s">
        <v>541</v>
      </c>
      <c r="B301" t="s">
        <v>122</v>
      </c>
      <c r="C301" t="s">
        <v>604</v>
      </c>
      <c r="D301" t="s">
        <v>52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f t="shared" si="4"/>
        <v>0</v>
      </c>
      <c r="O301" t="str">
        <f>IF(AND($A301=Dashboard!$B$3,$B301=Dashboard!$G$3,$D301&lt;&gt;"NO_SERVICE"),ROW(),"")</f>
        <v/>
      </c>
    </row>
    <row r="302" spans="1:15" x14ac:dyDescent="0.25">
      <c r="A302" t="s">
        <v>541</v>
      </c>
      <c r="B302" t="s">
        <v>124</v>
      </c>
      <c r="C302" t="s">
        <v>605</v>
      </c>
      <c r="D302" t="s">
        <v>52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f t="shared" si="4"/>
        <v>0</v>
      </c>
      <c r="O302" t="str">
        <f>IF(AND($A302=Dashboard!$B$3,$B302=Dashboard!$G$3,$D302&lt;&gt;"NO_SERVICE"),ROW(),"")</f>
        <v/>
      </c>
    </row>
    <row r="303" spans="1:15" x14ac:dyDescent="0.25">
      <c r="A303" t="s">
        <v>541</v>
      </c>
      <c r="B303" t="s">
        <v>128</v>
      </c>
      <c r="C303" t="s">
        <v>606</v>
      </c>
      <c r="D303" t="s">
        <v>52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f t="shared" si="4"/>
        <v>0</v>
      </c>
      <c r="O303" t="str">
        <f>IF(AND($A303=Dashboard!$B$3,$B303=Dashboard!$G$3,$D303&lt;&gt;"NO_SERVICE"),ROW(),"")</f>
        <v/>
      </c>
    </row>
    <row r="304" spans="1:15" x14ac:dyDescent="0.25">
      <c r="A304" t="s">
        <v>541</v>
      </c>
      <c r="B304" t="s">
        <v>132</v>
      </c>
      <c r="C304" t="s">
        <v>607</v>
      </c>
      <c r="D304" t="s">
        <v>52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f t="shared" si="4"/>
        <v>0</v>
      </c>
      <c r="O304" t="str">
        <f>IF(AND($A304=Dashboard!$B$3,$B304=Dashboard!$G$3,$D304&lt;&gt;"NO_SERVICE"),ROW(),"")</f>
        <v/>
      </c>
    </row>
    <row r="305" spans="1:15" x14ac:dyDescent="0.25">
      <c r="A305" t="s">
        <v>541</v>
      </c>
      <c r="B305" t="s">
        <v>134</v>
      </c>
      <c r="C305" t="s">
        <v>608</v>
      </c>
      <c r="D305" t="s">
        <v>24</v>
      </c>
      <c r="E305" t="s">
        <v>609</v>
      </c>
      <c r="F305" t="s">
        <v>256</v>
      </c>
      <c r="G305">
        <v>1</v>
      </c>
      <c r="H305">
        <v>0</v>
      </c>
      <c r="I305">
        <v>1</v>
      </c>
      <c r="J305">
        <v>0</v>
      </c>
      <c r="K305">
        <v>1</v>
      </c>
      <c r="L305">
        <v>0</v>
      </c>
      <c r="M305">
        <v>1</v>
      </c>
      <c r="N305">
        <f t="shared" si="4"/>
        <v>4</v>
      </c>
      <c r="O305" t="str">
        <f>IF(AND($A305=Dashboard!$B$3,$B305=Dashboard!$G$3,$D305&lt;&gt;"NO_SERVICE"),ROW(),"")</f>
        <v/>
      </c>
    </row>
    <row r="306" spans="1:15" x14ac:dyDescent="0.25">
      <c r="A306" t="s">
        <v>541</v>
      </c>
      <c r="B306" t="s">
        <v>138</v>
      </c>
      <c r="C306" t="s">
        <v>610</v>
      </c>
      <c r="D306" t="s">
        <v>24</v>
      </c>
      <c r="E306" t="s">
        <v>611</v>
      </c>
      <c r="F306" t="s">
        <v>388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f t="shared" si="4"/>
        <v>7</v>
      </c>
      <c r="O306" t="str">
        <f>IF(AND($A306=Dashboard!$B$3,$B306=Dashboard!$G$3,$D306&lt;&gt;"NO_SERVICE"),ROW(),"")</f>
        <v/>
      </c>
    </row>
    <row r="307" spans="1:15" x14ac:dyDescent="0.25">
      <c r="A307" t="s">
        <v>541</v>
      </c>
      <c r="B307" t="s">
        <v>140</v>
      </c>
      <c r="C307" t="s">
        <v>612</v>
      </c>
      <c r="D307" t="s">
        <v>52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f t="shared" si="4"/>
        <v>0</v>
      </c>
      <c r="O307" t="str">
        <f>IF(AND($A307=Dashboard!$B$3,$B307=Dashboard!$G$3,$D307&lt;&gt;"NO_SERVICE"),ROW(),"")</f>
        <v/>
      </c>
    </row>
    <row r="308" spans="1:15" x14ac:dyDescent="0.25">
      <c r="A308" t="s">
        <v>541</v>
      </c>
      <c r="B308" t="s">
        <v>144</v>
      </c>
      <c r="C308" t="s">
        <v>613</v>
      </c>
      <c r="D308" t="s">
        <v>24</v>
      </c>
      <c r="E308" t="s">
        <v>614</v>
      </c>
      <c r="F308" t="s">
        <v>215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>
        <f t="shared" si="4"/>
        <v>1</v>
      </c>
      <c r="O308" t="str">
        <f>IF(AND($A308=Dashboard!$B$3,$B308=Dashboard!$G$3,$D308&lt;&gt;"NO_SERVICE"),ROW(),"")</f>
        <v/>
      </c>
    </row>
    <row r="309" spans="1:15" x14ac:dyDescent="0.25">
      <c r="A309" t="s">
        <v>541</v>
      </c>
      <c r="B309" t="s">
        <v>144</v>
      </c>
      <c r="C309" t="s">
        <v>613</v>
      </c>
      <c r="D309" t="s">
        <v>24</v>
      </c>
      <c r="E309" t="s">
        <v>615</v>
      </c>
      <c r="F309" t="s">
        <v>96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f t="shared" si="4"/>
        <v>7</v>
      </c>
      <c r="O309" t="str">
        <f>IF(AND($A309=Dashboard!$B$3,$B309=Dashboard!$G$3,$D309&lt;&gt;"NO_SERVICE"),ROW(),"")</f>
        <v/>
      </c>
    </row>
    <row r="310" spans="1:15" x14ac:dyDescent="0.25">
      <c r="A310" t="s">
        <v>541</v>
      </c>
      <c r="B310" t="s">
        <v>148</v>
      </c>
      <c r="C310" t="s">
        <v>616</v>
      </c>
      <c r="D310" t="s">
        <v>52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f t="shared" si="4"/>
        <v>0</v>
      </c>
      <c r="O310" t="str">
        <f>IF(AND($A310=Dashboard!$B$3,$B310=Dashboard!$G$3,$D310&lt;&gt;"NO_SERVICE"),ROW(),"")</f>
        <v/>
      </c>
    </row>
    <row r="311" spans="1:15" x14ac:dyDescent="0.25">
      <c r="A311" t="s">
        <v>541</v>
      </c>
      <c r="B311" t="s">
        <v>150</v>
      </c>
      <c r="C311" t="s">
        <v>617</v>
      </c>
      <c r="D311" t="s">
        <v>52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f t="shared" si="4"/>
        <v>0</v>
      </c>
      <c r="O311" t="str">
        <f>IF(AND($A311=Dashboard!$B$3,$B311=Dashboard!$G$3,$D311&lt;&gt;"NO_SERVICE"),ROW(),"")</f>
        <v/>
      </c>
    </row>
    <row r="312" spans="1:15" x14ac:dyDescent="0.25">
      <c r="A312" t="s">
        <v>541</v>
      </c>
      <c r="B312" t="s">
        <v>152</v>
      </c>
      <c r="C312" t="s">
        <v>618</v>
      </c>
      <c r="D312" t="s">
        <v>52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f t="shared" si="4"/>
        <v>0</v>
      </c>
      <c r="O312" t="str">
        <f>IF(AND($A312=Dashboard!$B$3,$B312=Dashboard!$G$3,$D312&lt;&gt;"NO_SERVICE"),ROW(),"")</f>
        <v/>
      </c>
    </row>
    <row r="313" spans="1:15" x14ac:dyDescent="0.25">
      <c r="A313" t="s">
        <v>4</v>
      </c>
      <c r="B313" t="s">
        <v>46</v>
      </c>
      <c r="C313" t="s">
        <v>619</v>
      </c>
      <c r="D313" t="s">
        <v>24</v>
      </c>
      <c r="E313" t="s">
        <v>620</v>
      </c>
      <c r="F313" t="s">
        <v>395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f t="shared" si="4"/>
        <v>7</v>
      </c>
      <c r="O313" t="str">
        <f>IF(AND($A313=Dashboard!$B$3,$B313=Dashboard!$G$3,$D313&lt;&gt;"NO_SERVICE"),ROW(),"")</f>
        <v/>
      </c>
    </row>
    <row r="314" spans="1:15" x14ac:dyDescent="0.25">
      <c r="A314" t="s">
        <v>4</v>
      </c>
      <c r="B314" t="s">
        <v>46</v>
      </c>
      <c r="C314" t="s">
        <v>619</v>
      </c>
      <c r="D314" t="s">
        <v>24</v>
      </c>
      <c r="E314" t="s">
        <v>621</v>
      </c>
      <c r="F314" t="s">
        <v>260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f t="shared" si="4"/>
        <v>7</v>
      </c>
      <c r="O314" t="str">
        <f>IF(AND($A314=Dashboard!$B$3,$B314=Dashboard!$G$3,$D314&lt;&gt;"NO_SERVICE"),ROW(),"")</f>
        <v/>
      </c>
    </row>
    <row r="315" spans="1:15" x14ac:dyDescent="0.25">
      <c r="A315" t="s">
        <v>4</v>
      </c>
      <c r="B315" t="s">
        <v>46</v>
      </c>
      <c r="C315" t="s">
        <v>619</v>
      </c>
      <c r="D315" t="s">
        <v>24</v>
      </c>
      <c r="E315" t="s">
        <v>622</v>
      </c>
      <c r="F315" t="s">
        <v>289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f t="shared" si="4"/>
        <v>7</v>
      </c>
      <c r="O315" t="str">
        <f>IF(AND($A315=Dashboard!$B$3,$B315=Dashboard!$G$3,$D315&lt;&gt;"NO_SERVICE"),ROW(),"")</f>
        <v/>
      </c>
    </row>
    <row r="316" spans="1:15" x14ac:dyDescent="0.25">
      <c r="A316" t="s">
        <v>4</v>
      </c>
      <c r="B316" t="s">
        <v>46</v>
      </c>
      <c r="C316" t="s">
        <v>619</v>
      </c>
      <c r="D316" t="s">
        <v>24</v>
      </c>
      <c r="E316" t="s">
        <v>623</v>
      </c>
      <c r="F316" t="s">
        <v>392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f t="shared" si="4"/>
        <v>7</v>
      </c>
      <c r="O316" t="str">
        <f>IF(AND($A316=Dashboard!$B$3,$B316=Dashboard!$G$3,$D316&lt;&gt;"NO_SERVICE"),ROW(),"")</f>
        <v/>
      </c>
    </row>
    <row r="317" spans="1:15" x14ac:dyDescent="0.25">
      <c r="A317" t="s">
        <v>4</v>
      </c>
      <c r="B317" t="s">
        <v>46</v>
      </c>
      <c r="C317" t="s">
        <v>619</v>
      </c>
      <c r="D317" t="s">
        <v>21</v>
      </c>
      <c r="E317" t="s">
        <v>624</v>
      </c>
      <c r="F317" t="s">
        <v>215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f t="shared" si="4"/>
        <v>1</v>
      </c>
      <c r="O317" t="str">
        <f>IF(AND($A317=Dashboard!$B$3,$B317=Dashboard!$G$3,$D317&lt;&gt;"NO_SERVICE"),ROW(),"")</f>
        <v/>
      </c>
    </row>
    <row r="318" spans="1:15" x14ac:dyDescent="0.25">
      <c r="A318" t="s">
        <v>4</v>
      </c>
      <c r="B318" t="s">
        <v>46</v>
      </c>
      <c r="C318" t="s">
        <v>619</v>
      </c>
      <c r="D318" t="s">
        <v>21</v>
      </c>
      <c r="E318" t="s">
        <v>625</v>
      </c>
      <c r="F318" t="s">
        <v>309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f t="shared" si="4"/>
        <v>1</v>
      </c>
      <c r="O318" t="str">
        <f>IF(AND($A318=Dashboard!$B$3,$B318=Dashboard!$G$3,$D318&lt;&gt;"NO_SERVICE"),ROW(),"")</f>
        <v/>
      </c>
    </row>
    <row r="319" spans="1:15" x14ac:dyDescent="0.25">
      <c r="A319" t="s">
        <v>4</v>
      </c>
      <c r="B319" t="s">
        <v>46</v>
      </c>
      <c r="C319" t="s">
        <v>619</v>
      </c>
      <c r="D319" t="s">
        <v>21</v>
      </c>
      <c r="E319" t="s">
        <v>626</v>
      </c>
      <c r="F319" t="s">
        <v>309</v>
      </c>
      <c r="G319">
        <v>0</v>
      </c>
      <c r="H319">
        <v>1</v>
      </c>
      <c r="I319">
        <v>0</v>
      </c>
      <c r="J319">
        <v>1</v>
      </c>
      <c r="K319">
        <v>1</v>
      </c>
      <c r="L319">
        <v>1</v>
      </c>
      <c r="M319">
        <v>1</v>
      </c>
      <c r="N319">
        <f t="shared" si="4"/>
        <v>5</v>
      </c>
      <c r="O319" t="str">
        <f>IF(AND($A319=Dashboard!$B$3,$B319=Dashboard!$G$3,$D319&lt;&gt;"NO_SERVICE"),ROW(),"")</f>
        <v/>
      </c>
    </row>
    <row r="320" spans="1:15" x14ac:dyDescent="0.25">
      <c r="A320" t="s">
        <v>4</v>
      </c>
      <c r="B320" t="s">
        <v>46</v>
      </c>
      <c r="C320" t="s">
        <v>619</v>
      </c>
      <c r="D320" t="s">
        <v>21</v>
      </c>
      <c r="E320" t="s">
        <v>627</v>
      </c>
      <c r="F320" t="s">
        <v>628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f t="shared" si="4"/>
        <v>7</v>
      </c>
      <c r="O320" t="str">
        <f>IF(AND($A320=Dashboard!$B$3,$B320=Dashboard!$G$3,$D320&lt;&gt;"NO_SERVICE"),ROW(),"")</f>
        <v/>
      </c>
    </row>
    <row r="321" spans="1:15" x14ac:dyDescent="0.25">
      <c r="A321" t="s">
        <v>4</v>
      </c>
      <c r="B321" t="s">
        <v>46</v>
      </c>
      <c r="C321" t="s">
        <v>619</v>
      </c>
      <c r="D321" t="s">
        <v>21</v>
      </c>
      <c r="E321" t="s">
        <v>629</v>
      </c>
      <c r="F321" t="s">
        <v>630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f t="shared" si="4"/>
        <v>1</v>
      </c>
      <c r="O321" t="str">
        <f>IF(AND($A321=Dashboard!$B$3,$B321=Dashboard!$G$3,$D321&lt;&gt;"NO_SERVICE"),ROW(),"")</f>
        <v/>
      </c>
    </row>
    <row r="322" spans="1:15" x14ac:dyDescent="0.25">
      <c r="A322" t="s">
        <v>4</v>
      </c>
      <c r="B322" t="s">
        <v>46</v>
      </c>
      <c r="C322" t="s">
        <v>619</v>
      </c>
      <c r="D322" t="s">
        <v>21</v>
      </c>
      <c r="E322" t="s">
        <v>631</v>
      </c>
      <c r="F322" t="s">
        <v>307</v>
      </c>
      <c r="G322">
        <v>0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f t="shared" ref="N322:N385" si="5">SUM(G322:M322)</f>
        <v>6</v>
      </c>
      <c r="O322" t="str">
        <f>IF(AND($A322=Dashboard!$B$3,$B322=Dashboard!$G$3,$D322&lt;&gt;"NO_SERVICE"),ROW(),"")</f>
        <v/>
      </c>
    </row>
    <row r="323" spans="1:15" x14ac:dyDescent="0.25">
      <c r="A323" t="s">
        <v>4</v>
      </c>
      <c r="B323" t="s">
        <v>46</v>
      </c>
      <c r="C323" t="s">
        <v>619</v>
      </c>
      <c r="D323" t="s">
        <v>21</v>
      </c>
      <c r="E323" t="s">
        <v>632</v>
      </c>
      <c r="F323" t="s">
        <v>633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f t="shared" si="5"/>
        <v>7</v>
      </c>
      <c r="O323" t="str">
        <f>IF(AND($A323=Dashboard!$B$3,$B323=Dashboard!$G$3,$D323&lt;&gt;"NO_SERVICE"),ROW(),"")</f>
        <v/>
      </c>
    </row>
    <row r="324" spans="1:15" x14ac:dyDescent="0.25">
      <c r="A324" t="s">
        <v>4</v>
      </c>
      <c r="B324" t="s">
        <v>46</v>
      </c>
      <c r="C324" t="s">
        <v>619</v>
      </c>
      <c r="D324" t="s">
        <v>21</v>
      </c>
      <c r="E324" t="s">
        <v>634</v>
      </c>
      <c r="F324" t="s">
        <v>232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f t="shared" si="5"/>
        <v>7</v>
      </c>
      <c r="O324" t="str">
        <f>IF(AND($A324=Dashboard!$B$3,$B324=Dashboard!$G$3,$D324&lt;&gt;"NO_SERVICE"),ROW(),"")</f>
        <v/>
      </c>
    </row>
    <row r="325" spans="1:15" x14ac:dyDescent="0.25">
      <c r="A325" t="s">
        <v>4</v>
      </c>
      <c r="B325" t="s">
        <v>50</v>
      </c>
      <c r="C325" t="s">
        <v>635</v>
      </c>
      <c r="D325" t="s">
        <v>24</v>
      </c>
      <c r="E325" t="s">
        <v>636</v>
      </c>
      <c r="F325" t="s">
        <v>637</v>
      </c>
      <c r="G325">
        <v>1</v>
      </c>
      <c r="H325">
        <v>0</v>
      </c>
      <c r="I325">
        <v>1</v>
      </c>
      <c r="J325">
        <v>0</v>
      </c>
      <c r="K325">
        <v>1</v>
      </c>
      <c r="L325">
        <v>0</v>
      </c>
      <c r="M325">
        <v>1</v>
      </c>
      <c r="N325">
        <f t="shared" si="5"/>
        <v>4</v>
      </c>
      <c r="O325">
        <f>IF(AND($A325=Dashboard!$B$3,$B325=Dashboard!$G$3,$D325&lt;&gt;"NO_SERVICE"),ROW(),"")</f>
        <v>325</v>
      </c>
    </row>
    <row r="326" spans="1:15" x14ac:dyDescent="0.25">
      <c r="A326" t="s">
        <v>4</v>
      </c>
      <c r="B326" t="s">
        <v>50</v>
      </c>
      <c r="C326" t="s">
        <v>635</v>
      </c>
      <c r="D326" t="s">
        <v>24</v>
      </c>
      <c r="E326" t="s">
        <v>638</v>
      </c>
      <c r="F326" t="s">
        <v>108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f t="shared" si="5"/>
        <v>7</v>
      </c>
      <c r="O326">
        <f>IF(AND($A326=Dashboard!$B$3,$B326=Dashboard!$G$3,$D326&lt;&gt;"NO_SERVICE"),ROW(),"")</f>
        <v>326</v>
      </c>
    </row>
    <row r="327" spans="1:15" x14ac:dyDescent="0.25">
      <c r="A327" t="s">
        <v>4</v>
      </c>
      <c r="B327" t="s">
        <v>50</v>
      </c>
      <c r="C327" t="s">
        <v>635</v>
      </c>
      <c r="D327" t="s">
        <v>21</v>
      </c>
      <c r="E327" t="s">
        <v>639</v>
      </c>
      <c r="F327" t="s">
        <v>76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f t="shared" si="5"/>
        <v>7</v>
      </c>
      <c r="O327">
        <f>IF(AND($A327=Dashboard!$B$3,$B327=Dashboard!$G$3,$D327&lt;&gt;"NO_SERVICE"),ROW(),"")</f>
        <v>327</v>
      </c>
    </row>
    <row r="328" spans="1:15" x14ac:dyDescent="0.25">
      <c r="A328" t="s">
        <v>4</v>
      </c>
      <c r="B328" t="s">
        <v>50</v>
      </c>
      <c r="C328" t="s">
        <v>635</v>
      </c>
      <c r="D328" t="s">
        <v>21</v>
      </c>
      <c r="E328" t="s">
        <v>640</v>
      </c>
      <c r="F328" t="s">
        <v>165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0</v>
      </c>
      <c r="M328">
        <v>1</v>
      </c>
      <c r="N328">
        <f t="shared" si="5"/>
        <v>6</v>
      </c>
      <c r="O328">
        <f>IF(AND($A328=Dashboard!$B$3,$B328=Dashboard!$G$3,$D328&lt;&gt;"NO_SERVICE"),ROW(),"")</f>
        <v>328</v>
      </c>
    </row>
    <row r="329" spans="1:15" x14ac:dyDescent="0.25">
      <c r="A329" t="s">
        <v>4</v>
      </c>
      <c r="B329" t="s">
        <v>53</v>
      </c>
      <c r="C329" t="s">
        <v>641</v>
      </c>
      <c r="D329" t="s">
        <v>24</v>
      </c>
      <c r="E329" t="s">
        <v>642</v>
      </c>
      <c r="F329" t="s">
        <v>319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f t="shared" si="5"/>
        <v>7</v>
      </c>
      <c r="O329" t="str">
        <f>IF(AND($A329=Dashboard!$B$3,$B329=Dashboard!$G$3,$D329&lt;&gt;"NO_SERVICE"),ROW(),"")</f>
        <v/>
      </c>
    </row>
    <row r="330" spans="1:15" x14ac:dyDescent="0.25">
      <c r="A330" t="s">
        <v>4</v>
      </c>
      <c r="B330" t="s">
        <v>53</v>
      </c>
      <c r="C330" t="s">
        <v>641</v>
      </c>
      <c r="D330" t="s">
        <v>24</v>
      </c>
      <c r="E330" t="s">
        <v>643</v>
      </c>
      <c r="F330" t="s">
        <v>94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f t="shared" si="5"/>
        <v>1</v>
      </c>
      <c r="O330" t="str">
        <f>IF(AND($A330=Dashboard!$B$3,$B330=Dashboard!$G$3,$D330&lt;&gt;"NO_SERVICE"),ROW(),"")</f>
        <v/>
      </c>
    </row>
    <row r="331" spans="1:15" x14ac:dyDescent="0.25">
      <c r="A331" t="s">
        <v>4</v>
      </c>
      <c r="B331" t="s">
        <v>53</v>
      </c>
      <c r="C331" t="s">
        <v>641</v>
      </c>
      <c r="D331" t="s">
        <v>24</v>
      </c>
      <c r="E331" t="s">
        <v>644</v>
      </c>
      <c r="F331" t="s">
        <v>378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f t="shared" si="5"/>
        <v>1</v>
      </c>
      <c r="O331" t="str">
        <f>IF(AND($A331=Dashboard!$B$3,$B331=Dashboard!$G$3,$D331&lt;&gt;"NO_SERVICE"),ROW(),"")</f>
        <v/>
      </c>
    </row>
    <row r="332" spans="1:15" x14ac:dyDescent="0.25">
      <c r="A332" t="s">
        <v>4</v>
      </c>
      <c r="B332" t="s">
        <v>53</v>
      </c>
      <c r="C332" t="s">
        <v>641</v>
      </c>
      <c r="D332" t="s">
        <v>24</v>
      </c>
      <c r="E332" t="s">
        <v>645</v>
      </c>
      <c r="F332" t="s">
        <v>378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0</v>
      </c>
      <c r="M332">
        <v>0</v>
      </c>
      <c r="N332">
        <f t="shared" si="5"/>
        <v>5</v>
      </c>
      <c r="O332" t="str">
        <f>IF(AND($A332=Dashboard!$B$3,$B332=Dashboard!$G$3,$D332&lt;&gt;"NO_SERVICE"),ROW(),"")</f>
        <v/>
      </c>
    </row>
    <row r="333" spans="1:15" x14ac:dyDescent="0.25">
      <c r="A333" t="s">
        <v>4</v>
      </c>
      <c r="B333" t="s">
        <v>53</v>
      </c>
      <c r="C333" t="s">
        <v>641</v>
      </c>
      <c r="D333" t="s">
        <v>21</v>
      </c>
      <c r="E333" t="s">
        <v>646</v>
      </c>
      <c r="F333" t="s">
        <v>307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f t="shared" si="5"/>
        <v>1</v>
      </c>
      <c r="O333" t="str">
        <f>IF(AND($A333=Dashboard!$B$3,$B333=Dashboard!$G$3,$D333&lt;&gt;"NO_SERVICE"),ROW(),"")</f>
        <v/>
      </c>
    </row>
    <row r="334" spans="1:15" x14ac:dyDescent="0.25">
      <c r="A334" t="s">
        <v>4</v>
      </c>
      <c r="B334" t="s">
        <v>53</v>
      </c>
      <c r="C334" t="s">
        <v>641</v>
      </c>
      <c r="D334" t="s">
        <v>21</v>
      </c>
      <c r="E334" t="s">
        <v>647</v>
      </c>
      <c r="F334" t="s">
        <v>455</v>
      </c>
      <c r="G334">
        <v>0</v>
      </c>
      <c r="H334">
        <v>0</v>
      </c>
      <c r="I334">
        <v>1</v>
      </c>
      <c r="J334">
        <v>1</v>
      </c>
      <c r="K334">
        <v>1</v>
      </c>
      <c r="L334">
        <v>1</v>
      </c>
      <c r="M334">
        <v>1</v>
      </c>
      <c r="N334">
        <f t="shared" si="5"/>
        <v>5</v>
      </c>
      <c r="O334" t="str">
        <f>IF(AND($A334=Dashboard!$B$3,$B334=Dashboard!$G$3,$D334&lt;&gt;"NO_SERVICE"),ROW(),"")</f>
        <v/>
      </c>
    </row>
    <row r="335" spans="1:15" x14ac:dyDescent="0.25">
      <c r="A335" t="s">
        <v>4</v>
      </c>
      <c r="B335" t="s">
        <v>53</v>
      </c>
      <c r="C335" t="s">
        <v>641</v>
      </c>
      <c r="D335" t="s">
        <v>21</v>
      </c>
      <c r="E335" t="s">
        <v>648</v>
      </c>
      <c r="F335" t="s">
        <v>335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f t="shared" si="5"/>
        <v>7</v>
      </c>
      <c r="O335" t="str">
        <f>IF(AND($A335=Dashboard!$B$3,$B335=Dashboard!$G$3,$D335&lt;&gt;"NO_SERVICE"),ROW(),"")</f>
        <v/>
      </c>
    </row>
    <row r="336" spans="1:15" x14ac:dyDescent="0.25">
      <c r="A336" t="s">
        <v>4</v>
      </c>
      <c r="B336" t="s">
        <v>53</v>
      </c>
      <c r="C336" t="s">
        <v>641</v>
      </c>
      <c r="D336" t="s">
        <v>21</v>
      </c>
      <c r="E336" t="s">
        <v>649</v>
      </c>
      <c r="F336" t="s">
        <v>530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f t="shared" si="5"/>
        <v>7</v>
      </c>
      <c r="O336" t="str">
        <f>IF(AND($A336=Dashboard!$B$3,$B336=Dashboard!$G$3,$D336&lt;&gt;"NO_SERVICE"),ROW(),"")</f>
        <v/>
      </c>
    </row>
    <row r="337" spans="1:15" x14ac:dyDescent="0.25">
      <c r="A337" t="s">
        <v>4</v>
      </c>
      <c r="B337" t="s">
        <v>53</v>
      </c>
      <c r="C337" t="s">
        <v>641</v>
      </c>
      <c r="D337" t="s">
        <v>21</v>
      </c>
      <c r="E337" t="s">
        <v>650</v>
      </c>
      <c r="F337" t="s">
        <v>651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f t="shared" si="5"/>
        <v>7</v>
      </c>
      <c r="O337" t="str">
        <f>IF(AND($A337=Dashboard!$B$3,$B337=Dashboard!$G$3,$D337&lt;&gt;"NO_SERVICE"),ROW(),"")</f>
        <v/>
      </c>
    </row>
    <row r="338" spans="1:15" x14ac:dyDescent="0.25">
      <c r="A338" t="s">
        <v>4</v>
      </c>
      <c r="B338" t="s">
        <v>53</v>
      </c>
      <c r="C338" t="s">
        <v>641</v>
      </c>
      <c r="D338" t="s">
        <v>21</v>
      </c>
      <c r="E338" t="s">
        <v>652</v>
      </c>
      <c r="F338" t="s">
        <v>339</v>
      </c>
      <c r="G338">
        <v>0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f t="shared" si="5"/>
        <v>6</v>
      </c>
      <c r="O338" t="str">
        <f>IF(AND($A338=Dashboard!$B$3,$B338=Dashboard!$G$3,$D338&lt;&gt;"NO_SERVICE"),ROW(),"")</f>
        <v/>
      </c>
    </row>
    <row r="339" spans="1:15" x14ac:dyDescent="0.25">
      <c r="A339" t="s">
        <v>4</v>
      </c>
      <c r="B339" t="s">
        <v>53</v>
      </c>
      <c r="C339" t="s">
        <v>641</v>
      </c>
      <c r="D339" t="s">
        <v>21</v>
      </c>
      <c r="E339" t="s">
        <v>653</v>
      </c>
      <c r="F339" t="s">
        <v>215</v>
      </c>
      <c r="G339">
        <v>1</v>
      </c>
      <c r="H339">
        <v>0</v>
      </c>
      <c r="I339">
        <v>1</v>
      </c>
      <c r="J339">
        <v>1</v>
      </c>
      <c r="K339">
        <v>1</v>
      </c>
      <c r="L339">
        <v>1</v>
      </c>
      <c r="M339">
        <v>1</v>
      </c>
      <c r="N339">
        <f t="shared" si="5"/>
        <v>6</v>
      </c>
      <c r="O339" t="str">
        <f>IF(AND($A339=Dashboard!$B$3,$B339=Dashboard!$G$3,$D339&lt;&gt;"NO_SERVICE"),ROW(),"")</f>
        <v/>
      </c>
    </row>
    <row r="340" spans="1:15" x14ac:dyDescent="0.25">
      <c r="A340" t="s">
        <v>4</v>
      </c>
      <c r="B340" t="s">
        <v>53</v>
      </c>
      <c r="C340" t="s">
        <v>641</v>
      </c>
      <c r="D340" t="s">
        <v>21</v>
      </c>
      <c r="E340" t="s">
        <v>654</v>
      </c>
      <c r="F340" t="s">
        <v>655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f t="shared" si="5"/>
        <v>7</v>
      </c>
      <c r="O340" t="str">
        <f>IF(AND($A340=Dashboard!$B$3,$B340=Dashboard!$G$3,$D340&lt;&gt;"NO_SERVICE"),ROW(),"")</f>
        <v/>
      </c>
    </row>
    <row r="341" spans="1:15" x14ac:dyDescent="0.25">
      <c r="A341" t="s">
        <v>4</v>
      </c>
      <c r="B341" t="s">
        <v>57</v>
      </c>
      <c r="C341" t="s">
        <v>656</v>
      </c>
      <c r="D341" t="s">
        <v>24</v>
      </c>
      <c r="E341" t="s">
        <v>657</v>
      </c>
      <c r="F341" t="s">
        <v>637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f t="shared" si="5"/>
        <v>7</v>
      </c>
      <c r="O341" t="str">
        <f>IF(AND($A341=Dashboard!$B$3,$B341=Dashboard!$G$3,$D341&lt;&gt;"NO_SERVICE"),ROW(),"")</f>
        <v/>
      </c>
    </row>
    <row r="342" spans="1:15" x14ac:dyDescent="0.25">
      <c r="A342" t="s">
        <v>4</v>
      </c>
      <c r="B342" t="s">
        <v>57</v>
      </c>
      <c r="C342" t="s">
        <v>656</v>
      </c>
      <c r="D342" t="s">
        <v>24</v>
      </c>
      <c r="E342" t="s">
        <v>658</v>
      </c>
      <c r="F342" t="s">
        <v>208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f t="shared" si="5"/>
        <v>7</v>
      </c>
      <c r="O342" t="str">
        <f>IF(AND($A342=Dashboard!$B$3,$B342=Dashboard!$G$3,$D342&lt;&gt;"NO_SERVICE"),ROW(),"")</f>
        <v/>
      </c>
    </row>
    <row r="343" spans="1:15" x14ac:dyDescent="0.25">
      <c r="A343" t="s">
        <v>4</v>
      </c>
      <c r="B343" t="s">
        <v>57</v>
      </c>
      <c r="C343" t="s">
        <v>656</v>
      </c>
      <c r="D343" t="s">
        <v>24</v>
      </c>
      <c r="E343" t="s">
        <v>659</v>
      </c>
      <c r="F343" t="s">
        <v>633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f t="shared" si="5"/>
        <v>7</v>
      </c>
      <c r="O343" t="str">
        <f>IF(AND($A343=Dashboard!$B$3,$B343=Dashboard!$G$3,$D343&lt;&gt;"NO_SERVICE"),ROW(),"")</f>
        <v/>
      </c>
    </row>
    <row r="344" spans="1:15" x14ac:dyDescent="0.25">
      <c r="A344" t="s">
        <v>4</v>
      </c>
      <c r="B344" t="s">
        <v>57</v>
      </c>
      <c r="C344" t="s">
        <v>656</v>
      </c>
      <c r="D344" t="s">
        <v>24</v>
      </c>
      <c r="E344" t="s">
        <v>660</v>
      </c>
      <c r="F344" t="s">
        <v>62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0</v>
      </c>
      <c r="N344">
        <f t="shared" si="5"/>
        <v>6</v>
      </c>
      <c r="O344" t="str">
        <f>IF(AND($A344=Dashboard!$B$3,$B344=Dashboard!$G$3,$D344&lt;&gt;"NO_SERVICE"),ROW(),"")</f>
        <v/>
      </c>
    </row>
    <row r="345" spans="1:15" x14ac:dyDescent="0.25">
      <c r="A345" t="s">
        <v>4</v>
      </c>
      <c r="B345" t="s">
        <v>57</v>
      </c>
      <c r="C345" t="s">
        <v>656</v>
      </c>
      <c r="D345" t="s">
        <v>24</v>
      </c>
      <c r="E345" t="s">
        <v>661</v>
      </c>
      <c r="F345" t="s">
        <v>62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f t="shared" si="5"/>
        <v>1</v>
      </c>
      <c r="O345" t="str">
        <f>IF(AND($A345=Dashboard!$B$3,$B345=Dashboard!$G$3,$D345&lt;&gt;"NO_SERVICE"),ROW(),"")</f>
        <v/>
      </c>
    </row>
    <row r="346" spans="1:15" x14ac:dyDescent="0.25">
      <c r="A346" t="s">
        <v>4</v>
      </c>
      <c r="B346" t="s">
        <v>57</v>
      </c>
      <c r="C346" t="s">
        <v>656</v>
      </c>
      <c r="D346" t="s">
        <v>21</v>
      </c>
      <c r="E346" t="s">
        <v>662</v>
      </c>
      <c r="F346" t="s">
        <v>484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f t="shared" si="5"/>
        <v>7</v>
      </c>
      <c r="O346" t="str">
        <f>IF(AND($A346=Dashboard!$B$3,$B346=Dashboard!$G$3,$D346&lt;&gt;"NO_SERVICE"),ROW(),"")</f>
        <v/>
      </c>
    </row>
    <row r="347" spans="1:15" x14ac:dyDescent="0.25">
      <c r="A347" t="s">
        <v>4</v>
      </c>
      <c r="B347" t="s">
        <v>57</v>
      </c>
      <c r="C347" t="s">
        <v>656</v>
      </c>
      <c r="D347" t="s">
        <v>21</v>
      </c>
      <c r="E347" t="s">
        <v>663</v>
      </c>
      <c r="F347" t="s">
        <v>664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f t="shared" si="5"/>
        <v>1</v>
      </c>
      <c r="O347" t="str">
        <f>IF(AND($A347=Dashboard!$B$3,$B347=Dashboard!$G$3,$D347&lt;&gt;"NO_SERVICE"),ROW(),"")</f>
        <v/>
      </c>
    </row>
    <row r="348" spans="1:15" x14ac:dyDescent="0.25">
      <c r="A348" t="s">
        <v>4</v>
      </c>
      <c r="B348" t="s">
        <v>57</v>
      </c>
      <c r="C348" t="s">
        <v>656</v>
      </c>
      <c r="D348" t="s">
        <v>21</v>
      </c>
      <c r="E348" t="s">
        <v>665</v>
      </c>
      <c r="F348" t="s">
        <v>219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f t="shared" si="5"/>
        <v>7</v>
      </c>
      <c r="O348" t="str">
        <f>IF(AND($A348=Dashboard!$B$3,$B348=Dashboard!$G$3,$D348&lt;&gt;"NO_SERVICE"),ROW(),"")</f>
        <v/>
      </c>
    </row>
    <row r="349" spans="1:15" x14ac:dyDescent="0.25">
      <c r="A349" t="s">
        <v>4</v>
      </c>
      <c r="B349" t="s">
        <v>57</v>
      </c>
      <c r="C349" t="s">
        <v>656</v>
      </c>
      <c r="D349" t="s">
        <v>21</v>
      </c>
      <c r="E349" t="s">
        <v>666</v>
      </c>
      <c r="F349" t="s">
        <v>395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0</v>
      </c>
      <c r="M349">
        <v>1</v>
      </c>
      <c r="N349">
        <f t="shared" si="5"/>
        <v>6</v>
      </c>
      <c r="O349" t="str">
        <f>IF(AND($A349=Dashboard!$B$3,$B349=Dashboard!$G$3,$D349&lt;&gt;"NO_SERVICE"),ROW(),"")</f>
        <v/>
      </c>
    </row>
    <row r="350" spans="1:15" x14ac:dyDescent="0.25">
      <c r="A350" t="s">
        <v>4</v>
      </c>
      <c r="B350" t="s">
        <v>57</v>
      </c>
      <c r="C350" t="s">
        <v>656</v>
      </c>
      <c r="D350" t="s">
        <v>21</v>
      </c>
      <c r="E350" t="s">
        <v>667</v>
      </c>
      <c r="F350" t="s">
        <v>668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f t="shared" si="5"/>
        <v>7</v>
      </c>
      <c r="O350" t="str">
        <f>IF(AND($A350=Dashboard!$B$3,$B350=Dashboard!$G$3,$D350&lt;&gt;"NO_SERVICE"),ROW(),"")</f>
        <v/>
      </c>
    </row>
    <row r="351" spans="1:15" x14ac:dyDescent="0.25">
      <c r="A351" t="s">
        <v>4</v>
      </c>
      <c r="B351" t="s">
        <v>63</v>
      </c>
      <c r="C351" t="s">
        <v>669</v>
      </c>
      <c r="D351" t="s">
        <v>24</v>
      </c>
      <c r="E351" t="s">
        <v>670</v>
      </c>
      <c r="F351" t="s">
        <v>451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f t="shared" si="5"/>
        <v>7</v>
      </c>
      <c r="O351" t="str">
        <f>IF(AND($A351=Dashboard!$B$3,$B351=Dashboard!$G$3,$D351&lt;&gt;"NO_SERVICE"),ROW(),"")</f>
        <v/>
      </c>
    </row>
    <row r="352" spans="1:15" x14ac:dyDescent="0.25">
      <c r="A352" t="s">
        <v>4</v>
      </c>
      <c r="B352" t="s">
        <v>63</v>
      </c>
      <c r="C352" t="s">
        <v>669</v>
      </c>
      <c r="D352" t="s">
        <v>24</v>
      </c>
      <c r="E352" t="s">
        <v>671</v>
      </c>
      <c r="F352" t="s">
        <v>567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f t="shared" si="5"/>
        <v>7</v>
      </c>
      <c r="O352" t="str">
        <f>IF(AND($A352=Dashboard!$B$3,$B352=Dashboard!$G$3,$D352&lt;&gt;"NO_SERVICE"),ROW(),"")</f>
        <v/>
      </c>
    </row>
    <row r="353" spans="1:15" x14ac:dyDescent="0.25">
      <c r="A353" t="s">
        <v>4</v>
      </c>
      <c r="B353" t="s">
        <v>63</v>
      </c>
      <c r="C353" t="s">
        <v>669</v>
      </c>
      <c r="D353" t="s">
        <v>24</v>
      </c>
      <c r="E353" t="s">
        <v>672</v>
      </c>
      <c r="F353" t="s">
        <v>513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f t="shared" si="5"/>
        <v>7</v>
      </c>
      <c r="O353" t="str">
        <f>IF(AND($A353=Dashboard!$B$3,$B353=Dashboard!$G$3,$D353&lt;&gt;"NO_SERVICE"),ROW(),"")</f>
        <v/>
      </c>
    </row>
    <row r="354" spans="1:15" x14ac:dyDescent="0.25">
      <c r="A354" t="s">
        <v>4</v>
      </c>
      <c r="B354" t="s">
        <v>63</v>
      </c>
      <c r="C354" t="s">
        <v>669</v>
      </c>
      <c r="D354" t="s">
        <v>24</v>
      </c>
      <c r="E354" t="s">
        <v>673</v>
      </c>
      <c r="F354" t="s">
        <v>674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f t="shared" si="5"/>
        <v>7</v>
      </c>
      <c r="O354" t="str">
        <f>IF(AND($A354=Dashboard!$B$3,$B354=Dashboard!$G$3,$D354&lt;&gt;"NO_SERVICE"),ROW(),"")</f>
        <v/>
      </c>
    </row>
    <row r="355" spans="1:15" x14ac:dyDescent="0.25">
      <c r="A355" t="s">
        <v>4</v>
      </c>
      <c r="B355" t="s">
        <v>63</v>
      </c>
      <c r="C355" t="s">
        <v>669</v>
      </c>
      <c r="D355" t="s">
        <v>21</v>
      </c>
      <c r="E355" t="s">
        <v>675</v>
      </c>
      <c r="F355" t="s">
        <v>676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f t="shared" si="5"/>
        <v>7</v>
      </c>
      <c r="O355" t="str">
        <f>IF(AND($A355=Dashboard!$B$3,$B355=Dashboard!$G$3,$D355&lt;&gt;"NO_SERVICE"),ROW(),"")</f>
        <v/>
      </c>
    </row>
    <row r="356" spans="1:15" x14ac:dyDescent="0.25">
      <c r="A356" t="s">
        <v>4</v>
      </c>
      <c r="B356" t="s">
        <v>63</v>
      </c>
      <c r="C356" t="s">
        <v>669</v>
      </c>
      <c r="D356" t="s">
        <v>21</v>
      </c>
      <c r="E356" t="s">
        <v>677</v>
      </c>
      <c r="F356" t="s">
        <v>678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f t="shared" si="5"/>
        <v>7</v>
      </c>
      <c r="O356" t="str">
        <f>IF(AND($A356=Dashboard!$B$3,$B356=Dashboard!$G$3,$D356&lt;&gt;"NO_SERVICE"),ROW(),"")</f>
        <v/>
      </c>
    </row>
    <row r="357" spans="1:15" x14ac:dyDescent="0.25">
      <c r="A357" t="s">
        <v>4</v>
      </c>
      <c r="B357" t="s">
        <v>63</v>
      </c>
      <c r="C357" t="s">
        <v>669</v>
      </c>
      <c r="D357" t="s">
        <v>21</v>
      </c>
      <c r="E357" t="s">
        <v>679</v>
      </c>
      <c r="F357" t="s">
        <v>464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f t="shared" si="5"/>
        <v>7</v>
      </c>
      <c r="O357" t="str">
        <f>IF(AND($A357=Dashboard!$B$3,$B357=Dashboard!$G$3,$D357&lt;&gt;"NO_SERVICE"),ROW(),"")</f>
        <v/>
      </c>
    </row>
    <row r="358" spans="1:15" x14ac:dyDescent="0.25">
      <c r="A358" t="s">
        <v>4</v>
      </c>
      <c r="B358" t="s">
        <v>63</v>
      </c>
      <c r="C358" t="s">
        <v>669</v>
      </c>
      <c r="D358" t="s">
        <v>21</v>
      </c>
      <c r="E358" t="s">
        <v>680</v>
      </c>
      <c r="F358" t="s">
        <v>424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f t="shared" si="5"/>
        <v>7</v>
      </c>
      <c r="O358" t="str">
        <f>IF(AND($A358=Dashboard!$B$3,$B358=Dashboard!$G$3,$D358&lt;&gt;"NO_SERVICE"),ROW(),"")</f>
        <v/>
      </c>
    </row>
    <row r="359" spans="1:15" x14ac:dyDescent="0.25">
      <c r="A359" t="s">
        <v>4</v>
      </c>
      <c r="B359" t="s">
        <v>63</v>
      </c>
      <c r="C359" t="s">
        <v>669</v>
      </c>
      <c r="D359" t="s">
        <v>21</v>
      </c>
      <c r="E359" t="s">
        <v>681</v>
      </c>
      <c r="F359" t="s">
        <v>682</v>
      </c>
      <c r="G359">
        <v>1</v>
      </c>
      <c r="H359">
        <v>1</v>
      </c>
      <c r="I359">
        <v>0</v>
      </c>
      <c r="J359">
        <v>1</v>
      </c>
      <c r="K359">
        <v>1</v>
      </c>
      <c r="L359">
        <v>1</v>
      </c>
      <c r="M359">
        <v>1</v>
      </c>
      <c r="N359">
        <f t="shared" si="5"/>
        <v>6</v>
      </c>
      <c r="O359" t="str">
        <f>IF(AND($A359=Dashboard!$B$3,$B359=Dashboard!$G$3,$D359&lt;&gt;"NO_SERVICE"),ROW(),"")</f>
        <v/>
      </c>
    </row>
    <row r="360" spans="1:15" x14ac:dyDescent="0.25">
      <c r="A360" t="s">
        <v>4</v>
      </c>
      <c r="B360" t="s">
        <v>63</v>
      </c>
      <c r="C360" t="s">
        <v>669</v>
      </c>
      <c r="D360" t="s">
        <v>21</v>
      </c>
      <c r="E360" t="s">
        <v>683</v>
      </c>
      <c r="F360" t="s">
        <v>289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f t="shared" si="5"/>
        <v>7</v>
      </c>
      <c r="O360" t="str">
        <f>IF(AND($A360=Dashboard!$B$3,$B360=Dashboard!$G$3,$D360&lt;&gt;"NO_SERVICE"),ROW(),"")</f>
        <v/>
      </c>
    </row>
    <row r="361" spans="1:15" x14ac:dyDescent="0.25">
      <c r="A361" t="s">
        <v>4</v>
      </c>
      <c r="B361" t="s">
        <v>63</v>
      </c>
      <c r="C361" t="s">
        <v>669</v>
      </c>
      <c r="D361" t="s">
        <v>21</v>
      </c>
      <c r="E361" t="s">
        <v>684</v>
      </c>
      <c r="F361" t="s">
        <v>685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f t="shared" si="5"/>
        <v>7</v>
      </c>
      <c r="O361" t="str">
        <f>IF(AND($A361=Dashboard!$B$3,$B361=Dashboard!$G$3,$D361&lt;&gt;"NO_SERVICE"),ROW(),"")</f>
        <v/>
      </c>
    </row>
    <row r="362" spans="1:15" x14ac:dyDescent="0.25">
      <c r="A362" t="s">
        <v>4</v>
      </c>
      <c r="B362" t="s">
        <v>63</v>
      </c>
      <c r="C362" t="s">
        <v>669</v>
      </c>
      <c r="D362" t="s">
        <v>21</v>
      </c>
      <c r="E362" t="s">
        <v>686</v>
      </c>
      <c r="F362" t="s">
        <v>674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f t="shared" si="5"/>
        <v>7</v>
      </c>
      <c r="O362" t="str">
        <f>IF(AND($A362=Dashboard!$B$3,$B362=Dashboard!$G$3,$D362&lt;&gt;"NO_SERVICE"),ROW(),"")</f>
        <v/>
      </c>
    </row>
    <row r="363" spans="1:15" x14ac:dyDescent="0.25">
      <c r="A363" t="s">
        <v>4</v>
      </c>
      <c r="B363" t="s">
        <v>67</v>
      </c>
      <c r="C363" t="s">
        <v>687</v>
      </c>
      <c r="D363" t="s">
        <v>24</v>
      </c>
      <c r="E363" t="s">
        <v>688</v>
      </c>
      <c r="F363" t="s">
        <v>689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f t="shared" si="5"/>
        <v>7</v>
      </c>
      <c r="O363" t="str">
        <f>IF(AND($A363=Dashboard!$B$3,$B363=Dashboard!$G$3,$D363&lt;&gt;"NO_SERVICE"),ROW(),"")</f>
        <v/>
      </c>
    </row>
    <row r="364" spans="1:15" x14ac:dyDescent="0.25">
      <c r="A364" t="s">
        <v>4</v>
      </c>
      <c r="B364" t="s">
        <v>67</v>
      </c>
      <c r="C364" t="s">
        <v>687</v>
      </c>
      <c r="D364" t="s">
        <v>24</v>
      </c>
      <c r="E364" t="s">
        <v>690</v>
      </c>
      <c r="F364" t="s">
        <v>396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f t="shared" si="5"/>
        <v>7</v>
      </c>
      <c r="O364" t="str">
        <f>IF(AND($A364=Dashboard!$B$3,$B364=Dashboard!$G$3,$D364&lt;&gt;"NO_SERVICE"),ROW(),"")</f>
        <v/>
      </c>
    </row>
    <row r="365" spans="1:15" x14ac:dyDescent="0.25">
      <c r="A365" t="s">
        <v>4</v>
      </c>
      <c r="B365" t="s">
        <v>67</v>
      </c>
      <c r="C365" t="s">
        <v>687</v>
      </c>
      <c r="D365" t="s">
        <v>24</v>
      </c>
      <c r="E365" t="s">
        <v>691</v>
      </c>
      <c r="F365" t="s">
        <v>188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f t="shared" si="5"/>
        <v>7</v>
      </c>
      <c r="O365" t="str">
        <f>IF(AND($A365=Dashboard!$B$3,$B365=Dashboard!$G$3,$D365&lt;&gt;"NO_SERVICE"),ROW(),"")</f>
        <v/>
      </c>
    </row>
    <row r="366" spans="1:15" x14ac:dyDescent="0.25">
      <c r="A366" t="s">
        <v>4</v>
      </c>
      <c r="B366" t="s">
        <v>67</v>
      </c>
      <c r="C366" t="s">
        <v>687</v>
      </c>
      <c r="D366" t="s">
        <v>24</v>
      </c>
      <c r="E366" t="s">
        <v>692</v>
      </c>
      <c r="F366" t="s">
        <v>693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f t="shared" si="5"/>
        <v>1</v>
      </c>
      <c r="O366" t="str">
        <f>IF(AND($A366=Dashboard!$B$3,$B366=Dashboard!$G$3,$D366&lt;&gt;"NO_SERVICE"),ROW(),"")</f>
        <v/>
      </c>
    </row>
    <row r="367" spans="1:15" x14ac:dyDescent="0.25">
      <c r="A367" t="s">
        <v>4</v>
      </c>
      <c r="B367" t="s">
        <v>67</v>
      </c>
      <c r="C367" t="s">
        <v>687</v>
      </c>
      <c r="D367" t="s">
        <v>24</v>
      </c>
      <c r="E367" t="s">
        <v>694</v>
      </c>
      <c r="F367" t="s">
        <v>693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0</v>
      </c>
      <c r="N367">
        <f t="shared" si="5"/>
        <v>6</v>
      </c>
      <c r="O367" t="str">
        <f>IF(AND($A367=Dashboard!$B$3,$B367=Dashboard!$G$3,$D367&lt;&gt;"NO_SERVICE"),ROW(),"")</f>
        <v/>
      </c>
    </row>
    <row r="368" spans="1:15" x14ac:dyDescent="0.25">
      <c r="A368" t="s">
        <v>4</v>
      </c>
      <c r="B368" t="s">
        <v>67</v>
      </c>
      <c r="C368" t="s">
        <v>687</v>
      </c>
      <c r="D368" t="s">
        <v>21</v>
      </c>
      <c r="E368" t="s">
        <v>695</v>
      </c>
      <c r="F368" t="s">
        <v>282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f t="shared" si="5"/>
        <v>7</v>
      </c>
      <c r="O368" t="str">
        <f>IF(AND($A368=Dashboard!$B$3,$B368=Dashboard!$G$3,$D368&lt;&gt;"NO_SERVICE"),ROW(),"")</f>
        <v/>
      </c>
    </row>
    <row r="369" spans="1:15" x14ac:dyDescent="0.25">
      <c r="A369" t="s">
        <v>4</v>
      </c>
      <c r="B369" t="s">
        <v>67</v>
      </c>
      <c r="C369" t="s">
        <v>687</v>
      </c>
      <c r="D369" t="s">
        <v>21</v>
      </c>
      <c r="E369" t="s">
        <v>696</v>
      </c>
      <c r="F369" t="s">
        <v>455</v>
      </c>
      <c r="G369">
        <v>0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f t="shared" si="5"/>
        <v>6</v>
      </c>
      <c r="O369" t="str">
        <f>IF(AND($A369=Dashboard!$B$3,$B369=Dashboard!$G$3,$D369&lt;&gt;"NO_SERVICE"),ROW(),"")</f>
        <v/>
      </c>
    </row>
    <row r="370" spans="1:15" x14ac:dyDescent="0.25">
      <c r="A370" t="s">
        <v>4</v>
      </c>
      <c r="B370" t="s">
        <v>67</v>
      </c>
      <c r="C370" t="s">
        <v>687</v>
      </c>
      <c r="D370" t="s">
        <v>21</v>
      </c>
      <c r="E370" t="s">
        <v>697</v>
      </c>
      <c r="F370" t="s">
        <v>678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f t="shared" si="5"/>
        <v>7</v>
      </c>
      <c r="O370" t="str">
        <f>IF(AND($A370=Dashboard!$B$3,$B370=Dashboard!$G$3,$D370&lt;&gt;"NO_SERVICE"),ROW(),"")</f>
        <v/>
      </c>
    </row>
    <row r="371" spans="1:15" x14ac:dyDescent="0.25">
      <c r="A371" t="s">
        <v>4</v>
      </c>
      <c r="B371" t="s">
        <v>67</v>
      </c>
      <c r="C371" t="s">
        <v>687</v>
      </c>
      <c r="D371" t="s">
        <v>21</v>
      </c>
      <c r="E371" t="s">
        <v>698</v>
      </c>
      <c r="F371" t="s">
        <v>244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f t="shared" si="5"/>
        <v>1</v>
      </c>
      <c r="O371" t="str">
        <f>IF(AND($A371=Dashboard!$B$3,$B371=Dashboard!$G$3,$D371&lt;&gt;"NO_SERVICE"),ROW(),"")</f>
        <v/>
      </c>
    </row>
    <row r="372" spans="1:15" x14ac:dyDescent="0.25">
      <c r="A372" t="s">
        <v>4</v>
      </c>
      <c r="B372" t="s">
        <v>67</v>
      </c>
      <c r="C372" t="s">
        <v>687</v>
      </c>
      <c r="D372" t="s">
        <v>21</v>
      </c>
      <c r="E372" t="s">
        <v>699</v>
      </c>
      <c r="F372" t="s">
        <v>244</v>
      </c>
      <c r="G372">
        <v>0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f t="shared" si="5"/>
        <v>6</v>
      </c>
      <c r="O372" t="str">
        <f>IF(AND($A372=Dashboard!$B$3,$B372=Dashboard!$G$3,$D372&lt;&gt;"NO_SERVICE"),ROW(),"")</f>
        <v/>
      </c>
    </row>
    <row r="373" spans="1:15" x14ac:dyDescent="0.25">
      <c r="A373" t="s">
        <v>4</v>
      </c>
      <c r="B373" t="s">
        <v>67</v>
      </c>
      <c r="C373" t="s">
        <v>687</v>
      </c>
      <c r="D373" t="s">
        <v>21</v>
      </c>
      <c r="E373" t="s">
        <v>700</v>
      </c>
      <c r="F373" t="s">
        <v>170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f t="shared" si="5"/>
        <v>7</v>
      </c>
      <c r="O373" t="str">
        <f>IF(AND($A373=Dashboard!$B$3,$B373=Dashboard!$G$3,$D373&lt;&gt;"NO_SERVICE"),ROW(),"")</f>
        <v/>
      </c>
    </row>
    <row r="374" spans="1:15" x14ac:dyDescent="0.25">
      <c r="A374" t="s">
        <v>4</v>
      </c>
      <c r="B374" t="s">
        <v>67</v>
      </c>
      <c r="C374" t="s">
        <v>687</v>
      </c>
      <c r="D374" t="s">
        <v>21</v>
      </c>
      <c r="E374" t="s">
        <v>701</v>
      </c>
      <c r="F374" t="s">
        <v>400</v>
      </c>
      <c r="G374">
        <v>1</v>
      </c>
      <c r="H374">
        <v>0</v>
      </c>
      <c r="I374">
        <v>1</v>
      </c>
      <c r="J374">
        <v>0</v>
      </c>
      <c r="K374">
        <v>1</v>
      </c>
      <c r="L374">
        <v>0</v>
      </c>
      <c r="M374">
        <v>1</v>
      </c>
      <c r="N374">
        <f t="shared" si="5"/>
        <v>4</v>
      </c>
      <c r="O374" t="str">
        <f>IF(AND($A374=Dashboard!$B$3,$B374=Dashboard!$G$3,$D374&lt;&gt;"NO_SERVICE"),ROW(),"")</f>
        <v/>
      </c>
    </row>
    <row r="375" spans="1:15" x14ac:dyDescent="0.25">
      <c r="A375" t="s">
        <v>4</v>
      </c>
      <c r="B375" t="s">
        <v>73</v>
      </c>
      <c r="C375" t="s">
        <v>702</v>
      </c>
      <c r="D375" t="s">
        <v>24</v>
      </c>
      <c r="E375" t="s">
        <v>703</v>
      </c>
      <c r="F375" t="s">
        <v>157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f t="shared" si="5"/>
        <v>7</v>
      </c>
      <c r="O375" t="str">
        <f>IF(AND($A375=Dashboard!$B$3,$B375=Dashboard!$G$3,$D375&lt;&gt;"NO_SERVICE"),ROW(),"")</f>
        <v/>
      </c>
    </row>
    <row r="376" spans="1:15" x14ac:dyDescent="0.25">
      <c r="A376" t="s">
        <v>4</v>
      </c>
      <c r="B376" t="s">
        <v>73</v>
      </c>
      <c r="C376" t="s">
        <v>702</v>
      </c>
      <c r="D376" t="s">
        <v>24</v>
      </c>
      <c r="E376" t="s">
        <v>704</v>
      </c>
      <c r="F376" t="s">
        <v>443</v>
      </c>
      <c r="G376">
        <v>0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f t="shared" si="5"/>
        <v>6</v>
      </c>
      <c r="O376" t="str">
        <f>IF(AND($A376=Dashboard!$B$3,$B376=Dashboard!$G$3,$D376&lt;&gt;"NO_SERVICE"),ROW(),"")</f>
        <v/>
      </c>
    </row>
    <row r="377" spans="1:15" x14ac:dyDescent="0.25">
      <c r="A377" t="s">
        <v>4</v>
      </c>
      <c r="B377" t="s">
        <v>73</v>
      </c>
      <c r="C377" t="s">
        <v>702</v>
      </c>
      <c r="D377" t="s">
        <v>24</v>
      </c>
      <c r="E377" t="s">
        <v>705</v>
      </c>
      <c r="F377" t="s">
        <v>172</v>
      </c>
      <c r="G377">
        <v>0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f t="shared" si="5"/>
        <v>6</v>
      </c>
      <c r="O377" t="str">
        <f>IF(AND($A377=Dashboard!$B$3,$B377=Dashboard!$G$3,$D377&lt;&gt;"NO_SERVICE"),ROW(),"")</f>
        <v/>
      </c>
    </row>
    <row r="378" spans="1:15" x14ac:dyDescent="0.25">
      <c r="A378" t="s">
        <v>4</v>
      </c>
      <c r="B378" t="s">
        <v>73</v>
      </c>
      <c r="C378" t="s">
        <v>702</v>
      </c>
      <c r="D378" t="s">
        <v>24</v>
      </c>
      <c r="E378" t="s">
        <v>706</v>
      </c>
      <c r="F378" t="s">
        <v>225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f t="shared" si="5"/>
        <v>7</v>
      </c>
      <c r="O378" t="str">
        <f>IF(AND($A378=Dashboard!$B$3,$B378=Dashboard!$G$3,$D378&lt;&gt;"NO_SERVICE"),ROW(),"")</f>
        <v/>
      </c>
    </row>
    <row r="379" spans="1:15" x14ac:dyDescent="0.25">
      <c r="A379" t="s">
        <v>4</v>
      </c>
      <c r="B379" t="s">
        <v>73</v>
      </c>
      <c r="C379" t="s">
        <v>702</v>
      </c>
      <c r="D379" t="s">
        <v>21</v>
      </c>
      <c r="E379" t="s">
        <v>707</v>
      </c>
      <c r="F379" t="s">
        <v>326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f t="shared" si="5"/>
        <v>7</v>
      </c>
      <c r="O379" t="str">
        <f>IF(AND($A379=Dashboard!$B$3,$B379=Dashboard!$G$3,$D379&lt;&gt;"NO_SERVICE"),ROW(),"")</f>
        <v/>
      </c>
    </row>
    <row r="380" spans="1:15" x14ac:dyDescent="0.25">
      <c r="A380" t="s">
        <v>4</v>
      </c>
      <c r="B380" t="s">
        <v>73</v>
      </c>
      <c r="C380" t="s">
        <v>702</v>
      </c>
      <c r="D380" t="s">
        <v>21</v>
      </c>
      <c r="E380" t="s">
        <v>708</v>
      </c>
      <c r="F380" t="s">
        <v>131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f t="shared" si="5"/>
        <v>7</v>
      </c>
      <c r="O380" t="str">
        <f>IF(AND($A380=Dashboard!$B$3,$B380=Dashboard!$G$3,$D380&lt;&gt;"NO_SERVICE"),ROW(),"")</f>
        <v/>
      </c>
    </row>
    <row r="381" spans="1:15" x14ac:dyDescent="0.25">
      <c r="A381" t="s">
        <v>4</v>
      </c>
      <c r="B381" t="s">
        <v>73</v>
      </c>
      <c r="C381" t="s">
        <v>702</v>
      </c>
      <c r="D381" t="s">
        <v>21</v>
      </c>
      <c r="E381" t="s">
        <v>709</v>
      </c>
      <c r="F381" t="s">
        <v>76</v>
      </c>
      <c r="G381">
        <v>0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f t="shared" si="5"/>
        <v>6</v>
      </c>
      <c r="O381" t="str">
        <f>IF(AND($A381=Dashboard!$B$3,$B381=Dashboard!$G$3,$D381&lt;&gt;"NO_SERVICE"),ROW(),"")</f>
        <v/>
      </c>
    </row>
    <row r="382" spans="1:15" x14ac:dyDescent="0.25">
      <c r="A382" t="s">
        <v>4</v>
      </c>
      <c r="B382" t="s">
        <v>73</v>
      </c>
      <c r="C382" t="s">
        <v>702</v>
      </c>
      <c r="D382" t="s">
        <v>21</v>
      </c>
      <c r="E382" t="s">
        <v>710</v>
      </c>
      <c r="F382" t="s">
        <v>711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f t="shared" si="5"/>
        <v>7</v>
      </c>
      <c r="O382" t="str">
        <f>IF(AND($A382=Dashboard!$B$3,$B382=Dashboard!$G$3,$D382&lt;&gt;"NO_SERVICE"),ROW(),"")</f>
        <v/>
      </c>
    </row>
    <row r="383" spans="1:15" x14ac:dyDescent="0.25">
      <c r="A383" t="s">
        <v>4</v>
      </c>
      <c r="B383" t="s">
        <v>73</v>
      </c>
      <c r="C383" t="s">
        <v>702</v>
      </c>
      <c r="D383" t="s">
        <v>21</v>
      </c>
      <c r="E383" t="s">
        <v>712</v>
      </c>
      <c r="F383" t="s">
        <v>378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f t="shared" si="5"/>
        <v>7</v>
      </c>
      <c r="O383" t="str">
        <f>IF(AND($A383=Dashboard!$B$3,$B383=Dashboard!$G$3,$D383&lt;&gt;"NO_SERVICE"),ROW(),"")</f>
        <v/>
      </c>
    </row>
    <row r="384" spans="1:15" x14ac:dyDescent="0.25">
      <c r="A384" t="s">
        <v>4</v>
      </c>
      <c r="B384" t="s">
        <v>73</v>
      </c>
      <c r="C384" t="s">
        <v>702</v>
      </c>
      <c r="D384" t="s">
        <v>26</v>
      </c>
      <c r="E384" t="s">
        <v>713</v>
      </c>
      <c r="F384" t="s">
        <v>388</v>
      </c>
      <c r="G384">
        <v>0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f t="shared" si="5"/>
        <v>6</v>
      </c>
      <c r="O384" t="str">
        <f>IF(AND($A384=Dashboard!$B$3,$B384=Dashboard!$G$3,$D384&lt;&gt;"NO_SERVICE"),ROW(),"")</f>
        <v/>
      </c>
    </row>
    <row r="385" spans="1:15" x14ac:dyDescent="0.25">
      <c r="A385" t="s">
        <v>4</v>
      </c>
      <c r="B385" t="s">
        <v>79</v>
      </c>
      <c r="C385" t="s">
        <v>714</v>
      </c>
      <c r="D385" t="s">
        <v>24</v>
      </c>
      <c r="E385" t="s">
        <v>715</v>
      </c>
      <c r="F385" t="s">
        <v>716</v>
      </c>
      <c r="G385">
        <v>1</v>
      </c>
      <c r="H385">
        <v>0</v>
      </c>
      <c r="I385">
        <v>1</v>
      </c>
      <c r="J385">
        <v>0</v>
      </c>
      <c r="K385">
        <v>1</v>
      </c>
      <c r="L385">
        <v>1</v>
      </c>
      <c r="M385">
        <v>1</v>
      </c>
      <c r="N385">
        <f t="shared" si="5"/>
        <v>5</v>
      </c>
      <c r="O385" t="str">
        <f>IF(AND($A385=Dashboard!$B$3,$B385=Dashboard!$G$3,$D385&lt;&gt;"NO_SERVICE"),ROW(),"")</f>
        <v/>
      </c>
    </row>
    <row r="386" spans="1:15" x14ac:dyDescent="0.25">
      <c r="A386" t="s">
        <v>4</v>
      </c>
      <c r="B386" t="s">
        <v>81</v>
      </c>
      <c r="C386" t="s">
        <v>717</v>
      </c>
      <c r="D386" t="s">
        <v>21</v>
      </c>
      <c r="E386" t="s">
        <v>718</v>
      </c>
      <c r="F386" t="s">
        <v>307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f t="shared" ref="N386:N449" si="6">SUM(G386:M386)</f>
        <v>7</v>
      </c>
      <c r="O386" t="str">
        <f>IF(AND($A386=Dashboard!$B$3,$B386=Dashboard!$G$3,$D386&lt;&gt;"NO_SERVICE"),ROW(),"")</f>
        <v/>
      </c>
    </row>
    <row r="387" spans="1:15" x14ac:dyDescent="0.25">
      <c r="A387" t="s">
        <v>4</v>
      </c>
      <c r="B387" t="s">
        <v>83</v>
      </c>
      <c r="C387" t="s">
        <v>719</v>
      </c>
      <c r="D387" t="s">
        <v>24</v>
      </c>
      <c r="E387" t="s">
        <v>720</v>
      </c>
      <c r="F387" t="s">
        <v>119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f t="shared" si="6"/>
        <v>7</v>
      </c>
      <c r="O387" t="str">
        <f>IF(AND($A387=Dashboard!$B$3,$B387=Dashboard!$G$3,$D387&lt;&gt;"NO_SERVICE"),ROW(),"")</f>
        <v/>
      </c>
    </row>
    <row r="388" spans="1:15" x14ac:dyDescent="0.25">
      <c r="A388" t="s">
        <v>4</v>
      </c>
      <c r="B388" t="s">
        <v>83</v>
      </c>
      <c r="C388" t="s">
        <v>719</v>
      </c>
      <c r="D388" t="s">
        <v>24</v>
      </c>
      <c r="E388" t="s">
        <v>721</v>
      </c>
      <c r="F388" t="s">
        <v>112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1</v>
      </c>
      <c r="M388">
        <v>0</v>
      </c>
      <c r="N388">
        <f t="shared" si="6"/>
        <v>2</v>
      </c>
      <c r="O388" t="str">
        <f>IF(AND($A388=Dashboard!$B$3,$B388=Dashboard!$G$3,$D388&lt;&gt;"NO_SERVICE"),ROW(),"")</f>
        <v/>
      </c>
    </row>
    <row r="389" spans="1:15" x14ac:dyDescent="0.25">
      <c r="A389" t="s">
        <v>4</v>
      </c>
      <c r="B389" t="s">
        <v>83</v>
      </c>
      <c r="C389" t="s">
        <v>719</v>
      </c>
      <c r="D389" t="s">
        <v>24</v>
      </c>
      <c r="E389" t="s">
        <v>722</v>
      </c>
      <c r="F389" t="s">
        <v>291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f t="shared" si="6"/>
        <v>7</v>
      </c>
      <c r="O389" t="str">
        <f>IF(AND($A389=Dashboard!$B$3,$B389=Dashboard!$G$3,$D389&lt;&gt;"NO_SERVICE"),ROW(),"")</f>
        <v/>
      </c>
    </row>
    <row r="390" spans="1:15" x14ac:dyDescent="0.25">
      <c r="A390" t="s">
        <v>4</v>
      </c>
      <c r="B390" t="s">
        <v>83</v>
      </c>
      <c r="C390" t="s">
        <v>719</v>
      </c>
      <c r="D390" t="s">
        <v>24</v>
      </c>
      <c r="E390" t="s">
        <v>723</v>
      </c>
      <c r="F390" t="s">
        <v>392</v>
      </c>
      <c r="G390">
        <v>1</v>
      </c>
      <c r="H390">
        <v>0</v>
      </c>
      <c r="I390">
        <v>1</v>
      </c>
      <c r="J390">
        <v>0</v>
      </c>
      <c r="K390">
        <v>1</v>
      </c>
      <c r="L390">
        <v>0</v>
      </c>
      <c r="M390">
        <v>1</v>
      </c>
      <c r="N390">
        <f t="shared" si="6"/>
        <v>4</v>
      </c>
      <c r="O390" t="str">
        <f>IF(AND($A390=Dashboard!$B$3,$B390=Dashboard!$G$3,$D390&lt;&gt;"NO_SERVICE"),ROW(),"")</f>
        <v/>
      </c>
    </row>
    <row r="391" spans="1:15" x14ac:dyDescent="0.25">
      <c r="A391" t="s">
        <v>4</v>
      </c>
      <c r="B391" t="s">
        <v>83</v>
      </c>
      <c r="C391" t="s">
        <v>719</v>
      </c>
      <c r="D391" t="s">
        <v>21</v>
      </c>
      <c r="E391" t="s">
        <v>724</v>
      </c>
      <c r="F391" t="s">
        <v>307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f t="shared" si="6"/>
        <v>1</v>
      </c>
      <c r="O391" t="str">
        <f>IF(AND($A391=Dashboard!$B$3,$B391=Dashboard!$G$3,$D391&lt;&gt;"NO_SERVICE"),ROW(),"")</f>
        <v/>
      </c>
    </row>
    <row r="392" spans="1:15" x14ac:dyDescent="0.25">
      <c r="A392" t="s">
        <v>4</v>
      </c>
      <c r="B392" t="s">
        <v>83</v>
      </c>
      <c r="C392" t="s">
        <v>719</v>
      </c>
      <c r="D392" t="s">
        <v>21</v>
      </c>
      <c r="E392" t="s">
        <v>725</v>
      </c>
      <c r="F392" t="s">
        <v>726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f t="shared" si="6"/>
        <v>1</v>
      </c>
      <c r="O392" t="str">
        <f>IF(AND($A392=Dashboard!$B$3,$B392=Dashboard!$G$3,$D392&lt;&gt;"NO_SERVICE"),ROW(),"")</f>
        <v/>
      </c>
    </row>
    <row r="393" spans="1:15" x14ac:dyDescent="0.25">
      <c r="A393" t="s">
        <v>4</v>
      </c>
      <c r="B393" t="s">
        <v>83</v>
      </c>
      <c r="C393" t="s">
        <v>719</v>
      </c>
      <c r="D393" t="s">
        <v>21</v>
      </c>
      <c r="E393" t="s">
        <v>727</v>
      </c>
      <c r="F393" t="s">
        <v>668</v>
      </c>
      <c r="G393">
        <v>0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f t="shared" si="6"/>
        <v>6</v>
      </c>
      <c r="O393" t="str">
        <f>IF(AND($A393=Dashboard!$B$3,$B393=Dashboard!$G$3,$D393&lt;&gt;"NO_SERVICE"),ROW(),"")</f>
        <v/>
      </c>
    </row>
    <row r="394" spans="1:15" x14ac:dyDescent="0.25">
      <c r="A394" t="s">
        <v>4</v>
      </c>
      <c r="B394" t="s">
        <v>83</v>
      </c>
      <c r="C394" t="s">
        <v>719</v>
      </c>
      <c r="D394" t="s">
        <v>21</v>
      </c>
      <c r="E394" t="s">
        <v>728</v>
      </c>
      <c r="F394" t="s">
        <v>729</v>
      </c>
      <c r="G394">
        <v>0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f t="shared" si="6"/>
        <v>6</v>
      </c>
      <c r="O394" t="str">
        <f>IF(AND($A394=Dashboard!$B$3,$B394=Dashboard!$G$3,$D394&lt;&gt;"NO_SERVICE"),ROW(),"")</f>
        <v/>
      </c>
    </row>
    <row r="395" spans="1:15" x14ac:dyDescent="0.25">
      <c r="A395" t="s">
        <v>4</v>
      </c>
      <c r="B395" t="s">
        <v>83</v>
      </c>
      <c r="C395" t="s">
        <v>719</v>
      </c>
      <c r="D395" t="s">
        <v>21</v>
      </c>
      <c r="E395" t="s">
        <v>730</v>
      </c>
      <c r="F395" t="s">
        <v>674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f t="shared" si="6"/>
        <v>1</v>
      </c>
      <c r="O395" t="str">
        <f>IF(AND($A395=Dashboard!$B$3,$B395=Dashboard!$G$3,$D395&lt;&gt;"NO_SERVICE"),ROW(),"")</f>
        <v/>
      </c>
    </row>
    <row r="396" spans="1:15" x14ac:dyDescent="0.25">
      <c r="A396" t="s">
        <v>4</v>
      </c>
      <c r="B396" t="s">
        <v>91</v>
      </c>
      <c r="C396" t="s">
        <v>731</v>
      </c>
      <c r="D396" t="s">
        <v>24</v>
      </c>
      <c r="E396" t="s">
        <v>732</v>
      </c>
      <c r="F396" t="s">
        <v>307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f t="shared" si="6"/>
        <v>7</v>
      </c>
      <c r="O396" t="str">
        <f>IF(AND($A396=Dashboard!$B$3,$B396=Dashboard!$G$3,$D396&lt;&gt;"NO_SERVICE"),ROW(),"")</f>
        <v/>
      </c>
    </row>
    <row r="397" spans="1:15" x14ac:dyDescent="0.25">
      <c r="A397" t="s">
        <v>4</v>
      </c>
      <c r="B397" t="s">
        <v>91</v>
      </c>
      <c r="C397" t="s">
        <v>731</v>
      </c>
      <c r="D397" t="s">
        <v>24</v>
      </c>
      <c r="E397" t="s">
        <v>733</v>
      </c>
      <c r="F397" t="s">
        <v>382</v>
      </c>
      <c r="G397">
        <v>1</v>
      </c>
      <c r="H397">
        <v>1</v>
      </c>
      <c r="I397">
        <v>0</v>
      </c>
      <c r="J397">
        <v>1</v>
      </c>
      <c r="K397">
        <v>1</v>
      </c>
      <c r="L397">
        <v>1</v>
      </c>
      <c r="M397">
        <v>1</v>
      </c>
      <c r="N397">
        <f t="shared" si="6"/>
        <v>6</v>
      </c>
      <c r="O397" t="str">
        <f>IF(AND($A397=Dashboard!$B$3,$B397=Dashboard!$G$3,$D397&lt;&gt;"NO_SERVICE"),ROW(),"")</f>
        <v/>
      </c>
    </row>
    <row r="398" spans="1:15" x14ac:dyDescent="0.25">
      <c r="A398" t="s">
        <v>4</v>
      </c>
      <c r="B398" t="s">
        <v>91</v>
      </c>
      <c r="C398" t="s">
        <v>731</v>
      </c>
      <c r="D398" t="s">
        <v>24</v>
      </c>
      <c r="E398" t="s">
        <v>734</v>
      </c>
      <c r="F398" t="s">
        <v>112</v>
      </c>
      <c r="G398">
        <v>1</v>
      </c>
      <c r="H398">
        <v>1</v>
      </c>
      <c r="I398">
        <v>0</v>
      </c>
      <c r="J398">
        <v>1</v>
      </c>
      <c r="K398">
        <v>1</v>
      </c>
      <c r="L398">
        <v>1</v>
      </c>
      <c r="M398">
        <v>0</v>
      </c>
      <c r="N398">
        <f t="shared" si="6"/>
        <v>5</v>
      </c>
      <c r="O398" t="str">
        <f>IF(AND($A398=Dashboard!$B$3,$B398=Dashboard!$G$3,$D398&lt;&gt;"NO_SERVICE"),ROW(),"")</f>
        <v/>
      </c>
    </row>
    <row r="399" spans="1:15" x14ac:dyDescent="0.25">
      <c r="A399" t="s">
        <v>4</v>
      </c>
      <c r="B399" t="s">
        <v>91</v>
      </c>
      <c r="C399" t="s">
        <v>731</v>
      </c>
      <c r="D399" t="s">
        <v>24</v>
      </c>
      <c r="E399" t="s">
        <v>735</v>
      </c>
      <c r="F399" t="s">
        <v>528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f t="shared" si="6"/>
        <v>7</v>
      </c>
      <c r="O399" t="str">
        <f>IF(AND($A399=Dashboard!$B$3,$B399=Dashboard!$G$3,$D399&lt;&gt;"NO_SERVICE"),ROW(),"")</f>
        <v/>
      </c>
    </row>
    <row r="400" spans="1:15" x14ac:dyDescent="0.25">
      <c r="A400" t="s">
        <v>4</v>
      </c>
      <c r="B400" t="s">
        <v>91</v>
      </c>
      <c r="C400" t="s">
        <v>731</v>
      </c>
      <c r="D400" t="s">
        <v>24</v>
      </c>
      <c r="E400" t="s">
        <v>736</v>
      </c>
      <c r="F400" t="s">
        <v>711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f t="shared" si="6"/>
        <v>1</v>
      </c>
      <c r="O400" t="str">
        <f>IF(AND($A400=Dashboard!$B$3,$B400=Dashboard!$G$3,$D400&lt;&gt;"NO_SERVICE"),ROW(),"")</f>
        <v/>
      </c>
    </row>
    <row r="401" spans="1:15" x14ac:dyDescent="0.25">
      <c r="A401" t="s">
        <v>4</v>
      </c>
      <c r="B401" t="s">
        <v>91</v>
      </c>
      <c r="C401" t="s">
        <v>731</v>
      </c>
      <c r="D401" t="s">
        <v>24</v>
      </c>
      <c r="E401" t="s">
        <v>737</v>
      </c>
      <c r="F401" t="s">
        <v>738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f t="shared" si="6"/>
        <v>1</v>
      </c>
      <c r="O401" t="str">
        <f>IF(AND($A401=Dashboard!$B$3,$B401=Dashboard!$G$3,$D401&lt;&gt;"NO_SERVICE"),ROW(),"")</f>
        <v/>
      </c>
    </row>
    <row r="402" spans="1:15" x14ac:dyDescent="0.25">
      <c r="A402" t="s">
        <v>4</v>
      </c>
      <c r="B402" t="s">
        <v>91</v>
      </c>
      <c r="C402" t="s">
        <v>731</v>
      </c>
      <c r="D402" t="s">
        <v>24</v>
      </c>
      <c r="E402" t="s">
        <v>739</v>
      </c>
      <c r="F402" t="s">
        <v>400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0</v>
      </c>
      <c r="N402">
        <f t="shared" si="6"/>
        <v>6</v>
      </c>
      <c r="O402" t="str">
        <f>IF(AND($A402=Dashboard!$B$3,$B402=Dashboard!$G$3,$D402&lt;&gt;"NO_SERVICE"),ROW(),"")</f>
        <v/>
      </c>
    </row>
    <row r="403" spans="1:15" x14ac:dyDescent="0.25">
      <c r="A403" t="s">
        <v>4</v>
      </c>
      <c r="B403" t="s">
        <v>91</v>
      </c>
      <c r="C403" t="s">
        <v>731</v>
      </c>
      <c r="D403" t="s">
        <v>24</v>
      </c>
      <c r="E403" t="s">
        <v>740</v>
      </c>
      <c r="F403" t="s">
        <v>221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f t="shared" si="6"/>
        <v>1</v>
      </c>
      <c r="O403" t="str">
        <f>IF(AND($A403=Dashboard!$B$3,$B403=Dashboard!$G$3,$D403&lt;&gt;"NO_SERVICE"),ROW(),"")</f>
        <v/>
      </c>
    </row>
    <row r="404" spans="1:15" x14ac:dyDescent="0.25">
      <c r="A404" t="s">
        <v>4</v>
      </c>
      <c r="B404" t="s">
        <v>91</v>
      </c>
      <c r="C404" t="s">
        <v>731</v>
      </c>
      <c r="D404" t="s">
        <v>24</v>
      </c>
      <c r="E404" t="s">
        <v>741</v>
      </c>
      <c r="F404" t="s">
        <v>742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f t="shared" si="6"/>
        <v>7</v>
      </c>
      <c r="O404" t="str">
        <f>IF(AND($A404=Dashboard!$B$3,$B404=Dashboard!$G$3,$D404&lt;&gt;"NO_SERVICE"),ROW(),"")</f>
        <v/>
      </c>
    </row>
    <row r="405" spans="1:15" x14ac:dyDescent="0.25">
      <c r="A405" t="s">
        <v>4</v>
      </c>
      <c r="B405" t="s">
        <v>91</v>
      </c>
      <c r="C405" t="s">
        <v>731</v>
      </c>
      <c r="D405" t="s">
        <v>24</v>
      </c>
      <c r="E405" t="s">
        <v>743</v>
      </c>
      <c r="F405" t="s">
        <v>744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f t="shared" si="6"/>
        <v>7</v>
      </c>
      <c r="O405" t="str">
        <f>IF(AND($A405=Dashboard!$B$3,$B405=Dashboard!$G$3,$D405&lt;&gt;"NO_SERVICE"),ROW(),"")</f>
        <v/>
      </c>
    </row>
    <row r="406" spans="1:15" x14ac:dyDescent="0.25">
      <c r="A406" t="s">
        <v>4</v>
      </c>
      <c r="B406" t="s">
        <v>91</v>
      </c>
      <c r="C406" t="s">
        <v>731</v>
      </c>
      <c r="D406" t="s">
        <v>21</v>
      </c>
      <c r="E406" t="s">
        <v>745</v>
      </c>
      <c r="F406" t="s">
        <v>746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f t="shared" si="6"/>
        <v>7</v>
      </c>
      <c r="O406" t="str">
        <f>IF(AND($A406=Dashboard!$B$3,$B406=Dashboard!$G$3,$D406&lt;&gt;"NO_SERVICE"),ROW(),"")</f>
        <v/>
      </c>
    </row>
    <row r="407" spans="1:15" x14ac:dyDescent="0.25">
      <c r="A407" t="s">
        <v>4</v>
      </c>
      <c r="B407" t="s">
        <v>91</v>
      </c>
      <c r="C407" t="s">
        <v>731</v>
      </c>
      <c r="D407" t="s">
        <v>21</v>
      </c>
      <c r="E407" t="s">
        <v>747</v>
      </c>
      <c r="F407" t="s">
        <v>398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f t="shared" si="6"/>
        <v>7</v>
      </c>
      <c r="O407" t="str">
        <f>IF(AND($A407=Dashboard!$B$3,$B407=Dashboard!$G$3,$D407&lt;&gt;"NO_SERVICE"),ROW(),"")</f>
        <v/>
      </c>
    </row>
    <row r="408" spans="1:15" x14ac:dyDescent="0.25">
      <c r="A408" t="s">
        <v>4</v>
      </c>
      <c r="B408" t="s">
        <v>91</v>
      </c>
      <c r="C408" t="s">
        <v>731</v>
      </c>
      <c r="D408" t="s">
        <v>21</v>
      </c>
      <c r="E408" t="s">
        <v>748</v>
      </c>
      <c r="F408" t="s">
        <v>419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f t="shared" si="6"/>
        <v>7</v>
      </c>
      <c r="O408" t="str">
        <f>IF(AND($A408=Dashboard!$B$3,$B408=Dashboard!$G$3,$D408&lt;&gt;"NO_SERVICE"),ROW(),"")</f>
        <v/>
      </c>
    </row>
    <row r="409" spans="1:15" x14ac:dyDescent="0.25">
      <c r="A409" t="s">
        <v>4</v>
      </c>
      <c r="B409" t="s">
        <v>91</v>
      </c>
      <c r="C409" t="s">
        <v>731</v>
      </c>
      <c r="D409" t="s">
        <v>21</v>
      </c>
      <c r="E409" t="s">
        <v>749</v>
      </c>
      <c r="F409" t="s">
        <v>272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f t="shared" si="6"/>
        <v>7</v>
      </c>
      <c r="O409" t="str">
        <f>IF(AND($A409=Dashboard!$B$3,$B409=Dashboard!$G$3,$D409&lt;&gt;"NO_SERVICE"),ROW(),"")</f>
        <v/>
      </c>
    </row>
    <row r="410" spans="1:15" x14ac:dyDescent="0.25">
      <c r="A410" t="s">
        <v>4</v>
      </c>
      <c r="B410" t="s">
        <v>91</v>
      </c>
      <c r="C410" t="s">
        <v>731</v>
      </c>
      <c r="D410" t="s">
        <v>21</v>
      </c>
      <c r="E410" t="s">
        <v>750</v>
      </c>
      <c r="F410" t="s">
        <v>237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f t="shared" si="6"/>
        <v>7</v>
      </c>
      <c r="O410" t="str">
        <f>IF(AND($A410=Dashboard!$B$3,$B410=Dashboard!$G$3,$D410&lt;&gt;"NO_SERVICE"),ROW(),"")</f>
        <v/>
      </c>
    </row>
    <row r="411" spans="1:15" x14ac:dyDescent="0.25">
      <c r="A411" t="s">
        <v>4</v>
      </c>
      <c r="B411" t="s">
        <v>91</v>
      </c>
      <c r="C411" t="s">
        <v>731</v>
      </c>
      <c r="D411" t="s">
        <v>21</v>
      </c>
      <c r="E411" t="s">
        <v>751</v>
      </c>
      <c r="F411" t="s">
        <v>752</v>
      </c>
      <c r="G411">
        <v>1</v>
      </c>
      <c r="H411">
        <v>0</v>
      </c>
      <c r="I411">
        <v>1</v>
      </c>
      <c r="J411">
        <v>0</v>
      </c>
      <c r="K411">
        <v>1</v>
      </c>
      <c r="L411">
        <v>0</v>
      </c>
      <c r="M411">
        <v>1</v>
      </c>
      <c r="N411">
        <f t="shared" si="6"/>
        <v>4</v>
      </c>
      <c r="O411" t="str">
        <f>IF(AND($A411=Dashboard!$B$3,$B411=Dashboard!$G$3,$D411&lt;&gt;"NO_SERVICE"),ROW(),"")</f>
        <v/>
      </c>
    </row>
    <row r="412" spans="1:15" x14ac:dyDescent="0.25">
      <c r="A412" t="s">
        <v>4</v>
      </c>
      <c r="B412" t="s">
        <v>97</v>
      </c>
      <c r="C412" t="s">
        <v>753</v>
      </c>
      <c r="D412" t="s">
        <v>24</v>
      </c>
      <c r="E412" t="s">
        <v>754</v>
      </c>
      <c r="F412" t="s">
        <v>269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f t="shared" si="6"/>
        <v>7</v>
      </c>
      <c r="O412" t="str">
        <f>IF(AND($A412=Dashboard!$B$3,$B412=Dashboard!$G$3,$D412&lt;&gt;"NO_SERVICE"),ROW(),"")</f>
        <v/>
      </c>
    </row>
    <row r="413" spans="1:15" x14ac:dyDescent="0.25">
      <c r="A413" t="s">
        <v>4</v>
      </c>
      <c r="B413" t="s">
        <v>97</v>
      </c>
      <c r="C413" t="s">
        <v>753</v>
      </c>
      <c r="D413" t="s">
        <v>24</v>
      </c>
      <c r="E413" t="s">
        <v>755</v>
      </c>
      <c r="F413" t="s">
        <v>131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f t="shared" si="6"/>
        <v>7</v>
      </c>
      <c r="O413" t="str">
        <f>IF(AND($A413=Dashboard!$B$3,$B413=Dashboard!$G$3,$D413&lt;&gt;"NO_SERVICE"),ROW(),"")</f>
        <v/>
      </c>
    </row>
    <row r="414" spans="1:15" x14ac:dyDescent="0.25">
      <c r="A414" t="s">
        <v>4</v>
      </c>
      <c r="B414" t="s">
        <v>97</v>
      </c>
      <c r="C414" t="s">
        <v>753</v>
      </c>
      <c r="D414" t="s">
        <v>24</v>
      </c>
      <c r="E414" t="s">
        <v>756</v>
      </c>
      <c r="F414" t="s">
        <v>413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f t="shared" si="6"/>
        <v>7</v>
      </c>
      <c r="O414" t="str">
        <f>IF(AND($A414=Dashboard!$B$3,$B414=Dashboard!$G$3,$D414&lt;&gt;"NO_SERVICE"),ROW(),"")</f>
        <v/>
      </c>
    </row>
    <row r="415" spans="1:15" x14ac:dyDescent="0.25">
      <c r="A415" t="s">
        <v>4</v>
      </c>
      <c r="B415" t="s">
        <v>97</v>
      </c>
      <c r="C415" t="s">
        <v>753</v>
      </c>
      <c r="D415" t="s">
        <v>24</v>
      </c>
      <c r="E415" t="s">
        <v>757</v>
      </c>
      <c r="F415" t="s">
        <v>102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f t="shared" si="6"/>
        <v>1</v>
      </c>
      <c r="O415" t="str">
        <f>IF(AND($A415=Dashboard!$B$3,$B415=Dashboard!$G$3,$D415&lt;&gt;"NO_SERVICE"),ROW(),"")</f>
        <v/>
      </c>
    </row>
    <row r="416" spans="1:15" x14ac:dyDescent="0.25">
      <c r="A416" t="s">
        <v>4</v>
      </c>
      <c r="B416" t="s">
        <v>97</v>
      </c>
      <c r="C416" t="s">
        <v>753</v>
      </c>
      <c r="D416" t="s">
        <v>24</v>
      </c>
      <c r="E416" t="s">
        <v>758</v>
      </c>
      <c r="F416" t="s">
        <v>317</v>
      </c>
      <c r="G416">
        <v>1</v>
      </c>
      <c r="H416">
        <v>1</v>
      </c>
      <c r="I416">
        <v>1</v>
      </c>
      <c r="J416">
        <v>0</v>
      </c>
      <c r="K416">
        <v>1</v>
      </c>
      <c r="L416">
        <v>1</v>
      </c>
      <c r="M416">
        <v>1</v>
      </c>
      <c r="N416">
        <f t="shared" si="6"/>
        <v>6</v>
      </c>
      <c r="O416" t="str">
        <f>IF(AND($A416=Dashboard!$B$3,$B416=Dashboard!$G$3,$D416&lt;&gt;"NO_SERVICE"),ROW(),"")</f>
        <v/>
      </c>
    </row>
    <row r="417" spans="1:15" x14ac:dyDescent="0.25">
      <c r="A417" t="s">
        <v>4</v>
      </c>
      <c r="B417" t="s">
        <v>97</v>
      </c>
      <c r="C417" t="s">
        <v>753</v>
      </c>
      <c r="D417" t="s">
        <v>24</v>
      </c>
      <c r="E417" t="s">
        <v>759</v>
      </c>
      <c r="F417" t="s">
        <v>760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f t="shared" si="6"/>
        <v>7</v>
      </c>
      <c r="O417" t="str">
        <f>IF(AND($A417=Dashboard!$B$3,$B417=Dashboard!$G$3,$D417&lt;&gt;"NO_SERVICE"),ROW(),"")</f>
        <v/>
      </c>
    </row>
    <row r="418" spans="1:15" x14ac:dyDescent="0.25">
      <c r="A418" t="s">
        <v>4</v>
      </c>
      <c r="B418" t="s">
        <v>97</v>
      </c>
      <c r="C418" t="s">
        <v>753</v>
      </c>
      <c r="D418" t="s">
        <v>21</v>
      </c>
      <c r="E418" t="s">
        <v>761</v>
      </c>
      <c r="F418" t="s">
        <v>315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f t="shared" si="6"/>
        <v>7</v>
      </c>
      <c r="O418" t="str">
        <f>IF(AND($A418=Dashboard!$B$3,$B418=Dashboard!$G$3,$D418&lt;&gt;"NO_SERVICE"),ROW(),"")</f>
        <v/>
      </c>
    </row>
    <row r="419" spans="1:15" x14ac:dyDescent="0.25">
      <c r="A419" t="s">
        <v>4</v>
      </c>
      <c r="B419" t="s">
        <v>97</v>
      </c>
      <c r="C419" t="s">
        <v>753</v>
      </c>
      <c r="D419" t="s">
        <v>21</v>
      </c>
      <c r="E419" t="s">
        <v>762</v>
      </c>
      <c r="F419" t="s">
        <v>230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f t="shared" si="6"/>
        <v>7</v>
      </c>
      <c r="O419" t="str">
        <f>IF(AND($A419=Dashboard!$B$3,$B419=Dashboard!$G$3,$D419&lt;&gt;"NO_SERVICE"),ROW(),"")</f>
        <v/>
      </c>
    </row>
    <row r="420" spans="1:15" x14ac:dyDescent="0.25">
      <c r="A420" t="s">
        <v>4</v>
      </c>
      <c r="B420" t="s">
        <v>103</v>
      </c>
      <c r="C420" t="s">
        <v>763</v>
      </c>
      <c r="D420" t="s">
        <v>24</v>
      </c>
      <c r="E420" t="s">
        <v>764</v>
      </c>
      <c r="F420" t="s">
        <v>366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f t="shared" si="6"/>
        <v>7</v>
      </c>
      <c r="O420" t="str">
        <f>IF(AND($A420=Dashboard!$B$3,$B420=Dashboard!$G$3,$D420&lt;&gt;"NO_SERVICE"),ROW(),"")</f>
        <v/>
      </c>
    </row>
    <row r="421" spans="1:15" x14ac:dyDescent="0.25">
      <c r="A421" t="s">
        <v>4</v>
      </c>
      <c r="B421" t="s">
        <v>103</v>
      </c>
      <c r="C421" t="s">
        <v>763</v>
      </c>
      <c r="D421" t="s">
        <v>24</v>
      </c>
      <c r="E421" t="s">
        <v>765</v>
      </c>
      <c r="F421" t="s">
        <v>94</v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f t="shared" si="6"/>
        <v>2</v>
      </c>
      <c r="O421" t="str">
        <f>IF(AND($A421=Dashboard!$B$3,$B421=Dashboard!$G$3,$D421&lt;&gt;"NO_SERVICE"),ROW(),"")</f>
        <v/>
      </c>
    </row>
    <row r="422" spans="1:15" x14ac:dyDescent="0.25">
      <c r="A422" t="s">
        <v>4</v>
      </c>
      <c r="B422" t="s">
        <v>103</v>
      </c>
      <c r="C422" t="s">
        <v>763</v>
      </c>
      <c r="D422" t="s">
        <v>24</v>
      </c>
      <c r="E422" t="s">
        <v>766</v>
      </c>
      <c r="F422" t="s">
        <v>112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f t="shared" si="6"/>
        <v>7</v>
      </c>
      <c r="O422" t="str">
        <f>IF(AND($A422=Dashboard!$B$3,$B422=Dashboard!$G$3,$D422&lt;&gt;"NO_SERVICE"),ROW(),"")</f>
        <v/>
      </c>
    </row>
    <row r="423" spans="1:15" x14ac:dyDescent="0.25">
      <c r="A423" t="s">
        <v>4</v>
      </c>
      <c r="B423" t="s">
        <v>103</v>
      </c>
      <c r="C423" t="s">
        <v>763</v>
      </c>
      <c r="D423" t="s">
        <v>24</v>
      </c>
      <c r="E423" t="s">
        <v>767</v>
      </c>
      <c r="F423" t="s">
        <v>163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f t="shared" si="6"/>
        <v>7</v>
      </c>
      <c r="O423" t="str">
        <f>IF(AND($A423=Dashboard!$B$3,$B423=Dashboard!$G$3,$D423&lt;&gt;"NO_SERVICE"),ROW(),"")</f>
        <v/>
      </c>
    </row>
    <row r="424" spans="1:15" x14ac:dyDescent="0.25">
      <c r="A424" t="s">
        <v>4</v>
      </c>
      <c r="B424" t="s">
        <v>103</v>
      </c>
      <c r="C424" t="s">
        <v>763</v>
      </c>
      <c r="D424" t="s">
        <v>24</v>
      </c>
      <c r="E424" t="s">
        <v>768</v>
      </c>
      <c r="F424" t="s">
        <v>230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f t="shared" si="6"/>
        <v>7</v>
      </c>
      <c r="O424" t="str">
        <f>IF(AND($A424=Dashboard!$B$3,$B424=Dashboard!$G$3,$D424&lt;&gt;"NO_SERVICE"),ROW(),"")</f>
        <v/>
      </c>
    </row>
    <row r="425" spans="1:15" x14ac:dyDescent="0.25">
      <c r="A425" t="s">
        <v>4</v>
      </c>
      <c r="B425" t="s">
        <v>103</v>
      </c>
      <c r="C425" t="s">
        <v>763</v>
      </c>
      <c r="D425" t="s">
        <v>24</v>
      </c>
      <c r="E425" t="s">
        <v>769</v>
      </c>
      <c r="F425" t="s">
        <v>478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f t="shared" si="6"/>
        <v>7</v>
      </c>
      <c r="O425" t="str">
        <f>IF(AND($A425=Dashboard!$B$3,$B425=Dashboard!$G$3,$D425&lt;&gt;"NO_SERVICE"),ROW(),"")</f>
        <v/>
      </c>
    </row>
    <row r="426" spans="1:15" x14ac:dyDescent="0.25">
      <c r="A426" t="s">
        <v>4</v>
      </c>
      <c r="B426" t="s">
        <v>103</v>
      </c>
      <c r="C426" t="s">
        <v>763</v>
      </c>
      <c r="D426" t="s">
        <v>24</v>
      </c>
      <c r="E426" t="s">
        <v>770</v>
      </c>
      <c r="F426" t="s">
        <v>174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f t="shared" si="6"/>
        <v>7</v>
      </c>
      <c r="O426" t="str">
        <f>IF(AND($A426=Dashboard!$B$3,$B426=Dashboard!$G$3,$D426&lt;&gt;"NO_SERVICE"),ROW(),"")</f>
        <v/>
      </c>
    </row>
    <row r="427" spans="1:15" x14ac:dyDescent="0.25">
      <c r="A427" t="s">
        <v>4</v>
      </c>
      <c r="B427" t="s">
        <v>103</v>
      </c>
      <c r="C427" t="s">
        <v>763</v>
      </c>
      <c r="D427" t="s">
        <v>21</v>
      </c>
      <c r="E427" t="s">
        <v>771</v>
      </c>
      <c r="F427" t="s">
        <v>772</v>
      </c>
      <c r="G427">
        <v>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f t="shared" si="6"/>
        <v>2</v>
      </c>
      <c r="O427" t="str">
        <f>IF(AND($A427=Dashboard!$B$3,$B427=Dashboard!$G$3,$D427&lt;&gt;"NO_SERVICE"),ROW(),"")</f>
        <v/>
      </c>
    </row>
    <row r="428" spans="1:15" x14ac:dyDescent="0.25">
      <c r="A428" t="s">
        <v>4</v>
      </c>
      <c r="B428" t="s">
        <v>103</v>
      </c>
      <c r="C428" t="s">
        <v>763</v>
      </c>
      <c r="D428" t="s">
        <v>21</v>
      </c>
      <c r="E428" t="s">
        <v>773</v>
      </c>
      <c r="F428" t="s">
        <v>484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f t="shared" si="6"/>
        <v>7</v>
      </c>
      <c r="O428" t="str">
        <f>IF(AND($A428=Dashboard!$B$3,$B428=Dashboard!$G$3,$D428&lt;&gt;"NO_SERVICE"),ROW(),"")</f>
        <v/>
      </c>
    </row>
    <row r="429" spans="1:15" x14ac:dyDescent="0.25">
      <c r="A429" t="s">
        <v>4</v>
      </c>
      <c r="B429" t="s">
        <v>103</v>
      </c>
      <c r="C429" t="s">
        <v>763</v>
      </c>
      <c r="D429" t="s">
        <v>21</v>
      </c>
      <c r="E429" t="s">
        <v>774</v>
      </c>
      <c r="F429" t="s">
        <v>186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f t="shared" si="6"/>
        <v>1</v>
      </c>
      <c r="O429" t="str">
        <f>IF(AND($A429=Dashboard!$B$3,$B429=Dashboard!$G$3,$D429&lt;&gt;"NO_SERVICE"),ROW(),"")</f>
        <v/>
      </c>
    </row>
    <row r="430" spans="1:15" x14ac:dyDescent="0.25">
      <c r="A430" t="s">
        <v>4</v>
      </c>
      <c r="B430" t="s">
        <v>103</v>
      </c>
      <c r="C430" t="s">
        <v>763</v>
      </c>
      <c r="D430" t="s">
        <v>21</v>
      </c>
      <c r="E430" t="s">
        <v>775</v>
      </c>
      <c r="F430" t="s">
        <v>250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f t="shared" si="6"/>
        <v>7</v>
      </c>
      <c r="O430" t="str">
        <f>IF(AND($A430=Dashboard!$B$3,$B430=Dashboard!$G$3,$D430&lt;&gt;"NO_SERVICE"),ROW(),"")</f>
        <v/>
      </c>
    </row>
    <row r="431" spans="1:15" x14ac:dyDescent="0.25">
      <c r="A431" t="s">
        <v>4</v>
      </c>
      <c r="B431" t="s">
        <v>103</v>
      </c>
      <c r="C431" t="s">
        <v>763</v>
      </c>
      <c r="D431" t="s">
        <v>29</v>
      </c>
      <c r="E431" t="s">
        <v>776</v>
      </c>
      <c r="F431" t="s">
        <v>317</v>
      </c>
      <c r="G431">
        <v>0</v>
      </c>
      <c r="H431">
        <v>0</v>
      </c>
      <c r="I431">
        <v>1</v>
      </c>
      <c r="J431">
        <v>1</v>
      </c>
      <c r="K431">
        <v>1</v>
      </c>
      <c r="L431">
        <v>1</v>
      </c>
      <c r="M431">
        <v>1</v>
      </c>
      <c r="N431">
        <f t="shared" si="6"/>
        <v>5</v>
      </c>
      <c r="O431" t="str">
        <f>IF(AND($A431=Dashboard!$B$3,$B431=Dashboard!$G$3,$D431&lt;&gt;"NO_SERVICE"),ROW(),"")</f>
        <v/>
      </c>
    </row>
    <row r="432" spans="1:15" x14ac:dyDescent="0.25">
      <c r="A432" t="s">
        <v>4</v>
      </c>
      <c r="B432" t="s">
        <v>103</v>
      </c>
      <c r="C432" t="s">
        <v>763</v>
      </c>
      <c r="D432" t="s">
        <v>29</v>
      </c>
      <c r="E432" t="s">
        <v>777</v>
      </c>
      <c r="F432" t="s">
        <v>742</v>
      </c>
      <c r="G432">
        <v>1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f t="shared" si="6"/>
        <v>2</v>
      </c>
      <c r="O432" t="str">
        <f>IF(AND($A432=Dashboard!$B$3,$B432=Dashboard!$G$3,$D432&lt;&gt;"NO_SERVICE"),ROW(),"")</f>
        <v/>
      </c>
    </row>
    <row r="433" spans="1:15" x14ac:dyDescent="0.25">
      <c r="A433" t="s">
        <v>4</v>
      </c>
      <c r="B433" t="s">
        <v>103</v>
      </c>
      <c r="C433" t="s">
        <v>763</v>
      </c>
      <c r="D433" t="s">
        <v>21</v>
      </c>
      <c r="E433" t="s">
        <v>778</v>
      </c>
      <c r="F433" t="s">
        <v>374</v>
      </c>
      <c r="G433">
        <v>1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f t="shared" si="6"/>
        <v>2</v>
      </c>
      <c r="O433" t="str">
        <f>IF(AND($A433=Dashboard!$B$3,$B433=Dashboard!$G$3,$D433&lt;&gt;"NO_SERVICE"),ROW(),"")</f>
        <v/>
      </c>
    </row>
    <row r="434" spans="1:15" x14ac:dyDescent="0.25">
      <c r="A434" t="s">
        <v>4</v>
      </c>
      <c r="B434" t="s">
        <v>103</v>
      </c>
      <c r="C434" t="s">
        <v>763</v>
      </c>
      <c r="D434" t="s">
        <v>21</v>
      </c>
      <c r="E434" t="s">
        <v>779</v>
      </c>
      <c r="F434" t="s">
        <v>78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f t="shared" si="6"/>
        <v>7</v>
      </c>
      <c r="O434" t="str">
        <f>IF(AND($A434=Dashboard!$B$3,$B434=Dashboard!$G$3,$D434&lt;&gt;"NO_SERVICE"),ROW(),"")</f>
        <v/>
      </c>
    </row>
    <row r="435" spans="1:15" x14ac:dyDescent="0.25">
      <c r="A435" t="s">
        <v>4</v>
      </c>
      <c r="B435" t="s">
        <v>103</v>
      </c>
      <c r="C435" t="s">
        <v>763</v>
      </c>
      <c r="D435" t="s">
        <v>21</v>
      </c>
      <c r="E435" t="s">
        <v>780</v>
      </c>
      <c r="F435" t="s">
        <v>655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f t="shared" si="6"/>
        <v>7</v>
      </c>
      <c r="O435" t="str">
        <f>IF(AND($A435=Dashboard!$B$3,$B435=Dashboard!$G$3,$D435&lt;&gt;"NO_SERVICE"),ROW(),"")</f>
        <v/>
      </c>
    </row>
    <row r="436" spans="1:15" x14ac:dyDescent="0.25">
      <c r="A436" t="s">
        <v>4</v>
      </c>
      <c r="B436" t="s">
        <v>109</v>
      </c>
      <c r="C436" t="s">
        <v>781</v>
      </c>
      <c r="D436" t="s">
        <v>24</v>
      </c>
      <c r="E436" t="s">
        <v>782</v>
      </c>
      <c r="F436" t="s">
        <v>676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f t="shared" si="6"/>
        <v>7</v>
      </c>
      <c r="O436" t="str">
        <f>IF(AND($A436=Dashboard!$B$3,$B436=Dashboard!$G$3,$D436&lt;&gt;"NO_SERVICE"),ROW(),"")</f>
        <v/>
      </c>
    </row>
    <row r="437" spans="1:15" x14ac:dyDescent="0.25">
      <c r="A437" t="s">
        <v>4</v>
      </c>
      <c r="B437" t="s">
        <v>109</v>
      </c>
      <c r="C437" t="s">
        <v>781</v>
      </c>
      <c r="D437" t="s">
        <v>24</v>
      </c>
      <c r="E437" t="s">
        <v>783</v>
      </c>
      <c r="F437" t="s">
        <v>784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f t="shared" si="6"/>
        <v>7</v>
      </c>
      <c r="O437" t="str">
        <f>IF(AND($A437=Dashboard!$B$3,$B437=Dashboard!$G$3,$D437&lt;&gt;"NO_SERVICE"),ROW(),"")</f>
        <v/>
      </c>
    </row>
    <row r="438" spans="1:15" x14ac:dyDescent="0.25">
      <c r="A438" t="s">
        <v>4</v>
      </c>
      <c r="B438" t="s">
        <v>109</v>
      </c>
      <c r="C438" t="s">
        <v>781</v>
      </c>
      <c r="D438" t="s">
        <v>24</v>
      </c>
      <c r="E438" t="s">
        <v>785</v>
      </c>
      <c r="F438" t="s">
        <v>172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f t="shared" si="6"/>
        <v>7</v>
      </c>
      <c r="O438" t="str">
        <f>IF(AND($A438=Dashboard!$B$3,$B438=Dashboard!$G$3,$D438&lt;&gt;"NO_SERVICE"),ROW(),"")</f>
        <v/>
      </c>
    </row>
    <row r="439" spans="1:15" x14ac:dyDescent="0.25">
      <c r="A439" t="s">
        <v>4</v>
      </c>
      <c r="B439" t="s">
        <v>109</v>
      </c>
      <c r="C439" t="s">
        <v>781</v>
      </c>
      <c r="D439" t="s">
        <v>24</v>
      </c>
      <c r="E439" t="s">
        <v>786</v>
      </c>
      <c r="F439" t="s">
        <v>685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f t="shared" si="6"/>
        <v>7</v>
      </c>
      <c r="O439" t="str">
        <f>IF(AND($A439=Dashboard!$B$3,$B439=Dashboard!$G$3,$D439&lt;&gt;"NO_SERVICE"),ROW(),"")</f>
        <v/>
      </c>
    </row>
    <row r="440" spans="1:15" x14ac:dyDescent="0.25">
      <c r="A440" t="s">
        <v>4</v>
      </c>
      <c r="B440" t="s">
        <v>109</v>
      </c>
      <c r="C440" t="s">
        <v>781</v>
      </c>
      <c r="D440" t="s">
        <v>21</v>
      </c>
      <c r="E440" t="s">
        <v>787</v>
      </c>
      <c r="F440" t="s">
        <v>168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f t="shared" si="6"/>
        <v>7</v>
      </c>
      <c r="O440" t="str">
        <f>IF(AND($A440=Dashboard!$B$3,$B440=Dashboard!$G$3,$D440&lt;&gt;"NO_SERVICE"),ROW(),"")</f>
        <v/>
      </c>
    </row>
    <row r="441" spans="1:15" x14ac:dyDescent="0.25">
      <c r="A441" t="s">
        <v>4</v>
      </c>
      <c r="B441" t="s">
        <v>109</v>
      </c>
      <c r="C441" t="s">
        <v>781</v>
      </c>
      <c r="D441" t="s">
        <v>21</v>
      </c>
      <c r="E441" t="s">
        <v>788</v>
      </c>
      <c r="F441" t="s">
        <v>599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f t="shared" si="6"/>
        <v>7</v>
      </c>
      <c r="O441" t="str">
        <f>IF(AND($A441=Dashboard!$B$3,$B441=Dashboard!$G$3,$D441&lt;&gt;"NO_SERVICE"),ROW(),"")</f>
        <v/>
      </c>
    </row>
    <row r="442" spans="1:15" x14ac:dyDescent="0.25">
      <c r="A442" t="s">
        <v>4</v>
      </c>
      <c r="B442" t="s">
        <v>109</v>
      </c>
      <c r="C442" t="s">
        <v>781</v>
      </c>
      <c r="D442" t="s">
        <v>21</v>
      </c>
      <c r="E442" t="s">
        <v>789</v>
      </c>
      <c r="F442" t="s">
        <v>411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f t="shared" si="6"/>
        <v>7</v>
      </c>
      <c r="O442" t="str">
        <f>IF(AND($A442=Dashboard!$B$3,$B442=Dashboard!$G$3,$D442&lt;&gt;"NO_SERVICE"),ROW(),"")</f>
        <v/>
      </c>
    </row>
    <row r="443" spans="1:15" x14ac:dyDescent="0.25">
      <c r="A443" t="s">
        <v>4</v>
      </c>
      <c r="B443" t="s">
        <v>109</v>
      </c>
      <c r="C443" t="s">
        <v>781</v>
      </c>
      <c r="D443" t="s">
        <v>21</v>
      </c>
      <c r="E443" t="s">
        <v>790</v>
      </c>
      <c r="F443" t="s">
        <v>685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f t="shared" si="6"/>
        <v>7</v>
      </c>
      <c r="O443" t="str">
        <f>IF(AND($A443=Dashboard!$B$3,$B443=Dashboard!$G$3,$D443&lt;&gt;"NO_SERVICE"),ROW(),"")</f>
        <v/>
      </c>
    </row>
    <row r="444" spans="1:15" x14ac:dyDescent="0.25">
      <c r="A444" t="s">
        <v>4</v>
      </c>
      <c r="B444" t="s">
        <v>113</v>
      </c>
      <c r="C444" t="s">
        <v>791</v>
      </c>
      <c r="D444" t="s">
        <v>24</v>
      </c>
      <c r="E444" t="s">
        <v>792</v>
      </c>
      <c r="F444" t="s">
        <v>319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f t="shared" si="6"/>
        <v>1</v>
      </c>
      <c r="O444" t="str">
        <f>IF(AND($A444=Dashboard!$B$3,$B444=Dashboard!$G$3,$D444&lt;&gt;"NO_SERVICE"),ROW(),"")</f>
        <v/>
      </c>
    </row>
    <row r="445" spans="1:15" x14ac:dyDescent="0.25">
      <c r="A445" t="s">
        <v>4</v>
      </c>
      <c r="B445" t="s">
        <v>113</v>
      </c>
      <c r="C445" t="s">
        <v>791</v>
      </c>
      <c r="D445" t="s">
        <v>24</v>
      </c>
      <c r="E445" t="s">
        <v>793</v>
      </c>
      <c r="F445" t="s">
        <v>319</v>
      </c>
      <c r="G445">
        <v>1</v>
      </c>
      <c r="H445">
        <v>1</v>
      </c>
      <c r="I445">
        <v>0</v>
      </c>
      <c r="J445">
        <v>1</v>
      </c>
      <c r="K445">
        <v>1</v>
      </c>
      <c r="L445">
        <v>1</v>
      </c>
      <c r="M445">
        <v>1</v>
      </c>
      <c r="N445">
        <f t="shared" si="6"/>
        <v>6</v>
      </c>
      <c r="O445" t="str">
        <f>IF(AND($A445=Dashboard!$B$3,$B445=Dashboard!$G$3,$D445&lt;&gt;"NO_SERVICE"),ROW(),"")</f>
        <v/>
      </c>
    </row>
    <row r="446" spans="1:15" x14ac:dyDescent="0.25">
      <c r="A446" t="s">
        <v>4</v>
      </c>
      <c r="B446" t="s">
        <v>113</v>
      </c>
      <c r="C446" t="s">
        <v>791</v>
      </c>
      <c r="D446" t="s">
        <v>24</v>
      </c>
      <c r="E446" t="s">
        <v>794</v>
      </c>
      <c r="F446" t="s">
        <v>195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f t="shared" si="6"/>
        <v>7</v>
      </c>
      <c r="O446" t="str">
        <f>IF(AND($A446=Dashboard!$B$3,$B446=Dashboard!$G$3,$D446&lt;&gt;"NO_SERVICE"),ROW(),"")</f>
        <v/>
      </c>
    </row>
    <row r="447" spans="1:15" x14ac:dyDescent="0.25">
      <c r="A447" t="s">
        <v>4</v>
      </c>
      <c r="B447" t="s">
        <v>113</v>
      </c>
      <c r="C447" t="s">
        <v>791</v>
      </c>
      <c r="D447" t="s">
        <v>24</v>
      </c>
      <c r="E447" t="s">
        <v>795</v>
      </c>
      <c r="F447" t="s">
        <v>230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f t="shared" si="6"/>
        <v>7</v>
      </c>
      <c r="O447" t="str">
        <f>IF(AND($A447=Dashboard!$B$3,$B447=Dashboard!$G$3,$D447&lt;&gt;"NO_SERVICE"),ROW(),"")</f>
        <v/>
      </c>
    </row>
    <row r="448" spans="1:15" x14ac:dyDescent="0.25">
      <c r="A448" t="s">
        <v>4</v>
      </c>
      <c r="B448" t="s">
        <v>113</v>
      </c>
      <c r="C448" t="s">
        <v>791</v>
      </c>
      <c r="D448" t="s">
        <v>24</v>
      </c>
      <c r="E448" t="s">
        <v>796</v>
      </c>
      <c r="F448" t="s">
        <v>232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f t="shared" si="6"/>
        <v>7</v>
      </c>
      <c r="O448" t="str">
        <f>IF(AND($A448=Dashboard!$B$3,$B448=Dashboard!$G$3,$D448&lt;&gt;"NO_SERVICE"),ROW(),"")</f>
        <v/>
      </c>
    </row>
    <row r="449" spans="1:15" x14ac:dyDescent="0.25">
      <c r="A449" t="s">
        <v>4</v>
      </c>
      <c r="B449" t="s">
        <v>113</v>
      </c>
      <c r="C449" t="s">
        <v>791</v>
      </c>
      <c r="D449" t="s">
        <v>21</v>
      </c>
      <c r="E449" t="s">
        <v>797</v>
      </c>
      <c r="F449" t="s">
        <v>515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f t="shared" si="6"/>
        <v>7</v>
      </c>
      <c r="O449" t="str">
        <f>IF(AND($A449=Dashboard!$B$3,$B449=Dashboard!$G$3,$D449&lt;&gt;"NO_SERVICE"),ROW(),"")</f>
        <v/>
      </c>
    </row>
    <row r="450" spans="1:15" x14ac:dyDescent="0.25">
      <c r="A450" t="s">
        <v>4</v>
      </c>
      <c r="B450" t="s">
        <v>113</v>
      </c>
      <c r="C450" t="s">
        <v>791</v>
      </c>
      <c r="D450" t="s">
        <v>21</v>
      </c>
      <c r="E450" t="s">
        <v>798</v>
      </c>
      <c r="F450" t="s">
        <v>49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f t="shared" ref="N450:N513" si="7">SUM(G450:M450)</f>
        <v>7</v>
      </c>
      <c r="O450" t="str">
        <f>IF(AND($A450=Dashboard!$B$3,$B450=Dashboard!$G$3,$D450&lt;&gt;"NO_SERVICE"),ROW(),"")</f>
        <v/>
      </c>
    </row>
    <row r="451" spans="1:15" x14ac:dyDescent="0.25">
      <c r="A451" t="s">
        <v>4</v>
      </c>
      <c r="B451" t="s">
        <v>116</v>
      </c>
      <c r="C451" t="s">
        <v>799</v>
      </c>
      <c r="D451" t="s">
        <v>24</v>
      </c>
      <c r="E451" t="s">
        <v>643</v>
      </c>
      <c r="F451" t="s">
        <v>94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0</v>
      </c>
      <c r="M451">
        <v>0</v>
      </c>
      <c r="N451">
        <f t="shared" si="7"/>
        <v>5</v>
      </c>
      <c r="O451" t="str">
        <f>IF(AND($A451=Dashboard!$B$3,$B451=Dashboard!$G$3,$D451&lt;&gt;"NO_SERVICE"),ROW(),"")</f>
        <v/>
      </c>
    </row>
    <row r="452" spans="1:15" x14ac:dyDescent="0.25">
      <c r="A452" t="s">
        <v>4</v>
      </c>
      <c r="B452" t="s">
        <v>116</v>
      </c>
      <c r="C452" t="s">
        <v>799</v>
      </c>
      <c r="D452" t="s">
        <v>24</v>
      </c>
      <c r="E452" t="s">
        <v>800</v>
      </c>
      <c r="F452" t="s">
        <v>801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f t="shared" si="7"/>
        <v>7</v>
      </c>
      <c r="O452" t="str">
        <f>IF(AND($A452=Dashboard!$B$3,$B452=Dashboard!$G$3,$D452&lt;&gt;"NO_SERVICE"),ROW(),"")</f>
        <v/>
      </c>
    </row>
    <row r="453" spans="1:15" x14ac:dyDescent="0.25">
      <c r="A453" t="s">
        <v>4</v>
      </c>
      <c r="B453" t="s">
        <v>116</v>
      </c>
      <c r="C453" t="s">
        <v>799</v>
      </c>
      <c r="D453" t="s">
        <v>24</v>
      </c>
      <c r="E453" t="s">
        <v>721</v>
      </c>
      <c r="F453" t="s">
        <v>256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f t="shared" si="7"/>
        <v>1</v>
      </c>
      <c r="O453" t="str">
        <f>IF(AND($A453=Dashboard!$B$3,$B453=Dashboard!$G$3,$D453&lt;&gt;"NO_SERVICE"),ROW(),"")</f>
        <v/>
      </c>
    </row>
    <row r="454" spans="1:15" x14ac:dyDescent="0.25">
      <c r="A454" t="s">
        <v>4</v>
      </c>
      <c r="B454" t="s">
        <v>116</v>
      </c>
      <c r="C454" t="s">
        <v>799</v>
      </c>
      <c r="D454" t="s">
        <v>24</v>
      </c>
      <c r="E454" t="s">
        <v>802</v>
      </c>
      <c r="F454" t="s">
        <v>628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0</v>
      </c>
      <c r="M454">
        <v>0</v>
      </c>
      <c r="N454">
        <f t="shared" si="7"/>
        <v>5</v>
      </c>
      <c r="O454" t="str">
        <f>IF(AND($A454=Dashboard!$B$3,$B454=Dashboard!$G$3,$D454&lt;&gt;"NO_SERVICE"),ROW(),"")</f>
        <v/>
      </c>
    </row>
    <row r="455" spans="1:15" x14ac:dyDescent="0.25">
      <c r="A455" t="s">
        <v>4</v>
      </c>
      <c r="B455" t="s">
        <v>116</v>
      </c>
      <c r="C455" t="s">
        <v>799</v>
      </c>
      <c r="D455" t="s">
        <v>21</v>
      </c>
      <c r="E455" t="s">
        <v>803</v>
      </c>
      <c r="F455" t="s">
        <v>86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f t="shared" si="7"/>
        <v>7</v>
      </c>
      <c r="O455" t="str">
        <f>IF(AND($A455=Dashboard!$B$3,$B455=Dashboard!$G$3,$D455&lt;&gt;"NO_SERVICE"),ROW(),"")</f>
        <v/>
      </c>
    </row>
    <row r="456" spans="1:15" x14ac:dyDescent="0.25">
      <c r="A456" t="s">
        <v>4</v>
      </c>
      <c r="B456" t="s">
        <v>116</v>
      </c>
      <c r="C456" t="s">
        <v>799</v>
      </c>
      <c r="D456" t="s">
        <v>21</v>
      </c>
      <c r="E456" t="s">
        <v>804</v>
      </c>
      <c r="F456" t="s">
        <v>396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0</v>
      </c>
      <c r="M456">
        <v>0</v>
      </c>
      <c r="N456">
        <f t="shared" si="7"/>
        <v>5</v>
      </c>
      <c r="O456" t="str">
        <f>IF(AND($A456=Dashboard!$B$3,$B456=Dashboard!$G$3,$D456&lt;&gt;"NO_SERVICE"),ROW(),"")</f>
        <v/>
      </c>
    </row>
    <row r="457" spans="1:15" x14ac:dyDescent="0.25">
      <c r="A457" t="s">
        <v>4</v>
      </c>
      <c r="B457" t="s">
        <v>116</v>
      </c>
      <c r="C457" t="s">
        <v>799</v>
      </c>
      <c r="D457" t="s">
        <v>21</v>
      </c>
      <c r="E457" t="s">
        <v>805</v>
      </c>
      <c r="F457" t="s">
        <v>806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f t="shared" si="7"/>
        <v>7</v>
      </c>
      <c r="O457" t="str">
        <f>IF(AND($A457=Dashboard!$B$3,$B457=Dashboard!$G$3,$D457&lt;&gt;"NO_SERVICE"),ROW(),"")</f>
        <v/>
      </c>
    </row>
    <row r="458" spans="1:15" x14ac:dyDescent="0.25">
      <c r="A458" t="s">
        <v>4</v>
      </c>
      <c r="B458" t="s">
        <v>116</v>
      </c>
      <c r="C458" t="s">
        <v>799</v>
      </c>
      <c r="D458" t="s">
        <v>21</v>
      </c>
      <c r="E458" t="s">
        <v>807</v>
      </c>
      <c r="F458" t="s">
        <v>530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f t="shared" si="7"/>
        <v>7</v>
      </c>
      <c r="O458" t="str">
        <f>IF(AND($A458=Dashboard!$B$3,$B458=Dashboard!$G$3,$D458&lt;&gt;"NO_SERVICE"),ROW(),"")</f>
        <v/>
      </c>
    </row>
    <row r="459" spans="1:15" x14ac:dyDescent="0.25">
      <c r="A459" t="s">
        <v>4</v>
      </c>
      <c r="B459" t="s">
        <v>116</v>
      </c>
      <c r="C459" t="s">
        <v>799</v>
      </c>
      <c r="D459" t="s">
        <v>21</v>
      </c>
      <c r="E459" t="s">
        <v>808</v>
      </c>
      <c r="F459" t="s">
        <v>674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f t="shared" si="7"/>
        <v>7</v>
      </c>
      <c r="O459" t="str">
        <f>IF(AND($A459=Dashboard!$B$3,$B459=Dashboard!$G$3,$D459&lt;&gt;"NO_SERVICE"),ROW(),"")</f>
        <v/>
      </c>
    </row>
    <row r="460" spans="1:15" x14ac:dyDescent="0.25">
      <c r="A460" t="s">
        <v>4</v>
      </c>
      <c r="B460" t="s">
        <v>122</v>
      </c>
      <c r="C460" t="s">
        <v>809</v>
      </c>
      <c r="D460" t="s">
        <v>24</v>
      </c>
      <c r="E460" t="s">
        <v>810</v>
      </c>
      <c r="F460" t="s">
        <v>484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f t="shared" si="7"/>
        <v>7</v>
      </c>
      <c r="O460" t="str">
        <f>IF(AND($A460=Dashboard!$B$3,$B460=Dashboard!$G$3,$D460&lt;&gt;"NO_SERVICE"),ROW(),"")</f>
        <v/>
      </c>
    </row>
    <row r="461" spans="1:15" x14ac:dyDescent="0.25">
      <c r="A461" t="s">
        <v>4</v>
      </c>
      <c r="B461" t="s">
        <v>122</v>
      </c>
      <c r="C461" t="s">
        <v>809</v>
      </c>
      <c r="D461" t="s">
        <v>24</v>
      </c>
      <c r="E461" t="s">
        <v>811</v>
      </c>
      <c r="F461" t="s">
        <v>455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f t="shared" si="7"/>
        <v>7</v>
      </c>
      <c r="O461" t="str">
        <f>IF(AND($A461=Dashboard!$B$3,$B461=Dashboard!$G$3,$D461&lt;&gt;"NO_SERVICE"),ROW(),"")</f>
        <v/>
      </c>
    </row>
    <row r="462" spans="1:15" x14ac:dyDescent="0.25">
      <c r="A462" t="s">
        <v>4</v>
      </c>
      <c r="B462" t="s">
        <v>122</v>
      </c>
      <c r="C462" t="s">
        <v>809</v>
      </c>
      <c r="D462" t="s">
        <v>24</v>
      </c>
      <c r="E462" t="s">
        <v>812</v>
      </c>
      <c r="F462" t="s">
        <v>685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f t="shared" si="7"/>
        <v>7</v>
      </c>
      <c r="O462" t="str">
        <f>IF(AND($A462=Dashboard!$B$3,$B462=Dashboard!$G$3,$D462&lt;&gt;"NO_SERVICE"),ROW(),"")</f>
        <v/>
      </c>
    </row>
    <row r="463" spans="1:15" x14ac:dyDescent="0.25">
      <c r="A463" t="s">
        <v>4</v>
      </c>
      <c r="B463" t="s">
        <v>122</v>
      </c>
      <c r="C463" t="s">
        <v>809</v>
      </c>
      <c r="D463" t="s">
        <v>21</v>
      </c>
      <c r="E463" t="s">
        <v>813</v>
      </c>
      <c r="F463" t="s">
        <v>237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f t="shared" si="7"/>
        <v>1</v>
      </c>
      <c r="O463" t="str">
        <f>IF(AND($A463=Dashboard!$B$3,$B463=Dashboard!$G$3,$D463&lt;&gt;"NO_SERVICE"),ROW(),"")</f>
        <v/>
      </c>
    </row>
    <row r="464" spans="1:15" x14ac:dyDescent="0.25">
      <c r="A464" t="s">
        <v>4</v>
      </c>
      <c r="B464" t="s">
        <v>122</v>
      </c>
      <c r="C464" t="s">
        <v>809</v>
      </c>
      <c r="D464" t="s">
        <v>21</v>
      </c>
      <c r="E464" t="s">
        <v>814</v>
      </c>
      <c r="F464" t="s">
        <v>237</v>
      </c>
      <c r="G464">
        <v>0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f t="shared" si="7"/>
        <v>6</v>
      </c>
      <c r="O464" t="str">
        <f>IF(AND($A464=Dashboard!$B$3,$B464=Dashboard!$G$3,$D464&lt;&gt;"NO_SERVICE"),ROW(),"")</f>
        <v/>
      </c>
    </row>
    <row r="465" spans="1:15" x14ac:dyDescent="0.25">
      <c r="A465" t="s">
        <v>4</v>
      </c>
      <c r="B465" t="s">
        <v>122</v>
      </c>
      <c r="C465" t="s">
        <v>809</v>
      </c>
      <c r="D465" t="s">
        <v>21</v>
      </c>
      <c r="E465" t="s">
        <v>815</v>
      </c>
      <c r="F465" t="s">
        <v>300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f t="shared" si="7"/>
        <v>7</v>
      </c>
      <c r="O465" t="str">
        <f>IF(AND($A465=Dashboard!$B$3,$B465=Dashboard!$G$3,$D465&lt;&gt;"NO_SERVICE"),ROW(),"")</f>
        <v/>
      </c>
    </row>
    <row r="466" spans="1:15" x14ac:dyDescent="0.25">
      <c r="A466" t="s">
        <v>4</v>
      </c>
      <c r="B466" t="s">
        <v>124</v>
      </c>
      <c r="C466" t="s">
        <v>816</v>
      </c>
      <c r="D466" t="s">
        <v>24</v>
      </c>
      <c r="E466" t="s">
        <v>817</v>
      </c>
      <c r="F466" t="s">
        <v>119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f t="shared" si="7"/>
        <v>7</v>
      </c>
      <c r="O466" t="str">
        <f>IF(AND($A466=Dashboard!$B$3,$B466=Dashboard!$G$3,$D466&lt;&gt;"NO_SERVICE"),ROW(),"")</f>
        <v/>
      </c>
    </row>
    <row r="467" spans="1:15" x14ac:dyDescent="0.25">
      <c r="A467" t="s">
        <v>4</v>
      </c>
      <c r="B467" t="s">
        <v>124</v>
      </c>
      <c r="C467" t="s">
        <v>816</v>
      </c>
      <c r="D467" t="s">
        <v>24</v>
      </c>
      <c r="E467" t="s">
        <v>818</v>
      </c>
      <c r="F467" t="s">
        <v>247</v>
      </c>
      <c r="G467">
        <v>0</v>
      </c>
      <c r="H467">
        <v>0</v>
      </c>
      <c r="I467">
        <v>1</v>
      </c>
      <c r="J467">
        <v>1</v>
      </c>
      <c r="K467">
        <v>1</v>
      </c>
      <c r="L467">
        <v>1</v>
      </c>
      <c r="M467">
        <v>1</v>
      </c>
      <c r="N467">
        <f t="shared" si="7"/>
        <v>5</v>
      </c>
      <c r="O467" t="str">
        <f>IF(AND($A467=Dashboard!$B$3,$B467=Dashboard!$G$3,$D467&lt;&gt;"NO_SERVICE"),ROW(),"")</f>
        <v/>
      </c>
    </row>
    <row r="468" spans="1:15" x14ac:dyDescent="0.25">
      <c r="A468" t="s">
        <v>4</v>
      </c>
      <c r="B468" t="s">
        <v>124</v>
      </c>
      <c r="C468" t="s">
        <v>816</v>
      </c>
      <c r="D468" t="s">
        <v>24</v>
      </c>
      <c r="E468" t="s">
        <v>819</v>
      </c>
      <c r="F468" t="s">
        <v>820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f t="shared" si="7"/>
        <v>7</v>
      </c>
      <c r="O468" t="str">
        <f>IF(AND($A468=Dashboard!$B$3,$B468=Dashboard!$G$3,$D468&lt;&gt;"NO_SERVICE"),ROW(),"")</f>
        <v/>
      </c>
    </row>
    <row r="469" spans="1:15" x14ac:dyDescent="0.25">
      <c r="A469" t="s">
        <v>4</v>
      </c>
      <c r="B469" t="s">
        <v>124</v>
      </c>
      <c r="C469" t="s">
        <v>816</v>
      </c>
      <c r="D469" t="s">
        <v>24</v>
      </c>
      <c r="E469" t="s">
        <v>821</v>
      </c>
      <c r="F469" t="s">
        <v>396</v>
      </c>
      <c r="G469">
        <v>0</v>
      </c>
      <c r="H469">
        <v>0</v>
      </c>
      <c r="I469">
        <v>1</v>
      </c>
      <c r="J469">
        <v>1</v>
      </c>
      <c r="K469">
        <v>1</v>
      </c>
      <c r="L469">
        <v>1</v>
      </c>
      <c r="M469">
        <v>1</v>
      </c>
      <c r="N469">
        <f t="shared" si="7"/>
        <v>5</v>
      </c>
      <c r="O469" t="str">
        <f>IF(AND($A469=Dashboard!$B$3,$B469=Dashboard!$G$3,$D469&lt;&gt;"NO_SERVICE"),ROW(),"")</f>
        <v/>
      </c>
    </row>
    <row r="470" spans="1:15" x14ac:dyDescent="0.25">
      <c r="A470" t="s">
        <v>4</v>
      </c>
      <c r="B470" t="s">
        <v>124</v>
      </c>
      <c r="C470" t="s">
        <v>816</v>
      </c>
      <c r="D470" t="s">
        <v>24</v>
      </c>
      <c r="E470" t="s">
        <v>822</v>
      </c>
      <c r="F470" t="s">
        <v>315</v>
      </c>
      <c r="G470">
        <v>0</v>
      </c>
      <c r="H470">
        <v>0</v>
      </c>
      <c r="I470">
        <v>1</v>
      </c>
      <c r="J470">
        <v>1</v>
      </c>
      <c r="K470">
        <v>1</v>
      </c>
      <c r="L470">
        <v>1</v>
      </c>
      <c r="M470">
        <v>1</v>
      </c>
      <c r="N470">
        <f t="shared" si="7"/>
        <v>5</v>
      </c>
      <c r="O470" t="str">
        <f>IF(AND($A470=Dashboard!$B$3,$B470=Dashboard!$G$3,$D470&lt;&gt;"NO_SERVICE"),ROW(),"")</f>
        <v/>
      </c>
    </row>
    <row r="471" spans="1:15" x14ac:dyDescent="0.25">
      <c r="A471" t="s">
        <v>4</v>
      </c>
      <c r="B471" t="s">
        <v>124</v>
      </c>
      <c r="C471" t="s">
        <v>816</v>
      </c>
      <c r="D471" t="s">
        <v>24</v>
      </c>
      <c r="E471" t="s">
        <v>823</v>
      </c>
      <c r="F471" t="s">
        <v>388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f t="shared" si="7"/>
        <v>7</v>
      </c>
      <c r="O471" t="str">
        <f>IF(AND($A471=Dashboard!$B$3,$B471=Dashboard!$G$3,$D471&lt;&gt;"NO_SERVICE"),ROW(),"")</f>
        <v/>
      </c>
    </row>
    <row r="472" spans="1:15" x14ac:dyDescent="0.25">
      <c r="A472" t="s">
        <v>4</v>
      </c>
      <c r="B472" t="s">
        <v>124</v>
      </c>
      <c r="C472" t="s">
        <v>816</v>
      </c>
      <c r="D472" t="s">
        <v>24</v>
      </c>
      <c r="E472" t="s">
        <v>824</v>
      </c>
      <c r="F472" t="s">
        <v>96</v>
      </c>
      <c r="G472">
        <v>0</v>
      </c>
      <c r="H472">
        <v>0</v>
      </c>
      <c r="I472">
        <v>1</v>
      </c>
      <c r="J472">
        <v>1</v>
      </c>
      <c r="K472">
        <v>1</v>
      </c>
      <c r="L472">
        <v>1</v>
      </c>
      <c r="M472">
        <v>1</v>
      </c>
      <c r="N472">
        <f t="shared" si="7"/>
        <v>5</v>
      </c>
      <c r="O472" t="str">
        <f>IF(AND($A472=Dashboard!$B$3,$B472=Dashboard!$G$3,$D472&lt;&gt;"NO_SERVICE"),ROW(),"")</f>
        <v/>
      </c>
    </row>
    <row r="473" spans="1:15" x14ac:dyDescent="0.25">
      <c r="A473" t="s">
        <v>4</v>
      </c>
      <c r="B473" t="s">
        <v>124</v>
      </c>
      <c r="C473" t="s">
        <v>816</v>
      </c>
      <c r="D473" t="s">
        <v>21</v>
      </c>
      <c r="E473" t="s">
        <v>825</v>
      </c>
      <c r="F473" t="s">
        <v>676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f t="shared" si="7"/>
        <v>7</v>
      </c>
      <c r="O473" t="str">
        <f>IF(AND($A473=Dashboard!$B$3,$B473=Dashboard!$G$3,$D473&lt;&gt;"NO_SERVICE"),ROW(),"")</f>
        <v/>
      </c>
    </row>
    <row r="474" spans="1:15" x14ac:dyDescent="0.25">
      <c r="A474" t="s">
        <v>4</v>
      </c>
      <c r="B474" t="s">
        <v>124</v>
      </c>
      <c r="C474" t="s">
        <v>816</v>
      </c>
      <c r="D474" t="s">
        <v>21</v>
      </c>
      <c r="E474" t="s">
        <v>826</v>
      </c>
      <c r="F474" t="s">
        <v>534</v>
      </c>
      <c r="G474">
        <v>0</v>
      </c>
      <c r="H474">
        <v>0</v>
      </c>
      <c r="I474">
        <v>1</v>
      </c>
      <c r="J474">
        <v>1</v>
      </c>
      <c r="K474">
        <v>1</v>
      </c>
      <c r="L474">
        <v>1</v>
      </c>
      <c r="M474">
        <v>1</v>
      </c>
      <c r="N474">
        <f t="shared" si="7"/>
        <v>5</v>
      </c>
      <c r="O474" t="str">
        <f>IF(AND($A474=Dashboard!$B$3,$B474=Dashboard!$G$3,$D474&lt;&gt;"NO_SERVICE"),ROW(),"")</f>
        <v/>
      </c>
    </row>
    <row r="475" spans="1:15" x14ac:dyDescent="0.25">
      <c r="A475" t="s">
        <v>4</v>
      </c>
      <c r="B475" t="s">
        <v>124</v>
      </c>
      <c r="C475" t="s">
        <v>816</v>
      </c>
      <c r="D475" t="s">
        <v>21</v>
      </c>
      <c r="E475" t="s">
        <v>827</v>
      </c>
      <c r="F475" t="s">
        <v>252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f t="shared" si="7"/>
        <v>7</v>
      </c>
      <c r="O475" t="str">
        <f>IF(AND($A475=Dashboard!$B$3,$B475=Dashboard!$G$3,$D475&lt;&gt;"NO_SERVICE"),ROW(),"")</f>
        <v/>
      </c>
    </row>
    <row r="476" spans="1:15" x14ac:dyDescent="0.25">
      <c r="A476" t="s">
        <v>4</v>
      </c>
      <c r="B476" t="s">
        <v>124</v>
      </c>
      <c r="C476" t="s">
        <v>816</v>
      </c>
      <c r="D476" t="s">
        <v>21</v>
      </c>
      <c r="E476" t="s">
        <v>828</v>
      </c>
      <c r="F476" t="s">
        <v>76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f t="shared" si="7"/>
        <v>7</v>
      </c>
      <c r="O476" t="str">
        <f>IF(AND($A476=Dashboard!$B$3,$B476=Dashboard!$G$3,$D476&lt;&gt;"NO_SERVICE"),ROW(),"")</f>
        <v/>
      </c>
    </row>
    <row r="477" spans="1:15" x14ac:dyDescent="0.25">
      <c r="A477" t="s">
        <v>4</v>
      </c>
      <c r="B477" t="s">
        <v>124</v>
      </c>
      <c r="C477" t="s">
        <v>816</v>
      </c>
      <c r="D477" t="s">
        <v>29</v>
      </c>
      <c r="E477" t="s">
        <v>829</v>
      </c>
      <c r="F477" t="s">
        <v>830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f t="shared" si="7"/>
        <v>7</v>
      </c>
      <c r="O477" t="str">
        <f>IF(AND($A477=Dashboard!$B$3,$B477=Dashboard!$G$3,$D477&lt;&gt;"NO_SERVICE"),ROW(),"")</f>
        <v/>
      </c>
    </row>
    <row r="478" spans="1:15" x14ac:dyDescent="0.25">
      <c r="A478" t="s">
        <v>4</v>
      </c>
      <c r="B478" t="s">
        <v>124</v>
      </c>
      <c r="C478" t="s">
        <v>816</v>
      </c>
      <c r="D478" t="s">
        <v>29</v>
      </c>
      <c r="E478" t="s">
        <v>831</v>
      </c>
      <c r="F478" t="s">
        <v>832</v>
      </c>
      <c r="G478">
        <v>0</v>
      </c>
      <c r="H478">
        <v>0</v>
      </c>
      <c r="I478">
        <v>1</v>
      </c>
      <c r="J478">
        <v>1</v>
      </c>
      <c r="K478">
        <v>1</v>
      </c>
      <c r="L478">
        <v>1</v>
      </c>
      <c r="M478">
        <v>1</v>
      </c>
      <c r="N478">
        <f t="shared" si="7"/>
        <v>5</v>
      </c>
      <c r="O478" t="str">
        <f>IF(AND($A478=Dashboard!$B$3,$B478=Dashboard!$G$3,$D478&lt;&gt;"NO_SERVICE"),ROW(),"")</f>
        <v/>
      </c>
    </row>
    <row r="479" spans="1:15" x14ac:dyDescent="0.25">
      <c r="A479" t="s">
        <v>4</v>
      </c>
      <c r="B479" t="s">
        <v>124</v>
      </c>
      <c r="C479" t="s">
        <v>816</v>
      </c>
      <c r="D479" t="s">
        <v>29</v>
      </c>
      <c r="E479" t="s">
        <v>833</v>
      </c>
      <c r="F479" t="s">
        <v>76</v>
      </c>
      <c r="G479">
        <v>0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f t="shared" si="7"/>
        <v>6</v>
      </c>
      <c r="O479" t="str">
        <f>IF(AND($A479=Dashboard!$B$3,$B479=Dashboard!$G$3,$D479&lt;&gt;"NO_SERVICE"),ROW(),"")</f>
        <v/>
      </c>
    </row>
    <row r="480" spans="1:15" x14ac:dyDescent="0.25">
      <c r="A480" t="s">
        <v>4</v>
      </c>
      <c r="B480" t="s">
        <v>124</v>
      </c>
      <c r="C480" t="s">
        <v>816</v>
      </c>
      <c r="D480" t="s">
        <v>21</v>
      </c>
      <c r="E480" t="s">
        <v>834</v>
      </c>
      <c r="F480" t="s">
        <v>676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f t="shared" si="7"/>
        <v>7</v>
      </c>
      <c r="O480" t="str">
        <f>IF(AND($A480=Dashboard!$B$3,$B480=Dashboard!$G$3,$D480&lt;&gt;"NO_SERVICE"),ROW(),"")</f>
        <v/>
      </c>
    </row>
    <row r="481" spans="1:15" x14ac:dyDescent="0.25">
      <c r="A481" t="s">
        <v>4</v>
      </c>
      <c r="B481" t="s">
        <v>124</v>
      </c>
      <c r="C481" t="s">
        <v>816</v>
      </c>
      <c r="D481" t="s">
        <v>21</v>
      </c>
      <c r="E481" t="s">
        <v>835</v>
      </c>
      <c r="F481" t="s">
        <v>836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f t="shared" si="7"/>
        <v>7</v>
      </c>
      <c r="O481" t="str">
        <f>IF(AND($A481=Dashboard!$B$3,$B481=Dashboard!$G$3,$D481&lt;&gt;"NO_SERVICE"),ROW(),"")</f>
        <v/>
      </c>
    </row>
    <row r="482" spans="1:15" x14ac:dyDescent="0.25">
      <c r="A482" t="s">
        <v>4</v>
      </c>
      <c r="B482" t="s">
        <v>124</v>
      </c>
      <c r="C482" t="s">
        <v>816</v>
      </c>
      <c r="D482" t="s">
        <v>21</v>
      </c>
      <c r="E482" t="s">
        <v>837</v>
      </c>
      <c r="F482" t="s">
        <v>678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f t="shared" si="7"/>
        <v>7</v>
      </c>
      <c r="O482" t="str">
        <f>IF(AND($A482=Dashboard!$B$3,$B482=Dashboard!$G$3,$D482&lt;&gt;"NO_SERVICE"),ROW(),"")</f>
        <v/>
      </c>
    </row>
    <row r="483" spans="1:15" x14ac:dyDescent="0.25">
      <c r="A483" t="s">
        <v>4</v>
      </c>
      <c r="B483" t="s">
        <v>128</v>
      </c>
      <c r="C483" t="s">
        <v>838</v>
      </c>
      <c r="D483" t="s">
        <v>24</v>
      </c>
      <c r="E483" t="s">
        <v>839</v>
      </c>
      <c r="F483" t="s">
        <v>307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f t="shared" si="7"/>
        <v>7</v>
      </c>
      <c r="O483" t="str">
        <f>IF(AND($A483=Dashboard!$B$3,$B483=Dashboard!$G$3,$D483&lt;&gt;"NO_SERVICE"),ROW(),"")</f>
        <v/>
      </c>
    </row>
    <row r="484" spans="1:15" x14ac:dyDescent="0.25">
      <c r="A484" t="s">
        <v>4</v>
      </c>
      <c r="B484" t="s">
        <v>128</v>
      </c>
      <c r="C484" t="s">
        <v>838</v>
      </c>
      <c r="D484" t="s">
        <v>24</v>
      </c>
      <c r="E484" t="s">
        <v>840</v>
      </c>
      <c r="F484" t="s">
        <v>772</v>
      </c>
      <c r="G484">
        <v>0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f t="shared" si="7"/>
        <v>6</v>
      </c>
      <c r="O484" t="str">
        <f>IF(AND($A484=Dashboard!$B$3,$B484=Dashboard!$G$3,$D484&lt;&gt;"NO_SERVICE"),ROW(),"")</f>
        <v/>
      </c>
    </row>
    <row r="485" spans="1:15" x14ac:dyDescent="0.25">
      <c r="A485" t="s">
        <v>4</v>
      </c>
      <c r="B485" t="s">
        <v>128</v>
      </c>
      <c r="C485" t="s">
        <v>838</v>
      </c>
      <c r="D485" t="s">
        <v>24</v>
      </c>
      <c r="E485" t="s">
        <v>841</v>
      </c>
      <c r="F485" t="s">
        <v>396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f t="shared" si="7"/>
        <v>7</v>
      </c>
      <c r="O485" t="str">
        <f>IF(AND($A485=Dashboard!$B$3,$B485=Dashboard!$G$3,$D485&lt;&gt;"NO_SERVICE"),ROW(),"")</f>
        <v/>
      </c>
    </row>
    <row r="486" spans="1:15" x14ac:dyDescent="0.25">
      <c r="A486" t="s">
        <v>4</v>
      </c>
      <c r="B486" t="s">
        <v>128</v>
      </c>
      <c r="C486" t="s">
        <v>838</v>
      </c>
      <c r="D486" t="s">
        <v>24</v>
      </c>
      <c r="E486" t="s">
        <v>842</v>
      </c>
      <c r="F486" t="s">
        <v>60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f t="shared" si="7"/>
        <v>7</v>
      </c>
      <c r="O486" t="str">
        <f>IF(AND($A486=Dashboard!$B$3,$B486=Dashboard!$G$3,$D486&lt;&gt;"NO_SERVICE"),ROW(),"")</f>
        <v/>
      </c>
    </row>
    <row r="487" spans="1:15" x14ac:dyDescent="0.25">
      <c r="A487" t="s">
        <v>4</v>
      </c>
      <c r="B487" t="s">
        <v>128</v>
      </c>
      <c r="C487" t="s">
        <v>838</v>
      </c>
      <c r="D487" t="s">
        <v>24</v>
      </c>
      <c r="E487" t="s">
        <v>740</v>
      </c>
      <c r="F487" t="s">
        <v>221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f t="shared" si="7"/>
        <v>7</v>
      </c>
      <c r="O487" t="str">
        <f>IF(AND($A487=Dashboard!$B$3,$B487=Dashboard!$G$3,$D487&lt;&gt;"NO_SERVICE"),ROW(),"")</f>
        <v/>
      </c>
    </row>
    <row r="488" spans="1:15" x14ac:dyDescent="0.25">
      <c r="A488" t="s">
        <v>4</v>
      </c>
      <c r="B488" t="s">
        <v>128</v>
      </c>
      <c r="C488" t="s">
        <v>838</v>
      </c>
      <c r="D488" t="s">
        <v>29</v>
      </c>
      <c r="E488" t="s">
        <v>843</v>
      </c>
      <c r="F488" t="s">
        <v>119</v>
      </c>
      <c r="G488">
        <v>1</v>
      </c>
      <c r="H488">
        <v>1</v>
      </c>
      <c r="I488">
        <v>0</v>
      </c>
      <c r="J488">
        <v>1</v>
      </c>
      <c r="K488">
        <v>1</v>
      </c>
      <c r="L488">
        <v>1</v>
      </c>
      <c r="M488">
        <v>1</v>
      </c>
      <c r="N488">
        <f t="shared" si="7"/>
        <v>6</v>
      </c>
      <c r="O488" t="str">
        <f>IF(AND($A488=Dashboard!$B$3,$B488=Dashboard!$G$3,$D488&lt;&gt;"NO_SERVICE"),ROW(),"")</f>
        <v/>
      </c>
    </row>
    <row r="489" spans="1:15" x14ac:dyDescent="0.25">
      <c r="A489" t="s">
        <v>4</v>
      </c>
      <c r="B489" t="s">
        <v>128</v>
      </c>
      <c r="C489" t="s">
        <v>838</v>
      </c>
      <c r="D489" t="s">
        <v>21</v>
      </c>
      <c r="E489" t="s">
        <v>844</v>
      </c>
      <c r="F489" t="s">
        <v>56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f t="shared" si="7"/>
        <v>7</v>
      </c>
      <c r="O489" t="str">
        <f>IF(AND($A489=Dashboard!$B$3,$B489=Dashboard!$G$3,$D489&lt;&gt;"NO_SERVICE"),ROW(),"")</f>
        <v/>
      </c>
    </row>
    <row r="490" spans="1:15" x14ac:dyDescent="0.25">
      <c r="A490" t="s">
        <v>4</v>
      </c>
      <c r="B490" t="s">
        <v>128</v>
      </c>
      <c r="C490" t="s">
        <v>838</v>
      </c>
      <c r="D490" t="s">
        <v>21</v>
      </c>
      <c r="E490" t="s">
        <v>845</v>
      </c>
      <c r="F490" t="s">
        <v>846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f t="shared" si="7"/>
        <v>6</v>
      </c>
      <c r="O490" t="str">
        <f>IF(AND($A490=Dashboard!$B$3,$B490=Dashboard!$G$3,$D490&lt;&gt;"NO_SERVICE"),ROW(),"")</f>
        <v/>
      </c>
    </row>
    <row r="491" spans="1:15" x14ac:dyDescent="0.25">
      <c r="A491" t="s">
        <v>4</v>
      </c>
      <c r="B491" t="s">
        <v>132</v>
      </c>
      <c r="C491" t="s">
        <v>847</v>
      </c>
      <c r="D491" t="s">
        <v>24</v>
      </c>
      <c r="E491" t="s">
        <v>848</v>
      </c>
      <c r="F491" t="s">
        <v>72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f t="shared" si="7"/>
        <v>7</v>
      </c>
      <c r="O491" t="str">
        <f>IF(AND($A491=Dashboard!$B$3,$B491=Dashboard!$G$3,$D491&lt;&gt;"NO_SERVICE"),ROW(),"")</f>
        <v/>
      </c>
    </row>
    <row r="492" spans="1:15" x14ac:dyDescent="0.25">
      <c r="A492" t="s">
        <v>4</v>
      </c>
      <c r="B492" t="s">
        <v>132</v>
      </c>
      <c r="C492" t="s">
        <v>847</v>
      </c>
      <c r="D492" t="s">
        <v>21</v>
      </c>
      <c r="E492" t="s">
        <v>849</v>
      </c>
      <c r="F492" t="s">
        <v>215</v>
      </c>
      <c r="G492">
        <v>0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f t="shared" si="7"/>
        <v>6</v>
      </c>
      <c r="O492" t="str">
        <f>IF(AND($A492=Dashboard!$B$3,$B492=Dashboard!$G$3,$D492&lt;&gt;"NO_SERVICE"),ROW(),"")</f>
        <v/>
      </c>
    </row>
    <row r="493" spans="1:15" x14ac:dyDescent="0.25">
      <c r="A493" t="s">
        <v>4</v>
      </c>
      <c r="B493" t="s">
        <v>132</v>
      </c>
      <c r="C493" t="s">
        <v>847</v>
      </c>
      <c r="D493" t="s">
        <v>21</v>
      </c>
      <c r="E493" t="s">
        <v>850</v>
      </c>
      <c r="F493" t="s">
        <v>215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f t="shared" si="7"/>
        <v>1</v>
      </c>
      <c r="O493" t="str">
        <f>IF(AND($A493=Dashboard!$B$3,$B493=Dashboard!$G$3,$D493&lt;&gt;"NO_SERVICE"),ROW(),"")</f>
        <v/>
      </c>
    </row>
    <row r="494" spans="1:15" x14ac:dyDescent="0.25">
      <c r="A494" t="s">
        <v>4</v>
      </c>
      <c r="B494" t="s">
        <v>132</v>
      </c>
      <c r="C494" t="s">
        <v>847</v>
      </c>
      <c r="D494" t="s">
        <v>21</v>
      </c>
      <c r="E494" t="s">
        <v>851</v>
      </c>
      <c r="F494" t="s">
        <v>170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f t="shared" si="7"/>
        <v>1</v>
      </c>
      <c r="O494" t="str">
        <f>IF(AND($A494=Dashboard!$B$3,$B494=Dashboard!$G$3,$D494&lt;&gt;"NO_SERVICE"),ROW(),"")</f>
        <v/>
      </c>
    </row>
    <row r="495" spans="1:15" x14ac:dyDescent="0.25">
      <c r="A495" t="s">
        <v>4</v>
      </c>
      <c r="B495" t="s">
        <v>132</v>
      </c>
      <c r="C495" t="s">
        <v>847</v>
      </c>
      <c r="D495" t="s">
        <v>21</v>
      </c>
      <c r="E495" t="s">
        <v>852</v>
      </c>
      <c r="F495" t="s">
        <v>390</v>
      </c>
      <c r="G495">
        <v>0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f t="shared" si="7"/>
        <v>6</v>
      </c>
      <c r="O495" t="str">
        <f>IF(AND($A495=Dashboard!$B$3,$B495=Dashboard!$G$3,$D495&lt;&gt;"NO_SERVICE"),ROW(),"")</f>
        <v/>
      </c>
    </row>
    <row r="496" spans="1:15" x14ac:dyDescent="0.25">
      <c r="A496" t="s">
        <v>4</v>
      </c>
      <c r="B496" t="s">
        <v>132</v>
      </c>
      <c r="C496" t="s">
        <v>847</v>
      </c>
      <c r="D496" t="s">
        <v>21</v>
      </c>
      <c r="E496" t="s">
        <v>853</v>
      </c>
      <c r="F496" t="s">
        <v>390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f t="shared" si="7"/>
        <v>1</v>
      </c>
      <c r="O496" t="str">
        <f>IF(AND($A496=Dashboard!$B$3,$B496=Dashboard!$G$3,$D496&lt;&gt;"NO_SERVICE"),ROW(),"")</f>
        <v/>
      </c>
    </row>
    <row r="497" spans="1:15" x14ac:dyDescent="0.25">
      <c r="A497" t="s">
        <v>4</v>
      </c>
      <c r="B497" t="s">
        <v>132</v>
      </c>
      <c r="C497" t="s">
        <v>847</v>
      </c>
      <c r="D497" t="s">
        <v>21</v>
      </c>
      <c r="E497" t="s">
        <v>854</v>
      </c>
      <c r="F497" t="s">
        <v>855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f t="shared" si="7"/>
        <v>7</v>
      </c>
      <c r="O497" t="str">
        <f>IF(AND($A497=Dashboard!$B$3,$B497=Dashboard!$G$3,$D497&lt;&gt;"NO_SERVICE"),ROW(),"")</f>
        <v/>
      </c>
    </row>
    <row r="498" spans="1:15" x14ac:dyDescent="0.25">
      <c r="A498" t="s">
        <v>4</v>
      </c>
      <c r="B498" t="s">
        <v>134</v>
      </c>
      <c r="C498" t="s">
        <v>856</v>
      </c>
      <c r="D498" t="s">
        <v>24</v>
      </c>
      <c r="E498" t="s">
        <v>857</v>
      </c>
      <c r="F498" t="s">
        <v>637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0</v>
      </c>
      <c r="N498">
        <f t="shared" si="7"/>
        <v>6</v>
      </c>
      <c r="O498" t="str">
        <f>IF(AND($A498=Dashboard!$B$3,$B498=Dashboard!$G$3,$D498&lt;&gt;"NO_SERVICE"),ROW(),"")</f>
        <v/>
      </c>
    </row>
    <row r="499" spans="1:15" x14ac:dyDescent="0.25">
      <c r="A499" t="s">
        <v>4</v>
      </c>
      <c r="B499" t="s">
        <v>134</v>
      </c>
      <c r="C499" t="s">
        <v>856</v>
      </c>
      <c r="D499" t="s">
        <v>24</v>
      </c>
      <c r="E499" t="s">
        <v>858</v>
      </c>
      <c r="F499" t="s">
        <v>596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f t="shared" si="7"/>
        <v>7</v>
      </c>
      <c r="O499" t="str">
        <f>IF(AND($A499=Dashboard!$B$3,$B499=Dashboard!$G$3,$D499&lt;&gt;"NO_SERVICE"),ROW(),"")</f>
        <v/>
      </c>
    </row>
    <row r="500" spans="1:15" x14ac:dyDescent="0.25">
      <c r="A500" t="s">
        <v>4</v>
      </c>
      <c r="B500" t="s">
        <v>134</v>
      </c>
      <c r="C500" t="s">
        <v>856</v>
      </c>
      <c r="D500" t="s">
        <v>21</v>
      </c>
      <c r="E500" t="s">
        <v>859</v>
      </c>
      <c r="F500" t="s">
        <v>163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f t="shared" si="7"/>
        <v>7</v>
      </c>
      <c r="O500" t="str">
        <f>IF(AND($A500=Dashboard!$B$3,$B500=Dashboard!$G$3,$D500&lt;&gt;"NO_SERVICE"),ROW(),"")</f>
        <v/>
      </c>
    </row>
    <row r="501" spans="1:15" x14ac:dyDescent="0.25">
      <c r="A501" t="s">
        <v>4</v>
      </c>
      <c r="B501" t="s">
        <v>134</v>
      </c>
      <c r="C501" t="s">
        <v>856</v>
      </c>
      <c r="D501" t="s">
        <v>21</v>
      </c>
      <c r="E501" t="s">
        <v>860</v>
      </c>
      <c r="F501" t="s">
        <v>108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f t="shared" si="7"/>
        <v>7</v>
      </c>
      <c r="O501" t="str">
        <f>IF(AND($A501=Dashboard!$B$3,$B501=Dashboard!$G$3,$D501&lt;&gt;"NO_SERVICE"),ROW(),"")</f>
        <v/>
      </c>
    </row>
    <row r="502" spans="1:15" x14ac:dyDescent="0.25">
      <c r="A502" t="s">
        <v>4</v>
      </c>
      <c r="B502" t="s">
        <v>138</v>
      </c>
      <c r="C502" t="s">
        <v>861</v>
      </c>
      <c r="D502" t="s">
        <v>24</v>
      </c>
      <c r="E502" t="s">
        <v>862</v>
      </c>
      <c r="F502" t="s">
        <v>202</v>
      </c>
      <c r="G502">
        <v>1</v>
      </c>
      <c r="H502">
        <v>0</v>
      </c>
      <c r="I502">
        <v>1</v>
      </c>
      <c r="J502">
        <v>0</v>
      </c>
      <c r="K502">
        <v>1</v>
      </c>
      <c r="L502">
        <v>0</v>
      </c>
      <c r="M502">
        <v>1</v>
      </c>
      <c r="N502">
        <f t="shared" si="7"/>
        <v>4</v>
      </c>
      <c r="O502" t="str">
        <f>IF(AND($A502=Dashboard!$B$3,$B502=Dashboard!$G$3,$D502&lt;&gt;"NO_SERVICE"),ROW(),"")</f>
        <v/>
      </c>
    </row>
    <row r="503" spans="1:15" x14ac:dyDescent="0.25">
      <c r="A503" t="s">
        <v>4</v>
      </c>
      <c r="B503" t="s">
        <v>138</v>
      </c>
      <c r="C503" t="s">
        <v>861</v>
      </c>
      <c r="D503" t="s">
        <v>24</v>
      </c>
      <c r="E503" t="s">
        <v>863</v>
      </c>
      <c r="F503" t="s">
        <v>309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f t="shared" si="7"/>
        <v>7</v>
      </c>
      <c r="O503" t="str">
        <f>IF(AND($A503=Dashboard!$B$3,$B503=Dashboard!$G$3,$D503&lt;&gt;"NO_SERVICE"),ROW(),"")</f>
        <v/>
      </c>
    </row>
    <row r="504" spans="1:15" x14ac:dyDescent="0.25">
      <c r="A504" t="s">
        <v>4</v>
      </c>
      <c r="B504" t="s">
        <v>138</v>
      </c>
      <c r="C504" t="s">
        <v>861</v>
      </c>
      <c r="D504" t="s">
        <v>21</v>
      </c>
      <c r="E504" t="s">
        <v>864</v>
      </c>
      <c r="F504" t="s">
        <v>374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f t="shared" si="7"/>
        <v>7</v>
      </c>
      <c r="O504" t="str">
        <f>IF(AND($A504=Dashboard!$B$3,$B504=Dashboard!$G$3,$D504&lt;&gt;"NO_SERVICE"),ROW(),"")</f>
        <v/>
      </c>
    </row>
    <row r="505" spans="1:15" x14ac:dyDescent="0.25">
      <c r="A505" t="s">
        <v>4</v>
      </c>
      <c r="B505" t="s">
        <v>140</v>
      </c>
      <c r="C505" t="s">
        <v>865</v>
      </c>
      <c r="D505" t="s">
        <v>21</v>
      </c>
      <c r="E505" t="s">
        <v>866</v>
      </c>
      <c r="F505" t="s">
        <v>515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f t="shared" si="7"/>
        <v>7</v>
      </c>
      <c r="O505" t="str">
        <f>IF(AND($A505=Dashboard!$B$3,$B505=Dashboard!$G$3,$D505&lt;&gt;"NO_SERVICE"),ROW(),"")</f>
        <v/>
      </c>
    </row>
    <row r="506" spans="1:15" x14ac:dyDescent="0.25">
      <c r="A506" t="s">
        <v>4</v>
      </c>
      <c r="B506" t="s">
        <v>140</v>
      </c>
      <c r="C506" t="s">
        <v>865</v>
      </c>
      <c r="D506" t="s">
        <v>24</v>
      </c>
      <c r="E506" t="s">
        <v>867</v>
      </c>
      <c r="F506" t="s">
        <v>395</v>
      </c>
      <c r="G506">
        <v>1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1</v>
      </c>
      <c r="N506">
        <f t="shared" si="7"/>
        <v>3</v>
      </c>
      <c r="O506" t="str">
        <f>IF(AND($A506=Dashboard!$B$3,$B506=Dashboard!$G$3,$D506&lt;&gt;"NO_SERVICE"),ROW(),"")</f>
        <v/>
      </c>
    </row>
    <row r="507" spans="1:15" x14ac:dyDescent="0.25">
      <c r="A507" t="s">
        <v>4</v>
      </c>
      <c r="B507" t="s">
        <v>140</v>
      </c>
      <c r="C507" t="s">
        <v>865</v>
      </c>
      <c r="D507" t="s">
        <v>24</v>
      </c>
      <c r="E507" t="s">
        <v>868</v>
      </c>
      <c r="F507" t="s">
        <v>165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f t="shared" si="7"/>
        <v>7</v>
      </c>
      <c r="O507" t="str">
        <f>IF(AND($A507=Dashboard!$B$3,$B507=Dashboard!$G$3,$D507&lt;&gt;"NO_SERVICE"),ROW(),"")</f>
        <v/>
      </c>
    </row>
    <row r="508" spans="1:15" x14ac:dyDescent="0.25">
      <c r="A508" t="s">
        <v>4</v>
      </c>
      <c r="B508" t="s">
        <v>140</v>
      </c>
      <c r="C508" t="s">
        <v>865</v>
      </c>
      <c r="D508" t="s">
        <v>24</v>
      </c>
      <c r="E508" t="s">
        <v>869</v>
      </c>
      <c r="F508" t="s">
        <v>232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f t="shared" si="7"/>
        <v>7</v>
      </c>
      <c r="O508" t="str">
        <f>IF(AND($A508=Dashboard!$B$3,$B508=Dashboard!$G$3,$D508&lt;&gt;"NO_SERVICE"),ROW(),"")</f>
        <v/>
      </c>
    </row>
    <row r="509" spans="1:15" x14ac:dyDescent="0.25">
      <c r="A509" t="s">
        <v>4</v>
      </c>
      <c r="B509" t="s">
        <v>140</v>
      </c>
      <c r="C509" t="s">
        <v>865</v>
      </c>
      <c r="D509" t="s">
        <v>21</v>
      </c>
      <c r="E509" t="s">
        <v>870</v>
      </c>
      <c r="F509" t="s">
        <v>106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f t="shared" si="7"/>
        <v>7</v>
      </c>
      <c r="O509" t="str">
        <f>IF(AND($A509=Dashboard!$B$3,$B509=Dashboard!$G$3,$D509&lt;&gt;"NO_SERVICE"),ROW(),"")</f>
        <v/>
      </c>
    </row>
    <row r="510" spans="1:15" x14ac:dyDescent="0.25">
      <c r="A510" t="s">
        <v>4</v>
      </c>
      <c r="B510" t="s">
        <v>140</v>
      </c>
      <c r="C510" t="s">
        <v>865</v>
      </c>
      <c r="D510" t="s">
        <v>21</v>
      </c>
      <c r="E510" t="s">
        <v>871</v>
      </c>
      <c r="F510" t="s">
        <v>872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f t="shared" si="7"/>
        <v>7</v>
      </c>
      <c r="O510" t="str">
        <f>IF(AND($A510=Dashboard!$B$3,$B510=Dashboard!$G$3,$D510&lt;&gt;"NO_SERVICE"),ROW(),"")</f>
        <v/>
      </c>
    </row>
    <row r="511" spans="1:15" x14ac:dyDescent="0.25">
      <c r="A511" t="s">
        <v>4</v>
      </c>
      <c r="B511" t="s">
        <v>144</v>
      </c>
      <c r="C511" t="s">
        <v>873</v>
      </c>
      <c r="D511" t="s">
        <v>24</v>
      </c>
      <c r="E511" t="s">
        <v>874</v>
      </c>
      <c r="F511" t="s">
        <v>630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1</v>
      </c>
      <c r="M511">
        <v>1</v>
      </c>
      <c r="N511">
        <f t="shared" si="7"/>
        <v>3</v>
      </c>
      <c r="O511" t="str">
        <f>IF(AND($A511=Dashboard!$B$3,$B511=Dashboard!$G$3,$D511&lt;&gt;"NO_SERVICE"),ROW(),"")</f>
        <v/>
      </c>
    </row>
    <row r="512" spans="1:15" x14ac:dyDescent="0.25">
      <c r="A512" t="s">
        <v>4</v>
      </c>
      <c r="B512" t="s">
        <v>144</v>
      </c>
      <c r="C512" t="s">
        <v>873</v>
      </c>
      <c r="D512" t="s">
        <v>24</v>
      </c>
      <c r="E512" t="s">
        <v>875</v>
      </c>
      <c r="F512" t="s">
        <v>208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f t="shared" si="7"/>
        <v>7</v>
      </c>
      <c r="O512" t="str">
        <f>IF(AND($A512=Dashboard!$B$3,$B512=Dashboard!$G$3,$D512&lt;&gt;"NO_SERVICE"),ROW(),"")</f>
        <v/>
      </c>
    </row>
    <row r="513" spans="1:15" x14ac:dyDescent="0.25">
      <c r="A513" t="s">
        <v>4</v>
      </c>
      <c r="B513" t="s">
        <v>144</v>
      </c>
      <c r="C513" t="s">
        <v>873</v>
      </c>
      <c r="D513" t="s">
        <v>24</v>
      </c>
      <c r="E513" t="s">
        <v>876</v>
      </c>
      <c r="F513" t="s">
        <v>347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f t="shared" si="7"/>
        <v>7</v>
      </c>
      <c r="O513" t="str">
        <f>IF(AND($A513=Dashboard!$B$3,$B513=Dashboard!$G$3,$D513&lt;&gt;"NO_SERVICE"),ROW(),"")</f>
        <v/>
      </c>
    </row>
    <row r="514" spans="1:15" x14ac:dyDescent="0.25">
      <c r="A514" t="s">
        <v>4</v>
      </c>
      <c r="B514" t="s">
        <v>144</v>
      </c>
      <c r="C514" t="s">
        <v>873</v>
      </c>
      <c r="D514" t="s">
        <v>24</v>
      </c>
      <c r="E514" t="s">
        <v>877</v>
      </c>
      <c r="F514" t="s">
        <v>317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f t="shared" ref="N514:N577" si="8">SUM(G514:M514)</f>
        <v>7</v>
      </c>
      <c r="O514" t="str">
        <f>IF(AND($A514=Dashboard!$B$3,$B514=Dashboard!$G$3,$D514&lt;&gt;"NO_SERVICE"),ROW(),"")</f>
        <v/>
      </c>
    </row>
    <row r="515" spans="1:15" x14ac:dyDescent="0.25">
      <c r="A515" t="s">
        <v>4</v>
      </c>
      <c r="B515" t="s">
        <v>144</v>
      </c>
      <c r="C515" t="s">
        <v>873</v>
      </c>
      <c r="D515" t="s">
        <v>21</v>
      </c>
      <c r="E515" t="s">
        <v>878</v>
      </c>
      <c r="F515" t="s">
        <v>70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f t="shared" si="8"/>
        <v>7</v>
      </c>
      <c r="O515" t="str">
        <f>IF(AND($A515=Dashboard!$B$3,$B515=Dashboard!$G$3,$D515&lt;&gt;"NO_SERVICE"),ROW(),"")</f>
        <v/>
      </c>
    </row>
    <row r="516" spans="1:15" x14ac:dyDescent="0.25">
      <c r="A516" t="s">
        <v>4</v>
      </c>
      <c r="B516" t="s">
        <v>144</v>
      </c>
      <c r="C516" t="s">
        <v>873</v>
      </c>
      <c r="D516" t="s">
        <v>21</v>
      </c>
      <c r="E516" t="s">
        <v>879</v>
      </c>
      <c r="F516" t="s">
        <v>163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f t="shared" si="8"/>
        <v>7</v>
      </c>
      <c r="O516" t="str">
        <f>IF(AND($A516=Dashboard!$B$3,$B516=Dashboard!$G$3,$D516&lt;&gt;"NO_SERVICE"),ROW(),"")</f>
        <v/>
      </c>
    </row>
    <row r="517" spans="1:15" x14ac:dyDescent="0.25">
      <c r="A517" t="s">
        <v>4</v>
      </c>
      <c r="B517" t="s">
        <v>144</v>
      </c>
      <c r="C517" t="s">
        <v>873</v>
      </c>
      <c r="D517" t="s">
        <v>21</v>
      </c>
      <c r="E517" t="s">
        <v>880</v>
      </c>
      <c r="F517" t="s">
        <v>366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f t="shared" si="8"/>
        <v>7</v>
      </c>
      <c r="O517" t="str">
        <f>IF(AND($A517=Dashboard!$B$3,$B517=Dashboard!$G$3,$D517&lt;&gt;"NO_SERVICE"),ROW(),"")</f>
        <v/>
      </c>
    </row>
    <row r="518" spans="1:15" x14ac:dyDescent="0.25">
      <c r="A518" t="s">
        <v>4</v>
      </c>
      <c r="B518" t="s">
        <v>144</v>
      </c>
      <c r="C518" t="s">
        <v>873</v>
      </c>
      <c r="D518" t="s">
        <v>21</v>
      </c>
      <c r="E518" t="s">
        <v>881</v>
      </c>
      <c r="F518" t="s">
        <v>293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f t="shared" si="8"/>
        <v>7</v>
      </c>
      <c r="O518" t="str">
        <f>IF(AND($A518=Dashboard!$B$3,$B518=Dashboard!$G$3,$D518&lt;&gt;"NO_SERVICE"),ROW(),"")</f>
        <v/>
      </c>
    </row>
    <row r="519" spans="1:15" x14ac:dyDescent="0.25">
      <c r="A519" t="s">
        <v>4</v>
      </c>
      <c r="B519" t="s">
        <v>148</v>
      </c>
      <c r="C519" t="s">
        <v>882</v>
      </c>
      <c r="D519" t="s">
        <v>21</v>
      </c>
      <c r="E519" t="s">
        <v>883</v>
      </c>
      <c r="F519" t="s">
        <v>689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f t="shared" si="8"/>
        <v>7</v>
      </c>
      <c r="O519" t="str">
        <f>IF(AND($A519=Dashboard!$B$3,$B519=Dashboard!$G$3,$D519&lt;&gt;"NO_SERVICE"),ROW(),"")</f>
        <v/>
      </c>
    </row>
    <row r="520" spans="1:15" x14ac:dyDescent="0.25">
      <c r="A520" t="s">
        <v>4</v>
      </c>
      <c r="B520" t="s">
        <v>148</v>
      </c>
      <c r="C520" t="s">
        <v>882</v>
      </c>
      <c r="D520" t="s">
        <v>21</v>
      </c>
      <c r="E520" t="s">
        <v>884</v>
      </c>
      <c r="F520" t="s">
        <v>168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f t="shared" si="8"/>
        <v>7</v>
      </c>
      <c r="O520" t="str">
        <f>IF(AND($A520=Dashboard!$B$3,$B520=Dashboard!$G$3,$D520&lt;&gt;"NO_SERVICE"),ROW(),"")</f>
        <v/>
      </c>
    </row>
    <row r="521" spans="1:15" x14ac:dyDescent="0.25">
      <c r="A521" t="s">
        <v>4</v>
      </c>
      <c r="B521" t="s">
        <v>148</v>
      </c>
      <c r="C521" t="s">
        <v>882</v>
      </c>
      <c r="D521" t="s">
        <v>21</v>
      </c>
      <c r="E521" t="s">
        <v>885</v>
      </c>
      <c r="F521" t="s">
        <v>356</v>
      </c>
      <c r="G521">
        <v>0</v>
      </c>
      <c r="H521">
        <v>0</v>
      </c>
      <c r="I521">
        <v>1</v>
      </c>
      <c r="J521">
        <v>0</v>
      </c>
      <c r="K521">
        <v>1</v>
      </c>
      <c r="L521">
        <v>0</v>
      </c>
      <c r="M521">
        <v>0</v>
      </c>
      <c r="N521">
        <f t="shared" si="8"/>
        <v>2</v>
      </c>
      <c r="O521" t="str">
        <f>IF(AND($A521=Dashboard!$B$3,$B521=Dashboard!$G$3,$D521&lt;&gt;"NO_SERVICE"),ROW(),"")</f>
        <v/>
      </c>
    </row>
    <row r="522" spans="1:15" x14ac:dyDescent="0.25">
      <c r="A522" t="s">
        <v>4</v>
      </c>
      <c r="B522" t="s">
        <v>148</v>
      </c>
      <c r="C522" t="s">
        <v>882</v>
      </c>
      <c r="D522" t="s">
        <v>21</v>
      </c>
      <c r="E522" t="s">
        <v>886</v>
      </c>
      <c r="F522" t="s">
        <v>772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f t="shared" si="8"/>
        <v>7</v>
      </c>
      <c r="O522" t="str">
        <f>IF(AND($A522=Dashboard!$B$3,$B522=Dashboard!$G$3,$D522&lt;&gt;"NO_SERVICE"),ROW(),"")</f>
        <v/>
      </c>
    </row>
    <row r="523" spans="1:15" x14ac:dyDescent="0.25">
      <c r="A523" t="s">
        <v>4</v>
      </c>
      <c r="B523" t="s">
        <v>148</v>
      </c>
      <c r="C523" t="s">
        <v>882</v>
      </c>
      <c r="D523" t="s">
        <v>29</v>
      </c>
      <c r="E523" t="s">
        <v>887</v>
      </c>
      <c r="F523" t="s">
        <v>716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f t="shared" si="8"/>
        <v>7</v>
      </c>
      <c r="O523" t="str">
        <f>IF(AND($A523=Dashboard!$B$3,$B523=Dashboard!$G$3,$D523&lt;&gt;"NO_SERVICE"),ROW(),"")</f>
        <v/>
      </c>
    </row>
    <row r="524" spans="1:15" x14ac:dyDescent="0.25">
      <c r="A524" t="s">
        <v>4</v>
      </c>
      <c r="B524" t="s">
        <v>148</v>
      </c>
      <c r="C524" t="s">
        <v>882</v>
      </c>
      <c r="D524" t="s">
        <v>29</v>
      </c>
      <c r="E524" t="s">
        <v>888</v>
      </c>
      <c r="F524" t="s">
        <v>326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f t="shared" si="8"/>
        <v>7</v>
      </c>
      <c r="O524" t="str">
        <f>IF(AND($A524=Dashboard!$B$3,$B524=Dashboard!$G$3,$D524&lt;&gt;"NO_SERVICE"),ROW(),"")</f>
        <v/>
      </c>
    </row>
    <row r="525" spans="1:15" x14ac:dyDescent="0.25">
      <c r="A525" t="s">
        <v>4</v>
      </c>
      <c r="B525" t="s">
        <v>148</v>
      </c>
      <c r="C525" t="s">
        <v>882</v>
      </c>
      <c r="D525" t="s">
        <v>29</v>
      </c>
      <c r="E525" t="s">
        <v>889</v>
      </c>
      <c r="F525" t="s">
        <v>890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f t="shared" si="8"/>
        <v>7</v>
      </c>
      <c r="O525" t="str">
        <f>IF(AND($A525=Dashboard!$B$3,$B525=Dashboard!$G$3,$D525&lt;&gt;"NO_SERVICE"),ROW(),"")</f>
        <v/>
      </c>
    </row>
    <row r="526" spans="1:15" x14ac:dyDescent="0.25">
      <c r="A526" t="s">
        <v>4</v>
      </c>
      <c r="B526" t="s">
        <v>148</v>
      </c>
      <c r="C526" t="s">
        <v>882</v>
      </c>
      <c r="D526" t="s">
        <v>29</v>
      </c>
      <c r="E526" t="s">
        <v>891</v>
      </c>
      <c r="F526" t="s">
        <v>208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f t="shared" si="8"/>
        <v>7</v>
      </c>
      <c r="O526" t="str">
        <f>IF(AND($A526=Dashboard!$B$3,$B526=Dashboard!$G$3,$D526&lt;&gt;"NO_SERVICE"),ROW(),"")</f>
        <v/>
      </c>
    </row>
    <row r="527" spans="1:15" x14ac:dyDescent="0.25">
      <c r="A527" t="s">
        <v>4</v>
      </c>
      <c r="B527" t="s">
        <v>148</v>
      </c>
      <c r="C527" t="s">
        <v>882</v>
      </c>
      <c r="D527" t="s">
        <v>24</v>
      </c>
      <c r="E527" t="s">
        <v>892</v>
      </c>
      <c r="F527" t="s">
        <v>199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f t="shared" si="8"/>
        <v>7</v>
      </c>
      <c r="O527" t="str">
        <f>IF(AND($A527=Dashboard!$B$3,$B527=Dashboard!$G$3,$D527&lt;&gt;"NO_SERVICE"),ROW(),"")</f>
        <v/>
      </c>
    </row>
    <row r="528" spans="1:15" x14ac:dyDescent="0.25">
      <c r="A528" t="s">
        <v>4</v>
      </c>
      <c r="B528" t="s">
        <v>148</v>
      </c>
      <c r="C528" t="s">
        <v>882</v>
      </c>
      <c r="D528" t="s">
        <v>24</v>
      </c>
      <c r="E528" t="s">
        <v>893</v>
      </c>
      <c r="F528" t="s">
        <v>366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f t="shared" si="8"/>
        <v>7</v>
      </c>
      <c r="O528" t="str">
        <f>IF(AND($A528=Dashboard!$B$3,$B528=Dashboard!$G$3,$D528&lt;&gt;"NO_SERVICE"),ROW(),"")</f>
        <v/>
      </c>
    </row>
    <row r="529" spans="1:15" x14ac:dyDescent="0.25">
      <c r="A529" t="s">
        <v>4</v>
      </c>
      <c r="B529" t="s">
        <v>148</v>
      </c>
      <c r="C529" t="s">
        <v>882</v>
      </c>
      <c r="D529" t="s">
        <v>24</v>
      </c>
      <c r="E529" t="s">
        <v>894</v>
      </c>
      <c r="F529" t="s">
        <v>260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f t="shared" si="8"/>
        <v>7</v>
      </c>
      <c r="O529" t="str">
        <f>IF(AND($A529=Dashboard!$B$3,$B529=Dashboard!$G$3,$D529&lt;&gt;"NO_SERVICE"),ROW(),"")</f>
        <v/>
      </c>
    </row>
    <row r="530" spans="1:15" x14ac:dyDescent="0.25">
      <c r="A530" t="s">
        <v>4</v>
      </c>
      <c r="B530" t="s">
        <v>148</v>
      </c>
      <c r="C530" t="s">
        <v>882</v>
      </c>
      <c r="D530" t="s">
        <v>24</v>
      </c>
      <c r="E530" t="s">
        <v>895</v>
      </c>
      <c r="F530" t="s">
        <v>484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f t="shared" si="8"/>
        <v>7</v>
      </c>
      <c r="O530" t="str">
        <f>IF(AND($A530=Dashboard!$B$3,$B530=Dashboard!$G$3,$D530&lt;&gt;"NO_SERVICE"),ROW(),"")</f>
        <v/>
      </c>
    </row>
    <row r="531" spans="1:15" x14ac:dyDescent="0.25">
      <c r="A531" t="s">
        <v>4</v>
      </c>
      <c r="B531" t="s">
        <v>148</v>
      </c>
      <c r="C531" t="s">
        <v>882</v>
      </c>
      <c r="D531" t="s">
        <v>24</v>
      </c>
      <c r="E531" t="s">
        <v>896</v>
      </c>
      <c r="F531" t="s">
        <v>76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f t="shared" si="8"/>
        <v>7</v>
      </c>
      <c r="O531" t="str">
        <f>IF(AND($A531=Dashboard!$B$3,$B531=Dashboard!$G$3,$D531&lt;&gt;"NO_SERVICE"),ROW(),"")</f>
        <v/>
      </c>
    </row>
    <row r="532" spans="1:15" x14ac:dyDescent="0.25">
      <c r="A532" t="s">
        <v>4</v>
      </c>
      <c r="B532" t="s">
        <v>148</v>
      </c>
      <c r="C532" t="s">
        <v>882</v>
      </c>
      <c r="D532" t="s">
        <v>24</v>
      </c>
      <c r="E532" t="s">
        <v>897</v>
      </c>
      <c r="F532" t="s">
        <v>235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f t="shared" si="8"/>
        <v>7</v>
      </c>
      <c r="O532" t="str">
        <f>IF(AND($A532=Dashboard!$B$3,$B532=Dashboard!$G$3,$D532&lt;&gt;"NO_SERVICE"),ROW(),"")</f>
        <v/>
      </c>
    </row>
    <row r="533" spans="1:15" x14ac:dyDescent="0.25">
      <c r="A533" t="s">
        <v>4</v>
      </c>
      <c r="B533" t="s">
        <v>150</v>
      </c>
      <c r="C533" t="s">
        <v>898</v>
      </c>
      <c r="D533" t="s">
        <v>21</v>
      </c>
      <c r="E533" t="s">
        <v>899</v>
      </c>
      <c r="F533" t="s">
        <v>464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f t="shared" si="8"/>
        <v>7</v>
      </c>
      <c r="O533" t="str">
        <f>IF(AND($A533=Dashboard!$B$3,$B533=Dashboard!$G$3,$D533&lt;&gt;"NO_SERVICE"),ROW(),"")</f>
        <v/>
      </c>
    </row>
    <row r="534" spans="1:15" x14ac:dyDescent="0.25">
      <c r="A534" t="s">
        <v>4</v>
      </c>
      <c r="B534" t="s">
        <v>150</v>
      </c>
      <c r="C534" t="s">
        <v>898</v>
      </c>
      <c r="D534" t="s">
        <v>21</v>
      </c>
      <c r="E534" t="s">
        <v>900</v>
      </c>
      <c r="F534" t="s">
        <v>182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f t="shared" si="8"/>
        <v>7</v>
      </c>
      <c r="O534" t="str">
        <f>IF(AND($A534=Dashboard!$B$3,$B534=Dashboard!$G$3,$D534&lt;&gt;"NO_SERVICE"),ROW(),"")</f>
        <v/>
      </c>
    </row>
    <row r="535" spans="1:15" x14ac:dyDescent="0.25">
      <c r="A535" t="s">
        <v>4</v>
      </c>
      <c r="B535" t="s">
        <v>150</v>
      </c>
      <c r="C535" t="s">
        <v>898</v>
      </c>
      <c r="D535" t="s">
        <v>24</v>
      </c>
      <c r="E535" t="s">
        <v>901</v>
      </c>
      <c r="F535" t="s">
        <v>157</v>
      </c>
      <c r="G535">
        <v>0</v>
      </c>
      <c r="H535">
        <v>1</v>
      </c>
      <c r="I535">
        <v>0</v>
      </c>
      <c r="J535">
        <v>1</v>
      </c>
      <c r="K535">
        <v>0</v>
      </c>
      <c r="L535">
        <v>1</v>
      </c>
      <c r="M535">
        <v>0</v>
      </c>
      <c r="N535">
        <f t="shared" si="8"/>
        <v>3</v>
      </c>
      <c r="O535" t="str">
        <f>IF(AND($A535=Dashboard!$B$3,$B535=Dashboard!$G$3,$D535&lt;&gt;"NO_SERVICE"),ROW(),"")</f>
        <v/>
      </c>
    </row>
    <row r="536" spans="1:15" x14ac:dyDescent="0.25">
      <c r="A536" t="s">
        <v>4</v>
      </c>
      <c r="B536" t="s">
        <v>152</v>
      </c>
      <c r="C536" t="s">
        <v>902</v>
      </c>
      <c r="D536" t="s">
        <v>24</v>
      </c>
      <c r="E536" t="s">
        <v>903</v>
      </c>
      <c r="F536" t="s">
        <v>364</v>
      </c>
      <c r="G536">
        <v>1</v>
      </c>
      <c r="H536">
        <v>0</v>
      </c>
      <c r="I536">
        <v>1</v>
      </c>
      <c r="J536">
        <v>0</v>
      </c>
      <c r="K536">
        <v>1</v>
      </c>
      <c r="L536">
        <v>0</v>
      </c>
      <c r="M536">
        <v>1</v>
      </c>
      <c r="N536">
        <f t="shared" si="8"/>
        <v>4</v>
      </c>
      <c r="O536" t="str">
        <f>IF(AND($A536=Dashboard!$B$3,$B536=Dashboard!$G$3,$D536&lt;&gt;"NO_SERVICE"),ROW(),"")</f>
        <v/>
      </c>
    </row>
    <row r="537" spans="1:15" x14ac:dyDescent="0.25">
      <c r="A537" t="s">
        <v>904</v>
      </c>
      <c r="B537" t="s">
        <v>46</v>
      </c>
      <c r="C537" t="s">
        <v>905</v>
      </c>
      <c r="D537" t="s">
        <v>24</v>
      </c>
      <c r="E537" t="s">
        <v>906</v>
      </c>
      <c r="F537" t="s">
        <v>422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f t="shared" si="8"/>
        <v>7</v>
      </c>
      <c r="O537" t="str">
        <f>IF(AND($A537=Dashboard!$B$3,$B537=Dashboard!$G$3,$D537&lt;&gt;"NO_SERVICE"),ROW(),"")</f>
        <v/>
      </c>
    </row>
    <row r="538" spans="1:15" x14ac:dyDescent="0.25">
      <c r="A538" t="s">
        <v>904</v>
      </c>
      <c r="B538" t="s">
        <v>46</v>
      </c>
      <c r="C538" t="s">
        <v>905</v>
      </c>
      <c r="D538" t="s">
        <v>24</v>
      </c>
      <c r="E538" t="s">
        <v>907</v>
      </c>
      <c r="F538" t="s">
        <v>908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f t="shared" si="8"/>
        <v>7</v>
      </c>
      <c r="O538" t="str">
        <f>IF(AND($A538=Dashboard!$B$3,$B538=Dashboard!$G$3,$D538&lt;&gt;"NO_SERVICE"),ROW(),"")</f>
        <v/>
      </c>
    </row>
    <row r="539" spans="1:15" x14ac:dyDescent="0.25">
      <c r="A539" t="s">
        <v>904</v>
      </c>
      <c r="B539" t="s">
        <v>46</v>
      </c>
      <c r="C539" t="s">
        <v>905</v>
      </c>
      <c r="D539" t="s">
        <v>24</v>
      </c>
      <c r="E539" t="s">
        <v>909</v>
      </c>
      <c r="F539" t="s">
        <v>184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f t="shared" si="8"/>
        <v>7</v>
      </c>
      <c r="O539" t="str">
        <f>IF(AND($A539=Dashboard!$B$3,$B539=Dashboard!$G$3,$D539&lt;&gt;"NO_SERVICE"),ROW(),"")</f>
        <v/>
      </c>
    </row>
    <row r="540" spans="1:15" x14ac:dyDescent="0.25">
      <c r="A540" t="s">
        <v>904</v>
      </c>
      <c r="B540" t="s">
        <v>50</v>
      </c>
      <c r="C540" t="s">
        <v>910</v>
      </c>
      <c r="D540" t="s">
        <v>24</v>
      </c>
      <c r="E540" t="s">
        <v>911</v>
      </c>
      <c r="F540" t="s">
        <v>307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f t="shared" si="8"/>
        <v>7</v>
      </c>
      <c r="O540" t="str">
        <f>IF(AND($A540=Dashboard!$B$3,$B540=Dashboard!$G$3,$D540&lt;&gt;"NO_SERVICE"),ROW(),"")</f>
        <v/>
      </c>
    </row>
    <row r="541" spans="1:15" x14ac:dyDescent="0.25">
      <c r="A541" t="s">
        <v>904</v>
      </c>
      <c r="B541" t="s">
        <v>50</v>
      </c>
      <c r="C541" t="s">
        <v>910</v>
      </c>
      <c r="D541" t="s">
        <v>24</v>
      </c>
      <c r="E541" t="s">
        <v>912</v>
      </c>
      <c r="F541" t="s">
        <v>430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f t="shared" si="8"/>
        <v>7</v>
      </c>
      <c r="O541" t="str">
        <f>IF(AND($A541=Dashboard!$B$3,$B541=Dashboard!$G$3,$D541&lt;&gt;"NO_SERVICE"),ROW(),"")</f>
        <v/>
      </c>
    </row>
    <row r="542" spans="1:15" x14ac:dyDescent="0.25">
      <c r="A542" t="s">
        <v>904</v>
      </c>
      <c r="B542" t="s">
        <v>50</v>
      </c>
      <c r="C542" t="s">
        <v>910</v>
      </c>
      <c r="D542" t="s">
        <v>24</v>
      </c>
      <c r="E542" t="s">
        <v>913</v>
      </c>
      <c r="F542" t="s">
        <v>806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f t="shared" si="8"/>
        <v>7</v>
      </c>
      <c r="O542" t="str">
        <f>IF(AND($A542=Dashboard!$B$3,$B542=Dashboard!$G$3,$D542&lt;&gt;"NO_SERVICE"),ROW(),"")</f>
        <v/>
      </c>
    </row>
    <row r="543" spans="1:15" x14ac:dyDescent="0.25">
      <c r="A543" t="s">
        <v>904</v>
      </c>
      <c r="B543" t="s">
        <v>50</v>
      </c>
      <c r="C543" t="s">
        <v>910</v>
      </c>
      <c r="D543" t="s">
        <v>24</v>
      </c>
      <c r="E543" t="s">
        <v>914</v>
      </c>
      <c r="F543" t="s">
        <v>685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f t="shared" si="8"/>
        <v>7</v>
      </c>
      <c r="O543" t="str">
        <f>IF(AND($A543=Dashboard!$B$3,$B543=Dashboard!$G$3,$D543&lt;&gt;"NO_SERVICE"),ROW(),"")</f>
        <v/>
      </c>
    </row>
    <row r="544" spans="1:15" x14ac:dyDescent="0.25">
      <c r="A544" t="s">
        <v>904</v>
      </c>
      <c r="B544" t="s">
        <v>53</v>
      </c>
      <c r="C544" t="s">
        <v>915</v>
      </c>
      <c r="D544" t="s">
        <v>24</v>
      </c>
      <c r="E544" t="s">
        <v>916</v>
      </c>
      <c r="F544" t="s">
        <v>307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f t="shared" si="8"/>
        <v>7</v>
      </c>
      <c r="O544" t="str">
        <f>IF(AND($A544=Dashboard!$B$3,$B544=Dashboard!$G$3,$D544&lt;&gt;"NO_SERVICE"),ROW(),"")</f>
        <v/>
      </c>
    </row>
    <row r="545" spans="1:15" x14ac:dyDescent="0.25">
      <c r="A545" t="s">
        <v>904</v>
      </c>
      <c r="B545" t="s">
        <v>53</v>
      </c>
      <c r="C545" t="s">
        <v>915</v>
      </c>
      <c r="D545" t="s">
        <v>24</v>
      </c>
      <c r="E545" t="s">
        <v>917</v>
      </c>
      <c r="F545" t="s">
        <v>382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f t="shared" si="8"/>
        <v>7</v>
      </c>
      <c r="O545" t="str">
        <f>IF(AND($A545=Dashboard!$B$3,$B545=Dashboard!$G$3,$D545&lt;&gt;"NO_SERVICE"),ROW(),"")</f>
        <v/>
      </c>
    </row>
    <row r="546" spans="1:15" x14ac:dyDescent="0.25">
      <c r="A546" t="s">
        <v>904</v>
      </c>
      <c r="B546" t="s">
        <v>53</v>
      </c>
      <c r="C546" t="s">
        <v>915</v>
      </c>
      <c r="D546" t="s">
        <v>24</v>
      </c>
      <c r="E546" t="s">
        <v>918</v>
      </c>
      <c r="F546" t="s">
        <v>178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f t="shared" si="8"/>
        <v>1</v>
      </c>
      <c r="O546" t="str">
        <f>IF(AND($A546=Dashboard!$B$3,$B546=Dashboard!$G$3,$D546&lt;&gt;"NO_SERVICE"),ROW(),"")</f>
        <v/>
      </c>
    </row>
    <row r="547" spans="1:15" x14ac:dyDescent="0.25">
      <c r="A547" t="s">
        <v>904</v>
      </c>
      <c r="B547" t="s">
        <v>53</v>
      </c>
      <c r="C547" t="s">
        <v>915</v>
      </c>
      <c r="D547" t="s">
        <v>24</v>
      </c>
      <c r="E547" t="s">
        <v>919</v>
      </c>
      <c r="F547" t="s">
        <v>398</v>
      </c>
      <c r="G547">
        <v>1</v>
      </c>
      <c r="H547">
        <v>0</v>
      </c>
      <c r="I547">
        <v>1</v>
      </c>
      <c r="J547">
        <v>1</v>
      </c>
      <c r="K547">
        <v>1</v>
      </c>
      <c r="L547">
        <v>1</v>
      </c>
      <c r="M547">
        <v>1</v>
      </c>
      <c r="N547">
        <f t="shared" si="8"/>
        <v>6</v>
      </c>
      <c r="O547" t="str">
        <f>IF(AND($A547=Dashboard!$B$3,$B547=Dashboard!$G$3,$D547&lt;&gt;"NO_SERVICE"),ROW(),"")</f>
        <v/>
      </c>
    </row>
    <row r="548" spans="1:15" x14ac:dyDescent="0.25">
      <c r="A548" t="s">
        <v>904</v>
      </c>
      <c r="B548" t="s">
        <v>53</v>
      </c>
      <c r="C548" t="s">
        <v>915</v>
      </c>
      <c r="D548" t="s">
        <v>24</v>
      </c>
      <c r="E548" t="s">
        <v>920</v>
      </c>
      <c r="F548" t="s">
        <v>580</v>
      </c>
      <c r="G548">
        <v>1</v>
      </c>
      <c r="H548">
        <v>0</v>
      </c>
      <c r="I548">
        <v>1</v>
      </c>
      <c r="J548">
        <v>0</v>
      </c>
      <c r="K548">
        <v>1</v>
      </c>
      <c r="L548">
        <v>1</v>
      </c>
      <c r="M548">
        <v>1</v>
      </c>
      <c r="N548">
        <f t="shared" si="8"/>
        <v>5</v>
      </c>
      <c r="O548" t="str">
        <f>IF(AND($A548=Dashboard!$B$3,$B548=Dashboard!$G$3,$D548&lt;&gt;"NO_SERVICE"),ROW(),"")</f>
        <v/>
      </c>
    </row>
    <row r="549" spans="1:15" x14ac:dyDescent="0.25">
      <c r="A549" t="s">
        <v>904</v>
      </c>
      <c r="B549" t="s">
        <v>57</v>
      </c>
      <c r="C549" t="s">
        <v>921</v>
      </c>
      <c r="D549" t="s">
        <v>24</v>
      </c>
      <c r="E549" t="s">
        <v>922</v>
      </c>
      <c r="F549" t="s">
        <v>396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f t="shared" si="8"/>
        <v>7</v>
      </c>
      <c r="O549" t="str">
        <f>IF(AND($A549=Dashboard!$B$3,$B549=Dashboard!$G$3,$D549&lt;&gt;"NO_SERVICE"),ROW(),"")</f>
        <v/>
      </c>
    </row>
    <row r="550" spans="1:15" x14ac:dyDescent="0.25">
      <c r="A550" t="s">
        <v>904</v>
      </c>
      <c r="B550" t="s">
        <v>57</v>
      </c>
      <c r="C550" t="s">
        <v>921</v>
      </c>
      <c r="D550" t="s">
        <v>24</v>
      </c>
      <c r="E550" t="s">
        <v>923</v>
      </c>
      <c r="F550" t="s">
        <v>537</v>
      </c>
      <c r="G550">
        <v>1</v>
      </c>
      <c r="H550">
        <v>0</v>
      </c>
      <c r="I550">
        <v>1</v>
      </c>
      <c r="J550">
        <v>0</v>
      </c>
      <c r="K550">
        <v>1</v>
      </c>
      <c r="L550">
        <v>0</v>
      </c>
      <c r="M550">
        <v>1</v>
      </c>
      <c r="N550">
        <f t="shared" si="8"/>
        <v>4</v>
      </c>
      <c r="O550" t="str">
        <f>IF(AND($A550=Dashboard!$B$3,$B550=Dashboard!$G$3,$D550&lt;&gt;"NO_SERVICE"),ROW(),"")</f>
        <v/>
      </c>
    </row>
    <row r="551" spans="1:15" x14ac:dyDescent="0.25">
      <c r="A551" t="s">
        <v>904</v>
      </c>
      <c r="B551" t="s">
        <v>57</v>
      </c>
      <c r="C551" t="s">
        <v>921</v>
      </c>
      <c r="D551" t="s">
        <v>24</v>
      </c>
      <c r="E551" t="s">
        <v>924</v>
      </c>
      <c r="F551" t="s">
        <v>221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f t="shared" si="8"/>
        <v>7</v>
      </c>
      <c r="O551" t="str">
        <f>IF(AND($A551=Dashboard!$B$3,$B551=Dashboard!$G$3,$D551&lt;&gt;"NO_SERVICE"),ROW(),"")</f>
        <v/>
      </c>
    </row>
    <row r="552" spans="1:15" x14ac:dyDescent="0.25">
      <c r="A552" t="s">
        <v>904</v>
      </c>
      <c r="B552" t="s">
        <v>57</v>
      </c>
      <c r="C552" t="s">
        <v>921</v>
      </c>
      <c r="D552" t="s">
        <v>24</v>
      </c>
      <c r="E552" t="s">
        <v>925</v>
      </c>
      <c r="F552" t="s">
        <v>693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f t="shared" si="8"/>
        <v>7</v>
      </c>
      <c r="O552" t="str">
        <f>IF(AND($A552=Dashboard!$B$3,$B552=Dashboard!$G$3,$D552&lt;&gt;"NO_SERVICE"),ROW(),"")</f>
        <v/>
      </c>
    </row>
    <row r="553" spans="1:15" x14ac:dyDescent="0.25">
      <c r="A553" t="s">
        <v>904</v>
      </c>
      <c r="B553" t="s">
        <v>63</v>
      </c>
      <c r="C553" t="s">
        <v>926</v>
      </c>
      <c r="D553" t="s">
        <v>24</v>
      </c>
      <c r="E553" t="s">
        <v>927</v>
      </c>
      <c r="F553" t="s">
        <v>199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f t="shared" si="8"/>
        <v>7</v>
      </c>
      <c r="O553" t="str">
        <f>IF(AND($A553=Dashboard!$B$3,$B553=Dashboard!$G$3,$D553&lt;&gt;"NO_SERVICE"),ROW(),"")</f>
        <v/>
      </c>
    </row>
    <row r="554" spans="1:15" x14ac:dyDescent="0.25">
      <c r="A554" t="s">
        <v>904</v>
      </c>
      <c r="B554" t="s">
        <v>63</v>
      </c>
      <c r="C554" t="s">
        <v>926</v>
      </c>
      <c r="D554" t="s">
        <v>24</v>
      </c>
      <c r="E554" t="s">
        <v>928</v>
      </c>
      <c r="F554" t="s">
        <v>426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f t="shared" si="8"/>
        <v>7</v>
      </c>
      <c r="O554" t="str">
        <f>IF(AND($A554=Dashboard!$B$3,$B554=Dashboard!$G$3,$D554&lt;&gt;"NO_SERVICE"),ROW(),"")</f>
        <v/>
      </c>
    </row>
    <row r="555" spans="1:15" x14ac:dyDescent="0.25">
      <c r="A555" t="s">
        <v>904</v>
      </c>
      <c r="B555" t="s">
        <v>67</v>
      </c>
      <c r="C555" t="s">
        <v>929</v>
      </c>
      <c r="D555" t="s">
        <v>24</v>
      </c>
      <c r="E555" t="s">
        <v>930</v>
      </c>
      <c r="F555" t="s">
        <v>931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f t="shared" si="8"/>
        <v>7</v>
      </c>
      <c r="O555" t="str">
        <f>IF(AND($A555=Dashboard!$B$3,$B555=Dashboard!$G$3,$D555&lt;&gt;"NO_SERVICE"),ROW(),"")</f>
        <v/>
      </c>
    </row>
    <row r="556" spans="1:15" x14ac:dyDescent="0.25">
      <c r="A556" t="s">
        <v>904</v>
      </c>
      <c r="B556" t="s">
        <v>67</v>
      </c>
      <c r="C556" t="s">
        <v>929</v>
      </c>
      <c r="D556" t="s">
        <v>24</v>
      </c>
      <c r="E556" t="s">
        <v>932</v>
      </c>
      <c r="F556" t="s">
        <v>295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f t="shared" si="8"/>
        <v>7</v>
      </c>
      <c r="O556" t="str">
        <f>IF(AND($A556=Dashboard!$B$3,$B556=Dashboard!$G$3,$D556&lt;&gt;"NO_SERVICE"),ROW(),"")</f>
        <v/>
      </c>
    </row>
    <row r="557" spans="1:15" x14ac:dyDescent="0.25">
      <c r="A557" t="s">
        <v>904</v>
      </c>
      <c r="B557" t="s">
        <v>73</v>
      </c>
      <c r="C557" t="s">
        <v>933</v>
      </c>
      <c r="D557" t="s">
        <v>24</v>
      </c>
      <c r="E557" t="s">
        <v>934</v>
      </c>
      <c r="F557" t="s">
        <v>94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f t="shared" si="8"/>
        <v>7</v>
      </c>
      <c r="O557" t="str">
        <f>IF(AND($A557=Dashboard!$B$3,$B557=Dashboard!$G$3,$D557&lt;&gt;"NO_SERVICE"),ROW(),"")</f>
        <v/>
      </c>
    </row>
    <row r="558" spans="1:15" x14ac:dyDescent="0.25">
      <c r="A558" t="s">
        <v>904</v>
      </c>
      <c r="B558" t="s">
        <v>73</v>
      </c>
      <c r="C558" t="s">
        <v>933</v>
      </c>
      <c r="D558" t="s">
        <v>21</v>
      </c>
      <c r="E558" t="s">
        <v>935</v>
      </c>
      <c r="F558" t="s">
        <v>872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f t="shared" si="8"/>
        <v>7</v>
      </c>
      <c r="O558" t="str">
        <f>IF(AND($A558=Dashboard!$B$3,$B558=Dashboard!$G$3,$D558&lt;&gt;"NO_SERVICE"),ROW(),"")</f>
        <v/>
      </c>
    </row>
    <row r="559" spans="1:15" x14ac:dyDescent="0.25">
      <c r="A559" t="s">
        <v>904</v>
      </c>
      <c r="B559" t="s">
        <v>79</v>
      </c>
      <c r="C559" t="s">
        <v>936</v>
      </c>
      <c r="D559" t="s">
        <v>24</v>
      </c>
      <c r="E559" t="s">
        <v>937</v>
      </c>
      <c r="F559" t="s">
        <v>165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f t="shared" si="8"/>
        <v>7</v>
      </c>
      <c r="O559" t="str">
        <f>IF(AND($A559=Dashboard!$B$3,$B559=Dashboard!$G$3,$D559&lt;&gt;"NO_SERVICE"),ROW(),"")</f>
        <v/>
      </c>
    </row>
    <row r="560" spans="1:15" x14ac:dyDescent="0.25">
      <c r="A560" t="s">
        <v>904</v>
      </c>
      <c r="B560" t="s">
        <v>83</v>
      </c>
      <c r="C560" t="s">
        <v>938</v>
      </c>
      <c r="D560" t="s">
        <v>24</v>
      </c>
      <c r="E560" t="s">
        <v>939</v>
      </c>
      <c r="F560" t="s">
        <v>319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f t="shared" si="8"/>
        <v>7</v>
      </c>
      <c r="O560" t="str">
        <f>IF(AND($A560=Dashboard!$B$3,$B560=Dashboard!$G$3,$D560&lt;&gt;"NO_SERVICE"),ROW(),"")</f>
        <v/>
      </c>
    </row>
    <row r="561" spans="1:15" x14ac:dyDescent="0.25">
      <c r="A561" t="s">
        <v>904</v>
      </c>
      <c r="B561" t="s">
        <v>83</v>
      </c>
      <c r="C561" t="s">
        <v>938</v>
      </c>
      <c r="D561" t="s">
        <v>24</v>
      </c>
      <c r="E561" t="s">
        <v>940</v>
      </c>
      <c r="F561" t="s">
        <v>237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f t="shared" si="8"/>
        <v>7</v>
      </c>
      <c r="O561" t="str">
        <f>IF(AND($A561=Dashboard!$B$3,$B561=Dashboard!$G$3,$D561&lt;&gt;"NO_SERVICE"),ROW(),"")</f>
        <v/>
      </c>
    </row>
    <row r="562" spans="1:15" x14ac:dyDescent="0.25">
      <c r="A562" t="s">
        <v>904</v>
      </c>
      <c r="B562" t="s">
        <v>83</v>
      </c>
      <c r="C562" t="s">
        <v>938</v>
      </c>
      <c r="D562" t="s">
        <v>24</v>
      </c>
      <c r="E562" t="s">
        <v>941</v>
      </c>
      <c r="F562" t="s">
        <v>62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f t="shared" si="8"/>
        <v>7</v>
      </c>
      <c r="O562" t="str">
        <f>IF(AND($A562=Dashboard!$B$3,$B562=Dashboard!$G$3,$D562&lt;&gt;"NO_SERVICE"),ROW(),"")</f>
        <v/>
      </c>
    </row>
    <row r="563" spans="1:15" x14ac:dyDescent="0.25">
      <c r="A563" t="s">
        <v>904</v>
      </c>
      <c r="B563" t="s">
        <v>81</v>
      </c>
      <c r="C563" t="s">
        <v>942</v>
      </c>
      <c r="D563" t="s">
        <v>52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f t="shared" si="8"/>
        <v>0</v>
      </c>
      <c r="O563" t="str">
        <f>IF(AND($A563=Dashboard!$B$3,$B563=Dashboard!$G$3,$D563&lt;&gt;"NO_SERVICE"),ROW(),"")</f>
        <v/>
      </c>
    </row>
    <row r="564" spans="1:15" x14ac:dyDescent="0.25">
      <c r="A564" t="s">
        <v>904</v>
      </c>
      <c r="B564" t="s">
        <v>91</v>
      </c>
      <c r="C564" t="s">
        <v>943</v>
      </c>
      <c r="D564" t="s">
        <v>24</v>
      </c>
      <c r="E564" t="s">
        <v>944</v>
      </c>
      <c r="F564" t="s">
        <v>488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f t="shared" si="8"/>
        <v>7</v>
      </c>
      <c r="O564" t="str">
        <f>IF(AND($A564=Dashboard!$B$3,$B564=Dashboard!$G$3,$D564&lt;&gt;"NO_SERVICE"),ROW(),"")</f>
        <v/>
      </c>
    </row>
    <row r="565" spans="1:15" x14ac:dyDescent="0.25">
      <c r="A565" t="s">
        <v>904</v>
      </c>
      <c r="B565" t="s">
        <v>91</v>
      </c>
      <c r="C565" t="s">
        <v>943</v>
      </c>
      <c r="D565" t="s">
        <v>24</v>
      </c>
      <c r="E565" t="s">
        <v>945</v>
      </c>
      <c r="F565" t="s">
        <v>589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f t="shared" si="8"/>
        <v>7</v>
      </c>
      <c r="O565" t="str">
        <f>IF(AND($A565=Dashboard!$B$3,$B565=Dashboard!$G$3,$D565&lt;&gt;"NO_SERVICE"),ROW(),"")</f>
        <v/>
      </c>
    </row>
    <row r="566" spans="1:15" x14ac:dyDescent="0.25">
      <c r="A566" t="s">
        <v>904</v>
      </c>
      <c r="B566" t="s">
        <v>97</v>
      </c>
      <c r="C566" t="s">
        <v>946</v>
      </c>
      <c r="D566" t="s">
        <v>24</v>
      </c>
      <c r="E566" t="s">
        <v>947</v>
      </c>
      <c r="F566" t="s">
        <v>746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f t="shared" si="8"/>
        <v>7</v>
      </c>
      <c r="O566" t="str">
        <f>IF(AND($A566=Dashboard!$B$3,$B566=Dashboard!$G$3,$D566&lt;&gt;"NO_SERVICE"),ROW(),"")</f>
        <v/>
      </c>
    </row>
    <row r="567" spans="1:15" x14ac:dyDescent="0.25">
      <c r="A567" t="s">
        <v>904</v>
      </c>
      <c r="B567" t="s">
        <v>97</v>
      </c>
      <c r="C567" t="s">
        <v>946</v>
      </c>
      <c r="D567" t="s">
        <v>24</v>
      </c>
      <c r="E567" t="s">
        <v>948</v>
      </c>
      <c r="F567" t="s">
        <v>949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f t="shared" si="8"/>
        <v>7</v>
      </c>
      <c r="O567" t="str">
        <f>IF(AND($A567=Dashboard!$B$3,$B567=Dashboard!$G$3,$D567&lt;&gt;"NO_SERVICE"),ROW(),"")</f>
        <v/>
      </c>
    </row>
    <row r="568" spans="1:15" x14ac:dyDescent="0.25">
      <c r="A568" t="s">
        <v>904</v>
      </c>
      <c r="B568" t="s">
        <v>103</v>
      </c>
      <c r="C568" t="s">
        <v>950</v>
      </c>
      <c r="D568" t="s">
        <v>24</v>
      </c>
      <c r="E568" t="s">
        <v>951</v>
      </c>
      <c r="F568" t="s">
        <v>464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f t="shared" si="8"/>
        <v>7</v>
      </c>
      <c r="O568" t="str">
        <f>IF(AND($A568=Dashboard!$B$3,$B568=Dashboard!$G$3,$D568&lt;&gt;"NO_SERVICE"),ROW(),"")</f>
        <v/>
      </c>
    </row>
    <row r="569" spans="1:15" x14ac:dyDescent="0.25">
      <c r="A569" t="s">
        <v>904</v>
      </c>
      <c r="B569" t="s">
        <v>103</v>
      </c>
      <c r="C569" t="s">
        <v>950</v>
      </c>
      <c r="D569" t="s">
        <v>24</v>
      </c>
      <c r="E569" t="s">
        <v>952</v>
      </c>
      <c r="F569" t="s">
        <v>953</v>
      </c>
      <c r="G569">
        <v>1</v>
      </c>
      <c r="H569">
        <v>0</v>
      </c>
      <c r="I569">
        <v>1</v>
      </c>
      <c r="J569">
        <v>0</v>
      </c>
      <c r="K569">
        <v>1</v>
      </c>
      <c r="L569">
        <v>0</v>
      </c>
      <c r="M569">
        <v>1</v>
      </c>
      <c r="N569">
        <f t="shared" si="8"/>
        <v>4</v>
      </c>
      <c r="O569" t="str">
        <f>IF(AND($A569=Dashboard!$B$3,$B569=Dashboard!$G$3,$D569&lt;&gt;"NO_SERVICE"),ROW(),"")</f>
        <v/>
      </c>
    </row>
    <row r="570" spans="1:15" x14ac:dyDescent="0.25">
      <c r="A570" t="s">
        <v>904</v>
      </c>
      <c r="B570" t="s">
        <v>103</v>
      </c>
      <c r="C570" t="s">
        <v>950</v>
      </c>
      <c r="D570" t="s">
        <v>24</v>
      </c>
      <c r="E570" t="s">
        <v>954</v>
      </c>
      <c r="F570" t="s">
        <v>335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f t="shared" si="8"/>
        <v>7</v>
      </c>
      <c r="O570" t="str">
        <f>IF(AND($A570=Dashboard!$B$3,$B570=Dashboard!$G$3,$D570&lt;&gt;"NO_SERVICE"),ROW(),"")</f>
        <v/>
      </c>
    </row>
    <row r="571" spans="1:15" x14ac:dyDescent="0.25">
      <c r="A571" t="s">
        <v>904</v>
      </c>
      <c r="B571" t="s">
        <v>103</v>
      </c>
      <c r="C571" t="s">
        <v>950</v>
      </c>
      <c r="D571" t="s">
        <v>24</v>
      </c>
      <c r="E571" t="s">
        <v>955</v>
      </c>
      <c r="F571" t="s">
        <v>655</v>
      </c>
      <c r="G571">
        <v>1</v>
      </c>
      <c r="H571">
        <v>0</v>
      </c>
      <c r="I571">
        <v>1</v>
      </c>
      <c r="J571">
        <v>0</v>
      </c>
      <c r="K571">
        <v>1</v>
      </c>
      <c r="L571">
        <v>0</v>
      </c>
      <c r="M571">
        <v>1</v>
      </c>
      <c r="N571">
        <f t="shared" si="8"/>
        <v>4</v>
      </c>
      <c r="O571" t="str">
        <f>IF(AND($A571=Dashboard!$B$3,$B571=Dashboard!$G$3,$D571&lt;&gt;"NO_SERVICE"),ROW(),"")</f>
        <v/>
      </c>
    </row>
    <row r="572" spans="1:15" x14ac:dyDescent="0.25">
      <c r="A572" t="s">
        <v>904</v>
      </c>
      <c r="B572" t="s">
        <v>109</v>
      </c>
      <c r="C572" t="s">
        <v>956</v>
      </c>
      <c r="D572" t="s">
        <v>24</v>
      </c>
      <c r="E572" t="s">
        <v>957</v>
      </c>
      <c r="F572" t="s">
        <v>476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f t="shared" si="8"/>
        <v>7</v>
      </c>
      <c r="O572" t="str">
        <f>IF(AND($A572=Dashboard!$B$3,$B572=Dashboard!$G$3,$D572&lt;&gt;"NO_SERVICE"),ROW(),"")</f>
        <v/>
      </c>
    </row>
    <row r="573" spans="1:15" x14ac:dyDescent="0.25">
      <c r="A573" t="s">
        <v>904</v>
      </c>
      <c r="B573" t="s">
        <v>109</v>
      </c>
      <c r="C573" t="s">
        <v>956</v>
      </c>
      <c r="D573" t="s">
        <v>24</v>
      </c>
      <c r="E573" t="s">
        <v>958</v>
      </c>
      <c r="F573" t="s">
        <v>419</v>
      </c>
      <c r="G573">
        <v>1</v>
      </c>
      <c r="H573">
        <v>0</v>
      </c>
      <c r="I573">
        <v>1</v>
      </c>
      <c r="J573">
        <v>0</v>
      </c>
      <c r="K573">
        <v>1</v>
      </c>
      <c r="L573">
        <v>0</v>
      </c>
      <c r="M573">
        <v>1</v>
      </c>
      <c r="N573">
        <f t="shared" si="8"/>
        <v>4</v>
      </c>
      <c r="O573" t="str">
        <f>IF(AND($A573=Dashboard!$B$3,$B573=Dashboard!$G$3,$D573&lt;&gt;"NO_SERVICE"),ROW(),"")</f>
        <v/>
      </c>
    </row>
    <row r="574" spans="1:15" x14ac:dyDescent="0.25">
      <c r="A574" t="s">
        <v>904</v>
      </c>
      <c r="B574" t="s">
        <v>113</v>
      </c>
      <c r="C574" t="s">
        <v>959</v>
      </c>
      <c r="D574" t="s">
        <v>24</v>
      </c>
      <c r="E574" t="s">
        <v>960</v>
      </c>
      <c r="F574" t="s">
        <v>339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f t="shared" si="8"/>
        <v>7</v>
      </c>
      <c r="O574" t="str">
        <f>IF(AND($A574=Dashboard!$B$3,$B574=Dashboard!$G$3,$D574&lt;&gt;"NO_SERVICE"),ROW(),"")</f>
        <v/>
      </c>
    </row>
    <row r="575" spans="1:15" x14ac:dyDescent="0.25">
      <c r="A575" t="s">
        <v>904</v>
      </c>
      <c r="B575" t="s">
        <v>113</v>
      </c>
      <c r="C575" t="s">
        <v>959</v>
      </c>
      <c r="D575" t="s">
        <v>24</v>
      </c>
      <c r="E575" t="s">
        <v>961</v>
      </c>
      <c r="F575" t="s">
        <v>260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f t="shared" si="8"/>
        <v>7</v>
      </c>
      <c r="O575" t="str">
        <f>IF(AND($A575=Dashboard!$B$3,$B575=Dashboard!$G$3,$D575&lt;&gt;"NO_SERVICE"),ROW(),"")</f>
        <v/>
      </c>
    </row>
    <row r="576" spans="1:15" x14ac:dyDescent="0.25">
      <c r="A576" t="s">
        <v>904</v>
      </c>
      <c r="B576" t="s">
        <v>113</v>
      </c>
      <c r="C576" t="s">
        <v>959</v>
      </c>
      <c r="D576" t="s">
        <v>24</v>
      </c>
      <c r="E576" t="s">
        <v>962</v>
      </c>
      <c r="F576" t="s">
        <v>293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f t="shared" si="8"/>
        <v>7</v>
      </c>
      <c r="O576" t="str">
        <f>IF(AND($A576=Dashboard!$B$3,$B576=Dashboard!$G$3,$D576&lt;&gt;"NO_SERVICE"),ROW(),"")</f>
        <v/>
      </c>
    </row>
    <row r="577" spans="1:15" x14ac:dyDescent="0.25">
      <c r="A577" t="s">
        <v>904</v>
      </c>
      <c r="B577" t="s">
        <v>116</v>
      </c>
      <c r="C577" t="s">
        <v>963</v>
      </c>
      <c r="D577" t="s">
        <v>24</v>
      </c>
      <c r="E577" t="s">
        <v>964</v>
      </c>
      <c r="F577" t="s">
        <v>528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f t="shared" si="8"/>
        <v>7</v>
      </c>
      <c r="O577" t="str">
        <f>IF(AND($A577=Dashboard!$B$3,$B577=Dashboard!$G$3,$D577&lt;&gt;"NO_SERVICE"),ROW(),"")</f>
        <v/>
      </c>
    </row>
    <row r="578" spans="1:15" x14ac:dyDescent="0.25">
      <c r="A578" t="s">
        <v>904</v>
      </c>
      <c r="B578" t="s">
        <v>116</v>
      </c>
      <c r="C578" t="s">
        <v>963</v>
      </c>
      <c r="D578" t="s">
        <v>24</v>
      </c>
      <c r="E578" t="s">
        <v>965</v>
      </c>
      <c r="F578" t="s">
        <v>693</v>
      </c>
      <c r="G578">
        <v>0</v>
      </c>
      <c r="H578">
        <v>0</v>
      </c>
      <c r="I578">
        <v>1</v>
      </c>
      <c r="J578">
        <v>0</v>
      </c>
      <c r="K578">
        <v>1</v>
      </c>
      <c r="L578">
        <v>0</v>
      </c>
      <c r="M578">
        <v>1</v>
      </c>
      <c r="N578">
        <f t="shared" ref="N578:N641" si="9">SUM(G578:M578)</f>
        <v>3</v>
      </c>
      <c r="O578" t="str">
        <f>IF(AND($A578=Dashboard!$B$3,$B578=Dashboard!$G$3,$D578&lt;&gt;"NO_SERVICE"),ROW(),"")</f>
        <v/>
      </c>
    </row>
    <row r="579" spans="1:15" x14ac:dyDescent="0.25">
      <c r="A579" t="s">
        <v>904</v>
      </c>
      <c r="B579" t="s">
        <v>122</v>
      </c>
      <c r="C579" t="s">
        <v>966</v>
      </c>
      <c r="D579" t="s">
        <v>24</v>
      </c>
      <c r="E579" t="s">
        <v>967</v>
      </c>
      <c r="F579" t="s">
        <v>356</v>
      </c>
      <c r="G579">
        <v>1</v>
      </c>
      <c r="H579">
        <v>0</v>
      </c>
      <c r="I579">
        <v>1</v>
      </c>
      <c r="J579">
        <v>0</v>
      </c>
      <c r="K579">
        <v>1</v>
      </c>
      <c r="L579">
        <v>0</v>
      </c>
      <c r="M579">
        <v>1</v>
      </c>
      <c r="N579">
        <f t="shared" si="9"/>
        <v>4</v>
      </c>
      <c r="O579" t="str">
        <f>IF(AND($A579=Dashboard!$B$3,$B579=Dashboard!$G$3,$D579&lt;&gt;"NO_SERVICE"),ROW(),"")</f>
        <v/>
      </c>
    </row>
    <row r="580" spans="1:15" x14ac:dyDescent="0.25">
      <c r="A580" t="s">
        <v>904</v>
      </c>
      <c r="B580" t="s">
        <v>124</v>
      </c>
      <c r="C580" t="s">
        <v>968</v>
      </c>
      <c r="D580" t="s">
        <v>24</v>
      </c>
      <c r="E580" t="s">
        <v>969</v>
      </c>
      <c r="F580" t="s">
        <v>633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1</v>
      </c>
      <c r="M580">
        <v>1</v>
      </c>
      <c r="N580">
        <f t="shared" si="9"/>
        <v>3</v>
      </c>
      <c r="O580" t="str">
        <f>IF(AND($A580=Dashboard!$B$3,$B580=Dashboard!$G$3,$D580&lt;&gt;"NO_SERVICE"),ROW(),"")</f>
        <v/>
      </c>
    </row>
    <row r="581" spans="1:15" x14ac:dyDescent="0.25">
      <c r="A581" t="s">
        <v>904</v>
      </c>
      <c r="B581" t="s">
        <v>128</v>
      </c>
      <c r="C581" t="s">
        <v>970</v>
      </c>
      <c r="D581" t="s">
        <v>52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f t="shared" si="9"/>
        <v>0</v>
      </c>
      <c r="O581" t="str">
        <f>IF(AND($A581=Dashboard!$B$3,$B581=Dashboard!$G$3,$D581&lt;&gt;"NO_SERVICE"),ROW(),"")</f>
        <v/>
      </c>
    </row>
    <row r="582" spans="1:15" x14ac:dyDescent="0.25">
      <c r="A582" t="s">
        <v>904</v>
      </c>
      <c r="B582" t="s">
        <v>132</v>
      </c>
      <c r="C582" t="s">
        <v>971</v>
      </c>
      <c r="D582" t="s">
        <v>24</v>
      </c>
      <c r="E582" t="s">
        <v>972</v>
      </c>
      <c r="F582" t="s">
        <v>326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f t="shared" si="9"/>
        <v>7</v>
      </c>
      <c r="O582" t="str">
        <f>IF(AND($A582=Dashboard!$B$3,$B582=Dashboard!$G$3,$D582&lt;&gt;"NO_SERVICE"),ROW(),"")</f>
        <v/>
      </c>
    </row>
    <row r="583" spans="1:15" x14ac:dyDescent="0.25">
      <c r="A583" t="s">
        <v>904</v>
      </c>
      <c r="B583" t="s">
        <v>132</v>
      </c>
      <c r="C583" t="s">
        <v>971</v>
      </c>
      <c r="D583" t="s">
        <v>24</v>
      </c>
      <c r="E583" t="s">
        <v>973</v>
      </c>
      <c r="F583" t="s">
        <v>974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f t="shared" si="9"/>
        <v>7</v>
      </c>
      <c r="O583" t="str">
        <f>IF(AND($A583=Dashboard!$B$3,$B583=Dashboard!$G$3,$D583&lt;&gt;"NO_SERVICE"),ROW(),"")</f>
        <v/>
      </c>
    </row>
    <row r="584" spans="1:15" x14ac:dyDescent="0.25">
      <c r="A584" t="s">
        <v>904</v>
      </c>
      <c r="B584" t="s">
        <v>134</v>
      </c>
      <c r="C584" t="s">
        <v>975</v>
      </c>
      <c r="D584" t="s">
        <v>24</v>
      </c>
      <c r="E584" t="s">
        <v>976</v>
      </c>
      <c r="F584" t="s">
        <v>488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f t="shared" si="9"/>
        <v>7</v>
      </c>
      <c r="O584" t="str">
        <f>IF(AND($A584=Dashboard!$B$3,$B584=Dashboard!$G$3,$D584&lt;&gt;"NO_SERVICE"),ROW(),"")</f>
        <v/>
      </c>
    </row>
    <row r="585" spans="1:15" x14ac:dyDescent="0.25">
      <c r="A585" t="s">
        <v>904</v>
      </c>
      <c r="B585" t="s">
        <v>134</v>
      </c>
      <c r="C585" t="s">
        <v>975</v>
      </c>
      <c r="D585" t="s">
        <v>24</v>
      </c>
      <c r="E585" t="s">
        <v>977</v>
      </c>
      <c r="F585" t="s">
        <v>890</v>
      </c>
      <c r="G585">
        <v>1</v>
      </c>
      <c r="H585">
        <v>0</v>
      </c>
      <c r="I585">
        <v>1</v>
      </c>
      <c r="J585">
        <v>1</v>
      </c>
      <c r="K585">
        <v>1</v>
      </c>
      <c r="L585">
        <v>1</v>
      </c>
      <c r="M585">
        <v>1</v>
      </c>
      <c r="N585">
        <f t="shared" si="9"/>
        <v>6</v>
      </c>
      <c r="O585" t="str">
        <f>IF(AND($A585=Dashboard!$B$3,$B585=Dashboard!$G$3,$D585&lt;&gt;"NO_SERVICE"),ROW(),"")</f>
        <v/>
      </c>
    </row>
    <row r="586" spans="1:15" x14ac:dyDescent="0.25">
      <c r="A586" t="s">
        <v>904</v>
      </c>
      <c r="B586" t="s">
        <v>134</v>
      </c>
      <c r="C586" t="s">
        <v>975</v>
      </c>
      <c r="D586" t="s">
        <v>24</v>
      </c>
      <c r="E586" t="s">
        <v>136</v>
      </c>
      <c r="F586" t="s">
        <v>112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f t="shared" si="9"/>
        <v>7</v>
      </c>
      <c r="O586" t="str">
        <f>IF(AND($A586=Dashboard!$B$3,$B586=Dashboard!$G$3,$D586&lt;&gt;"NO_SERVICE"),ROW(),"")</f>
        <v/>
      </c>
    </row>
    <row r="587" spans="1:15" x14ac:dyDescent="0.25">
      <c r="A587" t="s">
        <v>904</v>
      </c>
      <c r="B587" t="s">
        <v>134</v>
      </c>
      <c r="C587" t="s">
        <v>975</v>
      </c>
      <c r="D587" t="s">
        <v>24</v>
      </c>
      <c r="E587" t="s">
        <v>978</v>
      </c>
      <c r="F587" t="s">
        <v>170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f t="shared" si="9"/>
        <v>7</v>
      </c>
      <c r="O587" t="str">
        <f>IF(AND($A587=Dashboard!$B$3,$B587=Dashboard!$G$3,$D587&lt;&gt;"NO_SERVICE"),ROW(),"")</f>
        <v/>
      </c>
    </row>
    <row r="588" spans="1:15" x14ac:dyDescent="0.25">
      <c r="A588" t="s">
        <v>904</v>
      </c>
      <c r="B588" t="s">
        <v>134</v>
      </c>
      <c r="C588" t="s">
        <v>975</v>
      </c>
      <c r="D588" t="s">
        <v>24</v>
      </c>
      <c r="E588" t="s">
        <v>979</v>
      </c>
      <c r="F588" t="s">
        <v>347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f t="shared" si="9"/>
        <v>7</v>
      </c>
      <c r="O588" t="str">
        <f>IF(AND($A588=Dashboard!$B$3,$B588=Dashboard!$G$3,$D588&lt;&gt;"NO_SERVICE"),ROW(),"")</f>
        <v/>
      </c>
    </row>
    <row r="589" spans="1:15" x14ac:dyDescent="0.25">
      <c r="A589" t="s">
        <v>904</v>
      </c>
      <c r="B589" t="s">
        <v>134</v>
      </c>
      <c r="C589" t="s">
        <v>975</v>
      </c>
      <c r="D589" t="s">
        <v>24</v>
      </c>
      <c r="E589" t="s">
        <v>980</v>
      </c>
      <c r="F589" t="s">
        <v>981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f t="shared" si="9"/>
        <v>7</v>
      </c>
      <c r="O589" t="str">
        <f>IF(AND($A589=Dashboard!$B$3,$B589=Dashboard!$G$3,$D589&lt;&gt;"NO_SERVICE"),ROW(),"")</f>
        <v/>
      </c>
    </row>
    <row r="590" spans="1:15" x14ac:dyDescent="0.25">
      <c r="A590" t="s">
        <v>904</v>
      </c>
      <c r="B590" t="s">
        <v>134</v>
      </c>
      <c r="C590" t="s">
        <v>975</v>
      </c>
      <c r="D590" t="s">
        <v>24</v>
      </c>
      <c r="E590" t="s">
        <v>982</v>
      </c>
      <c r="F590" t="s">
        <v>349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f t="shared" si="9"/>
        <v>7</v>
      </c>
      <c r="O590" t="str">
        <f>IF(AND($A590=Dashboard!$B$3,$B590=Dashboard!$G$3,$D590&lt;&gt;"NO_SERVICE"),ROW(),"")</f>
        <v/>
      </c>
    </row>
    <row r="591" spans="1:15" x14ac:dyDescent="0.25">
      <c r="A591" t="s">
        <v>904</v>
      </c>
      <c r="B591" t="s">
        <v>134</v>
      </c>
      <c r="C591" t="s">
        <v>975</v>
      </c>
      <c r="D591" t="s">
        <v>21</v>
      </c>
      <c r="E591" t="s">
        <v>983</v>
      </c>
      <c r="F591" t="s">
        <v>339</v>
      </c>
      <c r="G591">
        <v>0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f t="shared" si="9"/>
        <v>6</v>
      </c>
      <c r="O591" t="str">
        <f>IF(AND($A591=Dashboard!$B$3,$B591=Dashboard!$G$3,$D591&lt;&gt;"NO_SERVICE"),ROW(),"")</f>
        <v/>
      </c>
    </row>
    <row r="592" spans="1:15" x14ac:dyDescent="0.25">
      <c r="A592" t="s">
        <v>904</v>
      </c>
      <c r="B592" t="s">
        <v>134</v>
      </c>
      <c r="C592" t="s">
        <v>975</v>
      </c>
      <c r="D592" t="s">
        <v>21</v>
      </c>
      <c r="E592" t="s">
        <v>984</v>
      </c>
      <c r="F592" t="s">
        <v>985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f t="shared" si="9"/>
        <v>1</v>
      </c>
      <c r="O592" t="str">
        <f>IF(AND($A592=Dashboard!$B$3,$B592=Dashboard!$G$3,$D592&lt;&gt;"NO_SERVICE"),ROW(),"")</f>
        <v/>
      </c>
    </row>
    <row r="593" spans="1:15" x14ac:dyDescent="0.25">
      <c r="A593" t="s">
        <v>904</v>
      </c>
      <c r="B593" t="s">
        <v>134</v>
      </c>
      <c r="C593" t="s">
        <v>975</v>
      </c>
      <c r="D593" t="s">
        <v>21</v>
      </c>
      <c r="E593" t="s">
        <v>986</v>
      </c>
      <c r="F593" t="s">
        <v>368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f t="shared" si="9"/>
        <v>1</v>
      </c>
      <c r="O593" t="str">
        <f>IF(AND($A593=Dashboard!$B$3,$B593=Dashboard!$G$3,$D593&lt;&gt;"NO_SERVICE"),ROW(),"")</f>
        <v/>
      </c>
    </row>
    <row r="594" spans="1:15" x14ac:dyDescent="0.25">
      <c r="A594" t="s">
        <v>904</v>
      </c>
      <c r="B594" t="s">
        <v>134</v>
      </c>
      <c r="C594" t="s">
        <v>975</v>
      </c>
      <c r="D594" t="s">
        <v>21</v>
      </c>
      <c r="E594" t="s">
        <v>987</v>
      </c>
      <c r="F594" t="s">
        <v>678</v>
      </c>
      <c r="G594">
        <v>0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f t="shared" si="9"/>
        <v>6</v>
      </c>
      <c r="O594" t="str">
        <f>IF(AND($A594=Dashboard!$B$3,$B594=Dashboard!$G$3,$D594&lt;&gt;"NO_SERVICE"),ROW(),"")</f>
        <v/>
      </c>
    </row>
    <row r="595" spans="1:15" x14ac:dyDescent="0.25">
      <c r="A595" t="s">
        <v>904</v>
      </c>
      <c r="B595" t="s">
        <v>138</v>
      </c>
      <c r="C595" t="s">
        <v>988</v>
      </c>
      <c r="D595" t="s">
        <v>52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f t="shared" si="9"/>
        <v>0</v>
      </c>
      <c r="O595" t="str">
        <f>IF(AND($A595=Dashboard!$B$3,$B595=Dashboard!$G$3,$D595&lt;&gt;"NO_SERVICE"),ROW(),"")</f>
        <v/>
      </c>
    </row>
    <row r="596" spans="1:15" x14ac:dyDescent="0.25">
      <c r="A596" t="s">
        <v>904</v>
      </c>
      <c r="B596" t="s">
        <v>140</v>
      </c>
      <c r="C596" t="s">
        <v>989</v>
      </c>
      <c r="D596" t="s">
        <v>24</v>
      </c>
      <c r="E596" t="s">
        <v>990</v>
      </c>
      <c r="F596" t="s">
        <v>411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f t="shared" si="9"/>
        <v>7</v>
      </c>
      <c r="O596" t="str">
        <f>IF(AND($A596=Dashboard!$B$3,$B596=Dashboard!$G$3,$D596&lt;&gt;"NO_SERVICE"),ROW(),"")</f>
        <v/>
      </c>
    </row>
    <row r="597" spans="1:15" x14ac:dyDescent="0.25">
      <c r="A597" t="s">
        <v>904</v>
      </c>
      <c r="B597" t="s">
        <v>144</v>
      </c>
      <c r="C597" t="s">
        <v>991</v>
      </c>
      <c r="D597" t="s">
        <v>24</v>
      </c>
      <c r="E597" t="s">
        <v>992</v>
      </c>
      <c r="F597" t="s">
        <v>476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f t="shared" si="9"/>
        <v>7</v>
      </c>
      <c r="O597" t="str">
        <f>IF(AND($A597=Dashboard!$B$3,$B597=Dashboard!$G$3,$D597&lt;&gt;"NO_SERVICE"),ROW(),"")</f>
        <v/>
      </c>
    </row>
    <row r="598" spans="1:15" x14ac:dyDescent="0.25">
      <c r="A598" t="s">
        <v>904</v>
      </c>
      <c r="B598" t="s">
        <v>144</v>
      </c>
      <c r="C598" t="s">
        <v>991</v>
      </c>
      <c r="D598" t="s">
        <v>24</v>
      </c>
      <c r="E598" t="s">
        <v>993</v>
      </c>
      <c r="F598" t="s">
        <v>60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f t="shared" si="9"/>
        <v>7</v>
      </c>
      <c r="O598" t="str">
        <f>IF(AND($A598=Dashboard!$B$3,$B598=Dashboard!$G$3,$D598&lt;&gt;"NO_SERVICE"),ROW(),"")</f>
        <v/>
      </c>
    </row>
    <row r="599" spans="1:15" x14ac:dyDescent="0.25">
      <c r="A599" t="s">
        <v>904</v>
      </c>
      <c r="B599" t="s">
        <v>148</v>
      </c>
      <c r="C599" t="s">
        <v>994</v>
      </c>
      <c r="D599" t="s">
        <v>52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f t="shared" si="9"/>
        <v>0</v>
      </c>
      <c r="O599" t="str">
        <f>IF(AND($A599=Dashboard!$B$3,$B599=Dashboard!$G$3,$D599&lt;&gt;"NO_SERVICE"),ROW(),"")</f>
        <v/>
      </c>
    </row>
    <row r="600" spans="1:15" x14ac:dyDescent="0.25">
      <c r="A600" t="s">
        <v>904</v>
      </c>
      <c r="B600" t="s">
        <v>150</v>
      </c>
      <c r="C600" t="s">
        <v>995</v>
      </c>
      <c r="D600" t="s">
        <v>24</v>
      </c>
      <c r="E600" t="s">
        <v>996</v>
      </c>
      <c r="F600" t="s">
        <v>86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f t="shared" si="9"/>
        <v>7</v>
      </c>
      <c r="O600" t="str">
        <f>IF(AND($A600=Dashboard!$B$3,$B600=Dashboard!$G$3,$D600&lt;&gt;"NO_SERVICE"),ROW(),"")</f>
        <v/>
      </c>
    </row>
    <row r="601" spans="1:15" x14ac:dyDescent="0.25">
      <c r="A601" t="s">
        <v>904</v>
      </c>
      <c r="B601" t="s">
        <v>150</v>
      </c>
      <c r="C601" t="s">
        <v>995</v>
      </c>
      <c r="D601" t="s">
        <v>24</v>
      </c>
      <c r="E601" t="s">
        <v>997</v>
      </c>
      <c r="F601" t="s">
        <v>330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f t="shared" si="9"/>
        <v>7</v>
      </c>
      <c r="O601" t="str">
        <f>IF(AND($A601=Dashboard!$B$3,$B601=Dashboard!$G$3,$D601&lt;&gt;"NO_SERVICE"),ROW(),"")</f>
        <v/>
      </c>
    </row>
    <row r="602" spans="1:15" x14ac:dyDescent="0.25">
      <c r="A602" t="s">
        <v>904</v>
      </c>
      <c r="B602" t="s">
        <v>150</v>
      </c>
      <c r="C602" t="s">
        <v>995</v>
      </c>
      <c r="D602" t="s">
        <v>24</v>
      </c>
      <c r="E602" t="s">
        <v>998</v>
      </c>
      <c r="F602" t="s">
        <v>999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f t="shared" si="9"/>
        <v>7</v>
      </c>
      <c r="O602" t="str">
        <f>IF(AND($A602=Dashboard!$B$3,$B602=Dashboard!$G$3,$D602&lt;&gt;"NO_SERVICE"),ROW(),"")</f>
        <v/>
      </c>
    </row>
    <row r="603" spans="1:15" x14ac:dyDescent="0.25">
      <c r="A603" t="s">
        <v>904</v>
      </c>
      <c r="B603" t="s">
        <v>150</v>
      </c>
      <c r="C603" t="s">
        <v>995</v>
      </c>
      <c r="D603" t="s">
        <v>24</v>
      </c>
      <c r="E603" t="s">
        <v>1000</v>
      </c>
      <c r="F603" t="s">
        <v>342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f t="shared" si="9"/>
        <v>7</v>
      </c>
      <c r="O603" t="str">
        <f>IF(AND($A603=Dashboard!$B$3,$B603=Dashboard!$G$3,$D603&lt;&gt;"NO_SERVICE"),ROW(),"")</f>
        <v/>
      </c>
    </row>
    <row r="604" spans="1:15" x14ac:dyDescent="0.25">
      <c r="A604" t="s">
        <v>904</v>
      </c>
      <c r="B604" t="s">
        <v>150</v>
      </c>
      <c r="C604" t="s">
        <v>995</v>
      </c>
      <c r="D604" t="s">
        <v>21</v>
      </c>
      <c r="E604" t="s">
        <v>1001</v>
      </c>
      <c r="F604" t="s">
        <v>244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f t="shared" si="9"/>
        <v>7</v>
      </c>
      <c r="O604" t="str">
        <f>IF(AND($A604=Dashboard!$B$3,$B604=Dashboard!$G$3,$D604&lt;&gt;"NO_SERVICE"),ROW(),"")</f>
        <v/>
      </c>
    </row>
    <row r="605" spans="1:15" x14ac:dyDescent="0.25">
      <c r="A605" t="s">
        <v>904</v>
      </c>
      <c r="B605" t="s">
        <v>152</v>
      </c>
      <c r="C605" t="s">
        <v>1002</v>
      </c>
      <c r="D605" t="s">
        <v>24</v>
      </c>
      <c r="E605" t="s">
        <v>1003</v>
      </c>
      <c r="F605" t="s">
        <v>390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f t="shared" si="9"/>
        <v>7</v>
      </c>
      <c r="O605" t="str">
        <f>IF(AND($A605=Dashboard!$B$3,$B605=Dashboard!$G$3,$D605&lt;&gt;"NO_SERVICE"),ROW(),"")</f>
        <v/>
      </c>
    </row>
    <row r="606" spans="1:15" x14ac:dyDescent="0.25">
      <c r="A606" t="s">
        <v>1004</v>
      </c>
      <c r="B606" t="s">
        <v>46</v>
      </c>
      <c r="C606" t="s">
        <v>1005</v>
      </c>
      <c r="D606" t="s">
        <v>24</v>
      </c>
      <c r="E606" t="s">
        <v>1006</v>
      </c>
      <c r="F606" t="s">
        <v>242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0</v>
      </c>
      <c r="N606">
        <f t="shared" si="9"/>
        <v>6</v>
      </c>
      <c r="O606" t="str">
        <f>IF(AND($A606=Dashboard!$B$3,$B606=Dashboard!$G$3,$D606&lt;&gt;"NO_SERVICE"),ROW(),"")</f>
        <v/>
      </c>
    </row>
    <row r="607" spans="1:15" x14ac:dyDescent="0.25">
      <c r="A607" t="s">
        <v>1004</v>
      </c>
      <c r="B607" t="s">
        <v>46</v>
      </c>
      <c r="C607" t="s">
        <v>1005</v>
      </c>
      <c r="D607" t="s">
        <v>24</v>
      </c>
      <c r="E607" t="s">
        <v>1007</v>
      </c>
      <c r="F607" t="s">
        <v>66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f t="shared" si="9"/>
        <v>1</v>
      </c>
      <c r="O607" t="str">
        <f>IF(AND($A607=Dashboard!$B$3,$B607=Dashboard!$G$3,$D607&lt;&gt;"NO_SERVICE"),ROW(),"")</f>
        <v/>
      </c>
    </row>
    <row r="608" spans="1:15" x14ac:dyDescent="0.25">
      <c r="A608" t="s">
        <v>1004</v>
      </c>
      <c r="B608" t="s">
        <v>50</v>
      </c>
      <c r="C608" t="s">
        <v>1008</v>
      </c>
      <c r="D608" t="s">
        <v>24</v>
      </c>
      <c r="E608" t="s">
        <v>1009</v>
      </c>
      <c r="F608" t="s">
        <v>382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f t="shared" si="9"/>
        <v>7</v>
      </c>
      <c r="O608" t="str">
        <f>IF(AND($A608=Dashboard!$B$3,$B608=Dashboard!$G$3,$D608&lt;&gt;"NO_SERVICE"),ROW(),"")</f>
        <v/>
      </c>
    </row>
    <row r="609" spans="1:15" x14ac:dyDescent="0.25">
      <c r="A609" t="s">
        <v>1004</v>
      </c>
      <c r="B609" t="s">
        <v>50</v>
      </c>
      <c r="C609" t="s">
        <v>1008</v>
      </c>
      <c r="D609" t="s">
        <v>24</v>
      </c>
      <c r="E609" t="s">
        <v>1010</v>
      </c>
      <c r="F609" t="s">
        <v>411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f t="shared" si="9"/>
        <v>7</v>
      </c>
      <c r="O609" t="str">
        <f>IF(AND($A609=Dashboard!$B$3,$B609=Dashboard!$G$3,$D609&lt;&gt;"NO_SERVICE"),ROW(),"")</f>
        <v/>
      </c>
    </row>
    <row r="610" spans="1:15" x14ac:dyDescent="0.25">
      <c r="A610" t="s">
        <v>1004</v>
      </c>
      <c r="B610" t="s">
        <v>50</v>
      </c>
      <c r="C610" t="s">
        <v>1008</v>
      </c>
      <c r="D610" t="s">
        <v>24</v>
      </c>
      <c r="E610" t="s">
        <v>1011</v>
      </c>
      <c r="F610" t="s">
        <v>96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f t="shared" si="9"/>
        <v>7</v>
      </c>
      <c r="O610" t="str">
        <f>IF(AND($A610=Dashboard!$B$3,$B610=Dashboard!$G$3,$D610&lt;&gt;"NO_SERVICE"),ROW(),"")</f>
        <v/>
      </c>
    </row>
    <row r="611" spans="1:15" x14ac:dyDescent="0.25">
      <c r="A611" t="s">
        <v>1004</v>
      </c>
      <c r="B611" t="s">
        <v>50</v>
      </c>
      <c r="C611" t="s">
        <v>1008</v>
      </c>
      <c r="D611" t="s">
        <v>24</v>
      </c>
      <c r="E611" t="s">
        <v>1012</v>
      </c>
      <c r="F611" t="s">
        <v>221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f t="shared" si="9"/>
        <v>7</v>
      </c>
      <c r="O611" t="str">
        <f>IF(AND($A611=Dashboard!$B$3,$B611=Dashboard!$G$3,$D611&lt;&gt;"NO_SERVICE"),ROW(),"")</f>
        <v/>
      </c>
    </row>
    <row r="612" spans="1:15" x14ac:dyDescent="0.25">
      <c r="A612" t="s">
        <v>1004</v>
      </c>
      <c r="B612" t="s">
        <v>50</v>
      </c>
      <c r="C612" t="s">
        <v>1008</v>
      </c>
      <c r="D612" t="s">
        <v>24</v>
      </c>
      <c r="E612" t="s">
        <v>1013</v>
      </c>
      <c r="F612" t="s">
        <v>674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f t="shared" si="9"/>
        <v>7</v>
      </c>
      <c r="O612" t="str">
        <f>IF(AND($A612=Dashboard!$B$3,$B612=Dashboard!$G$3,$D612&lt;&gt;"NO_SERVICE"),ROW(),"")</f>
        <v/>
      </c>
    </row>
    <row r="613" spans="1:15" x14ac:dyDescent="0.25">
      <c r="A613" t="s">
        <v>1004</v>
      </c>
      <c r="B613" t="s">
        <v>50</v>
      </c>
      <c r="C613" t="s">
        <v>1008</v>
      </c>
      <c r="D613" t="s">
        <v>24</v>
      </c>
      <c r="E613" t="s">
        <v>1014</v>
      </c>
      <c r="F613" t="s">
        <v>90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f t="shared" si="9"/>
        <v>7</v>
      </c>
      <c r="O613" t="str">
        <f>IF(AND($A613=Dashboard!$B$3,$B613=Dashboard!$G$3,$D613&lt;&gt;"NO_SERVICE"),ROW(),"")</f>
        <v/>
      </c>
    </row>
    <row r="614" spans="1:15" x14ac:dyDescent="0.25">
      <c r="A614" t="s">
        <v>1004</v>
      </c>
      <c r="B614" t="s">
        <v>53</v>
      </c>
      <c r="C614" t="s">
        <v>1015</v>
      </c>
      <c r="D614" t="s">
        <v>24</v>
      </c>
      <c r="E614" t="s">
        <v>1016</v>
      </c>
      <c r="F614" t="s">
        <v>772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f t="shared" si="9"/>
        <v>7</v>
      </c>
      <c r="O614" t="str">
        <f>IF(AND($A614=Dashboard!$B$3,$B614=Dashboard!$G$3,$D614&lt;&gt;"NO_SERVICE"),ROW(),"")</f>
        <v/>
      </c>
    </row>
    <row r="615" spans="1:15" x14ac:dyDescent="0.25">
      <c r="A615" t="s">
        <v>1004</v>
      </c>
      <c r="B615" t="s">
        <v>53</v>
      </c>
      <c r="C615" t="s">
        <v>1015</v>
      </c>
      <c r="D615" t="s">
        <v>24</v>
      </c>
      <c r="E615" t="s">
        <v>1017</v>
      </c>
      <c r="F615" t="s">
        <v>78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f t="shared" si="9"/>
        <v>7</v>
      </c>
      <c r="O615" t="str">
        <f>IF(AND($A615=Dashboard!$B$3,$B615=Dashboard!$G$3,$D615&lt;&gt;"NO_SERVICE"),ROW(),"")</f>
        <v/>
      </c>
    </row>
    <row r="616" spans="1:15" x14ac:dyDescent="0.25">
      <c r="A616" t="s">
        <v>1004</v>
      </c>
      <c r="B616" t="s">
        <v>53</v>
      </c>
      <c r="C616" t="s">
        <v>1015</v>
      </c>
      <c r="D616" t="s">
        <v>24</v>
      </c>
      <c r="E616" t="s">
        <v>1018</v>
      </c>
      <c r="F616" t="s">
        <v>455</v>
      </c>
      <c r="G616">
        <v>1</v>
      </c>
      <c r="H616">
        <v>0</v>
      </c>
      <c r="I616">
        <v>1</v>
      </c>
      <c r="J616">
        <v>1</v>
      </c>
      <c r="K616">
        <v>1</v>
      </c>
      <c r="L616">
        <v>1</v>
      </c>
      <c r="M616">
        <v>1</v>
      </c>
      <c r="N616">
        <f t="shared" si="9"/>
        <v>6</v>
      </c>
      <c r="O616" t="str">
        <f>IF(AND($A616=Dashboard!$B$3,$B616=Dashboard!$G$3,$D616&lt;&gt;"NO_SERVICE"),ROW(),"")</f>
        <v/>
      </c>
    </row>
    <row r="617" spans="1:15" x14ac:dyDescent="0.25">
      <c r="A617" t="s">
        <v>1004</v>
      </c>
      <c r="B617" t="s">
        <v>53</v>
      </c>
      <c r="C617" t="s">
        <v>1015</v>
      </c>
      <c r="D617" t="s">
        <v>24</v>
      </c>
      <c r="E617" t="s">
        <v>1019</v>
      </c>
      <c r="F617" t="s">
        <v>596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f t="shared" si="9"/>
        <v>7</v>
      </c>
      <c r="O617" t="str">
        <f>IF(AND($A617=Dashboard!$B$3,$B617=Dashboard!$G$3,$D617&lt;&gt;"NO_SERVICE"),ROW(),"")</f>
        <v/>
      </c>
    </row>
    <row r="618" spans="1:15" x14ac:dyDescent="0.25">
      <c r="A618" t="s">
        <v>1004</v>
      </c>
      <c r="B618" t="s">
        <v>53</v>
      </c>
      <c r="C618" t="s">
        <v>1015</v>
      </c>
      <c r="D618" t="s">
        <v>24</v>
      </c>
      <c r="E618" t="s">
        <v>1020</v>
      </c>
      <c r="F618" t="s">
        <v>1021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f t="shared" si="9"/>
        <v>7</v>
      </c>
      <c r="O618" t="str">
        <f>IF(AND($A618=Dashboard!$B$3,$B618=Dashboard!$G$3,$D618&lt;&gt;"NO_SERVICE"),ROW(),"")</f>
        <v/>
      </c>
    </row>
    <row r="619" spans="1:15" x14ac:dyDescent="0.25">
      <c r="A619" t="s">
        <v>1004</v>
      </c>
      <c r="B619" t="s">
        <v>57</v>
      </c>
      <c r="C619" t="s">
        <v>1022</v>
      </c>
      <c r="D619" t="s">
        <v>24</v>
      </c>
      <c r="E619" t="s">
        <v>1023</v>
      </c>
      <c r="F619" t="s">
        <v>182</v>
      </c>
      <c r="G619">
        <v>1</v>
      </c>
      <c r="H619">
        <v>0</v>
      </c>
      <c r="I619">
        <v>1</v>
      </c>
      <c r="J619">
        <v>1</v>
      </c>
      <c r="K619">
        <v>1</v>
      </c>
      <c r="L619">
        <v>0</v>
      </c>
      <c r="M619">
        <v>1</v>
      </c>
      <c r="N619">
        <f t="shared" si="9"/>
        <v>5</v>
      </c>
      <c r="O619" t="str">
        <f>IF(AND($A619=Dashboard!$B$3,$B619=Dashboard!$G$3,$D619&lt;&gt;"NO_SERVICE"),ROW(),"")</f>
        <v/>
      </c>
    </row>
    <row r="620" spans="1:15" x14ac:dyDescent="0.25">
      <c r="A620" t="s">
        <v>1004</v>
      </c>
      <c r="B620" t="s">
        <v>63</v>
      </c>
      <c r="C620" t="s">
        <v>1024</v>
      </c>
      <c r="D620" t="s">
        <v>24</v>
      </c>
      <c r="E620" t="s">
        <v>1025</v>
      </c>
      <c r="F620" t="s">
        <v>689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f t="shared" si="9"/>
        <v>7</v>
      </c>
      <c r="O620" t="str">
        <f>IF(AND($A620=Dashboard!$B$3,$B620=Dashboard!$G$3,$D620&lt;&gt;"NO_SERVICE"),ROW(),"")</f>
        <v/>
      </c>
    </row>
    <row r="621" spans="1:15" x14ac:dyDescent="0.25">
      <c r="A621" t="s">
        <v>1004</v>
      </c>
      <c r="B621" t="s">
        <v>63</v>
      </c>
      <c r="C621" t="s">
        <v>1024</v>
      </c>
      <c r="D621" t="s">
        <v>24</v>
      </c>
      <c r="E621" t="s">
        <v>1026</v>
      </c>
      <c r="F621" t="s">
        <v>291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f t="shared" si="9"/>
        <v>7</v>
      </c>
      <c r="O621" t="str">
        <f>IF(AND($A621=Dashboard!$B$3,$B621=Dashboard!$G$3,$D621&lt;&gt;"NO_SERVICE"),ROW(),"")</f>
        <v/>
      </c>
    </row>
    <row r="622" spans="1:15" x14ac:dyDescent="0.25">
      <c r="A622" t="s">
        <v>1004</v>
      </c>
      <c r="B622" t="s">
        <v>63</v>
      </c>
      <c r="C622" t="s">
        <v>1024</v>
      </c>
      <c r="D622" t="s">
        <v>21</v>
      </c>
      <c r="E622" t="s">
        <v>1027</v>
      </c>
      <c r="F622" t="s">
        <v>172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f t="shared" si="9"/>
        <v>7</v>
      </c>
      <c r="O622" t="str">
        <f>IF(AND($A622=Dashboard!$B$3,$B622=Dashboard!$G$3,$D622&lt;&gt;"NO_SERVICE"),ROW(),"")</f>
        <v/>
      </c>
    </row>
    <row r="623" spans="1:15" x14ac:dyDescent="0.25">
      <c r="A623" t="s">
        <v>1004</v>
      </c>
      <c r="B623" t="s">
        <v>67</v>
      </c>
      <c r="C623" t="s">
        <v>1028</v>
      </c>
      <c r="D623" t="s">
        <v>24</v>
      </c>
      <c r="E623" t="s">
        <v>1029</v>
      </c>
      <c r="F623" t="s">
        <v>1030</v>
      </c>
      <c r="G623">
        <v>0</v>
      </c>
      <c r="H623">
        <v>1</v>
      </c>
      <c r="I623">
        <v>0</v>
      </c>
      <c r="J623">
        <v>1</v>
      </c>
      <c r="K623">
        <v>0</v>
      </c>
      <c r="L623">
        <v>1</v>
      </c>
      <c r="M623">
        <v>0</v>
      </c>
      <c r="N623">
        <f t="shared" si="9"/>
        <v>3</v>
      </c>
      <c r="O623" t="str">
        <f>IF(AND($A623=Dashboard!$B$3,$B623=Dashboard!$G$3,$D623&lt;&gt;"NO_SERVICE"),ROW(),"")</f>
        <v/>
      </c>
    </row>
    <row r="624" spans="1:15" x14ac:dyDescent="0.25">
      <c r="A624" t="s">
        <v>1004</v>
      </c>
      <c r="B624" t="s">
        <v>67</v>
      </c>
      <c r="C624" t="s">
        <v>1028</v>
      </c>
      <c r="D624" t="s">
        <v>24</v>
      </c>
      <c r="E624" t="s">
        <v>1031</v>
      </c>
      <c r="F624" t="s">
        <v>435</v>
      </c>
      <c r="G624">
        <v>1</v>
      </c>
      <c r="H624">
        <v>0</v>
      </c>
      <c r="I624">
        <v>1</v>
      </c>
      <c r="J624">
        <v>0</v>
      </c>
      <c r="K624">
        <v>1</v>
      </c>
      <c r="L624">
        <v>0</v>
      </c>
      <c r="M624">
        <v>1</v>
      </c>
      <c r="N624">
        <f t="shared" si="9"/>
        <v>4</v>
      </c>
      <c r="O624" t="str">
        <f>IF(AND($A624=Dashboard!$B$3,$B624=Dashboard!$G$3,$D624&lt;&gt;"NO_SERVICE"),ROW(),"")</f>
        <v/>
      </c>
    </row>
    <row r="625" spans="1:15" x14ac:dyDescent="0.25">
      <c r="A625" t="s">
        <v>1004</v>
      </c>
      <c r="B625" t="s">
        <v>73</v>
      </c>
      <c r="C625" t="s">
        <v>1032</v>
      </c>
      <c r="D625" t="s">
        <v>24</v>
      </c>
      <c r="E625" t="s">
        <v>1033</v>
      </c>
      <c r="F625" t="s">
        <v>633</v>
      </c>
      <c r="G625">
        <v>0</v>
      </c>
      <c r="H625">
        <v>0</v>
      </c>
      <c r="I625">
        <v>1</v>
      </c>
      <c r="J625">
        <v>0</v>
      </c>
      <c r="K625">
        <v>1</v>
      </c>
      <c r="L625">
        <v>1</v>
      </c>
      <c r="M625">
        <v>1</v>
      </c>
      <c r="N625">
        <f t="shared" si="9"/>
        <v>4</v>
      </c>
      <c r="O625" t="str">
        <f>IF(AND($A625=Dashboard!$B$3,$B625=Dashboard!$G$3,$D625&lt;&gt;"NO_SERVICE"),ROW(),"")</f>
        <v/>
      </c>
    </row>
    <row r="626" spans="1:15" x14ac:dyDescent="0.25">
      <c r="A626" t="s">
        <v>1004</v>
      </c>
      <c r="B626" t="s">
        <v>79</v>
      </c>
      <c r="C626" t="s">
        <v>1034</v>
      </c>
      <c r="D626" t="s">
        <v>24</v>
      </c>
      <c r="E626" t="s">
        <v>1035</v>
      </c>
      <c r="F626" t="s">
        <v>339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f t="shared" si="9"/>
        <v>7</v>
      </c>
      <c r="O626" t="str">
        <f>IF(AND($A626=Dashboard!$B$3,$B626=Dashboard!$G$3,$D626&lt;&gt;"NO_SERVICE"),ROW(),"")</f>
        <v/>
      </c>
    </row>
    <row r="627" spans="1:15" x14ac:dyDescent="0.25">
      <c r="A627" t="s">
        <v>1004</v>
      </c>
      <c r="B627" t="s">
        <v>79</v>
      </c>
      <c r="C627" t="s">
        <v>1034</v>
      </c>
      <c r="D627" t="s">
        <v>24</v>
      </c>
      <c r="E627" t="s">
        <v>1036</v>
      </c>
      <c r="F627" t="s">
        <v>195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0</v>
      </c>
      <c r="N627">
        <f t="shared" si="9"/>
        <v>6</v>
      </c>
      <c r="O627" t="str">
        <f>IF(AND($A627=Dashboard!$B$3,$B627=Dashboard!$G$3,$D627&lt;&gt;"NO_SERVICE"),ROW(),"")</f>
        <v/>
      </c>
    </row>
    <row r="628" spans="1:15" x14ac:dyDescent="0.25">
      <c r="A628" t="s">
        <v>1004</v>
      </c>
      <c r="B628" t="s">
        <v>79</v>
      </c>
      <c r="C628" t="s">
        <v>1034</v>
      </c>
      <c r="D628" t="s">
        <v>24</v>
      </c>
      <c r="E628" t="s">
        <v>1037</v>
      </c>
      <c r="F628" t="s">
        <v>458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f t="shared" si="9"/>
        <v>7</v>
      </c>
      <c r="O628" t="str">
        <f>IF(AND($A628=Dashboard!$B$3,$B628=Dashboard!$G$3,$D628&lt;&gt;"NO_SERVICE"),ROW(),"")</f>
        <v/>
      </c>
    </row>
    <row r="629" spans="1:15" x14ac:dyDescent="0.25">
      <c r="A629" t="s">
        <v>1004</v>
      </c>
      <c r="B629" t="s">
        <v>79</v>
      </c>
      <c r="C629" t="s">
        <v>1034</v>
      </c>
      <c r="D629" t="s">
        <v>21</v>
      </c>
      <c r="E629" t="s">
        <v>1038</v>
      </c>
      <c r="F629" t="s">
        <v>237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f t="shared" si="9"/>
        <v>7</v>
      </c>
      <c r="O629" t="str">
        <f>IF(AND($A629=Dashboard!$B$3,$B629=Dashboard!$G$3,$D629&lt;&gt;"NO_SERVICE"),ROW(),"")</f>
        <v/>
      </c>
    </row>
    <row r="630" spans="1:15" x14ac:dyDescent="0.25">
      <c r="A630" t="s">
        <v>1004</v>
      </c>
      <c r="B630" t="s">
        <v>81</v>
      </c>
      <c r="C630" t="s">
        <v>1039</v>
      </c>
      <c r="D630" t="s">
        <v>24</v>
      </c>
      <c r="E630" t="s">
        <v>1040</v>
      </c>
      <c r="F630" t="s">
        <v>484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f t="shared" si="9"/>
        <v>7</v>
      </c>
      <c r="O630" t="str">
        <f>IF(AND($A630=Dashboard!$B$3,$B630=Dashboard!$G$3,$D630&lt;&gt;"NO_SERVICE"),ROW(),"")</f>
        <v/>
      </c>
    </row>
    <row r="631" spans="1:15" x14ac:dyDescent="0.25">
      <c r="A631" t="s">
        <v>1004</v>
      </c>
      <c r="B631" t="s">
        <v>81</v>
      </c>
      <c r="C631" t="s">
        <v>1039</v>
      </c>
      <c r="D631" t="s">
        <v>26</v>
      </c>
      <c r="E631" t="s">
        <v>1041</v>
      </c>
      <c r="F631" t="s">
        <v>119</v>
      </c>
      <c r="G631">
        <v>1</v>
      </c>
      <c r="H631">
        <v>0</v>
      </c>
      <c r="I631">
        <v>1</v>
      </c>
      <c r="J631">
        <v>0</v>
      </c>
      <c r="K631">
        <v>1</v>
      </c>
      <c r="L631">
        <v>0</v>
      </c>
      <c r="M631">
        <v>1</v>
      </c>
      <c r="N631">
        <f t="shared" si="9"/>
        <v>4</v>
      </c>
      <c r="O631" t="str">
        <f>IF(AND($A631=Dashboard!$B$3,$B631=Dashboard!$G$3,$D631&lt;&gt;"NO_SERVICE"),ROW(),"")</f>
        <v/>
      </c>
    </row>
    <row r="632" spans="1:15" x14ac:dyDescent="0.25">
      <c r="A632" t="s">
        <v>1004</v>
      </c>
      <c r="B632" t="s">
        <v>83</v>
      </c>
      <c r="C632" t="s">
        <v>1042</v>
      </c>
      <c r="D632" t="s">
        <v>24</v>
      </c>
      <c r="E632" t="s">
        <v>1043</v>
      </c>
      <c r="F632" t="s">
        <v>317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f t="shared" si="9"/>
        <v>7</v>
      </c>
      <c r="O632" t="str">
        <f>IF(AND($A632=Dashboard!$B$3,$B632=Dashboard!$G$3,$D632&lt;&gt;"NO_SERVICE"),ROW(),"")</f>
        <v/>
      </c>
    </row>
    <row r="633" spans="1:15" x14ac:dyDescent="0.25">
      <c r="A633" t="s">
        <v>1004</v>
      </c>
      <c r="B633" t="s">
        <v>91</v>
      </c>
      <c r="C633" t="s">
        <v>1044</v>
      </c>
      <c r="D633" t="s">
        <v>24</v>
      </c>
      <c r="E633" t="s">
        <v>1045</v>
      </c>
      <c r="F633" t="s">
        <v>376</v>
      </c>
      <c r="G633">
        <v>1</v>
      </c>
      <c r="H633">
        <v>0</v>
      </c>
      <c r="I633">
        <v>1</v>
      </c>
      <c r="J633">
        <v>0</v>
      </c>
      <c r="K633">
        <v>1</v>
      </c>
      <c r="L633">
        <v>0</v>
      </c>
      <c r="M633">
        <v>1</v>
      </c>
      <c r="N633">
        <f t="shared" si="9"/>
        <v>4</v>
      </c>
      <c r="O633" t="str">
        <f>IF(AND($A633=Dashboard!$B$3,$B633=Dashboard!$G$3,$D633&lt;&gt;"NO_SERVICE"),ROW(),"")</f>
        <v/>
      </c>
    </row>
    <row r="634" spans="1:15" x14ac:dyDescent="0.25">
      <c r="A634" t="s">
        <v>1004</v>
      </c>
      <c r="B634" t="s">
        <v>97</v>
      </c>
      <c r="C634" t="s">
        <v>1046</v>
      </c>
      <c r="D634" t="s">
        <v>52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f t="shared" si="9"/>
        <v>0</v>
      </c>
      <c r="O634" t="str">
        <f>IF(AND($A634=Dashboard!$B$3,$B634=Dashboard!$G$3,$D634&lt;&gt;"NO_SERVICE"),ROW(),"")</f>
        <v/>
      </c>
    </row>
    <row r="635" spans="1:15" x14ac:dyDescent="0.25">
      <c r="A635" t="s">
        <v>1004</v>
      </c>
      <c r="B635" t="s">
        <v>103</v>
      </c>
      <c r="C635" t="s">
        <v>1047</v>
      </c>
      <c r="D635" t="s">
        <v>24</v>
      </c>
      <c r="E635" t="s">
        <v>1048</v>
      </c>
      <c r="F635" t="s">
        <v>432</v>
      </c>
      <c r="G635">
        <v>0</v>
      </c>
      <c r="H635">
        <v>1</v>
      </c>
      <c r="I635">
        <v>0</v>
      </c>
      <c r="J635">
        <v>1</v>
      </c>
      <c r="K635">
        <v>0</v>
      </c>
      <c r="L635">
        <v>1</v>
      </c>
      <c r="M635">
        <v>1</v>
      </c>
      <c r="N635">
        <f t="shared" si="9"/>
        <v>4</v>
      </c>
      <c r="O635" t="str">
        <f>IF(AND($A635=Dashboard!$B$3,$B635=Dashboard!$G$3,$D635&lt;&gt;"NO_SERVICE"),ROW(),"")</f>
        <v/>
      </c>
    </row>
    <row r="636" spans="1:15" x14ac:dyDescent="0.25">
      <c r="A636" t="s">
        <v>1004</v>
      </c>
      <c r="B636" t="s">
        <v>109</v>
      </c>
      <c r="C636" t="s">
        <v>1049</v>
      </c>
      <c r="D636" t="s">
        <v>24</v>
      </c>
      <c r="E636" t="s">
        <v>1050</v>
      </c>
      <c r="F636" t="s">
        <v>530</v>
      </c>
      <c r="G636">
        <v>0</v>
      </c>
      <c r="H636">
        <v>1</v>
      </c>
      <c r="I636">
        <v>0</v>
      </c>
      <c r="J636">
        <v>1</v>
      </c>
      <c r="K636">
        <v>0</v>
      </c>
      <c r="L636">
        <v>1</v>
      </c>
      <c r="M636">
        <v>1</v>
      </c>
      <c r="N636">
        <f t="shared" si="9"/>
        <v>4</v>
      </c>
      <c r="O636" t="str">
        <f>IF(AND($A636=Dashboard!$B$3,$B636=Dashboard!$G$3,$D636&lt;&gt;"NO_SERVICE"),ROW(),"")</f>
        <v/>
      </c>
    </row>
    <row r="637" spans="1:15" x14ac:dyDescent="0.25">
      <c r="A637" t="s">
        <v>1004</v>
      </c>
      <c r="B637" t="s">
        <v>113</v>
      </c>
      <c r="C637" t="s">
        <v>1051</v>
      </c>
      <c r="D637" t="s">
        <v>24</v>
      </c>
      <c r="E637" t="s">
        <v>1052</v>
      </c>
      <c r="F637" t="s">
        <v>170</v>
      </c>
      <c r="G637">
        <v>0</v>
      </c>
      <c r="H637">
        <v>1</v>
      </c>
      <c r="I637">
        <v>0</v>
      </c>
      <c r="J637">
        <v>1</v>
      </c>
      <c r="K637">
        <v>0</v>
      </c>
      <c r="L637">
        <v>1</v>
      </c>
      <c r="M637">
        <v>0</v>
      </c>
      <c r="N637">
        <f t="shared" si="9"/>
        <v>3</v>
      </c>
      <c r="O637" t="str">
        <f>IF(AND($A637=Dashboard!$B$3,$B637=Dashboard!$G$3,$D637&lt;&gt;"NO_SERVICE"),ROW(),"")</f>
        <v/>
      </c>
    </row>
    <row r="638" spans="1:15" x14ac:dyDescent="0.25">
      <c r="A638" t="s">
        <v>1004</v>
      </c>
      <c r="B638" t="s">
        <v>116</v>
      </c>
      <c r="C638" t="s">
        <v>1053</v>
      </c>
      <c r="D638" t="s">
        <v>24</v>
      </c>
      <c r="E638" t="s">
        <v>1054</v>
      </c>
      <c r="F638" t="s">
        <v>364</v>
      </c>
      <c r="G638">
        <v>1</v>
      </c>
      <c r="H638">
        <v>0</v>
      </c>
      <c r="I638">
        <v>1</v>
      </c>
      <c r="J638">
        <v>0</v>
      </c>
      <c r="K638">
        <v>1</v>
      </c>
      <c r="L638">
        <v>0</v>
      </c>
      <c r="M638">
        <v>1</v>
      </c>
      <c r="N638">
        <f t="shared" si="9"/>
        <v>4</v>
      </c>
      <c r="O638" t="str">
        <f>IF(AND($A638=Dashboard!$B$3,$B638=Dashboard!$G$3,$D638&lt;&gt;"NO_SERVICE"),ROW(),"")</f>
        <v/>
      </c>
    </row>
    <row r="639" spans="1:15" x14ac:dyDescent="0.25">
      <c r="A639" t="s">
        <v>1004</v>
      </c>
      <c r="B639" t="s">
        <v>122</v>
      </c>
      <c r="C639" t="s">
        <v>1055</v>
      </c>
      <c r="D639" t="s">
        <v>52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f t="shared" si="9"/>
        <v>0</v>
      </c>
      <c r="O639" t="str">
        <f>IF(AND($A639=Dashboard!$B$3,$B639=Dashboard!$G$3,$D639&lt;&gt;"NO_SERVICE"),ROW(),"")</f>
        <v/>
      </c>
    </row>
    <row r="640" spans="1:15" x14ac:dyDescent="0.25">
      <c r="A640" t="s">
        <v>1004</v>
      </c>
      <c r="B640" t="s">
        <v>124</v>
      </c>
      <c r="C640" t="s">
        <v>1056</v>
      </c>
      <c r="D640" t="s">
        <v>52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f t="shared" si="9"/>
        <v>0</v>
      </c>
      <c r="O640" t="str">
        <f>IF(AND($A640=Dashboard!$B$3,$B640=Dashboard!$G$3,$D640&lt;&gt;"NO_SERVICE"),ROW(),"")</f>
        <v/>
      </c>
    </row>
    <row r="641" spans="1:15" x14ac:dyDescent="0.25">
      <c r="A641" t="s">
        <v>1004</v>
      </c>
      <c r="B641" t="s">
        <v>128</v>
      </c>
      <c r="C641" t="s">
        <v>1057</v>
      </c>
      <c r="D641" t="s">
        <v>52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f t="shared" si="9"/>
        <v>0</v>
      </c>
      <c r="O641" t="str">
        <f>IF(AND($A641=Dashboard!$B$3,$B641=Dashboard!$G$3,$D641&lt;&gt;"NO_SERVICE"),ROW(),"")</f>
        <v/>
      </c>
    </row>
    <row r="642" spans="1:15" x14ac:dyDescent="0.25">
      <c r="A642" t="s">
        <v>1004</v>
      </c>
      <c r="B642" t="s">
        <v>132</v>
      </c>
      <c r="C642" t="s">
        <v>1058</v>
      </c>
      <c r="D642" t="s">
        <v>24</v>
      </c>
      <c r="E642" t="s">
        <v>1059</v>
      </c>
      <c r="F642" t="s">
        <v>488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f t="shared" ref="N642:N705" si="10">SUM(G642:M642)</f>
        <v>7</v>
      </c>
      <c r="O642" t="str">
        <f>IF(AND($A642=Dashboard!$B$3,$B642=Dashboard!$G$3,$D642&lt;&gt;"NO_SERVICE"),ROW(),"")</f>
        <v/>
      </c>
    </row>
    <row r="643" spans="1:15" x14ac:dyDescent="0.25">
      <c r="A643" t="s">
        <v>1004</v>
      </c>
      <c r="B643" t="s">
        <v>132</v>
      </c>
      <c r="C643" t="s">
        <v>1058</v>
      </c>
      <c r="D643" t="s">
        <v>24</v>
      </c>
      <c r="E643" t="s">
        <v>1018</v>
      </c>
      <c r="F643" t="s">
        <v>455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f t="shared" si="10"/>
        <v>1</v>
      </c>
      <c r="O643" t="str">
        <f>IF(AND($A643=Dashboard!$B$3,$B643=Dashboard!$G$3,$D643&lt;&gt;"NO_SERVICE"),ROW(),"")</f>
        <v/>
      </c>
    </row>
    <row r="644" spans="1:15" x14ac:dyDescent="0.25">
      <c r="A644" t="s">
        <v>1004</v>
      </c>
      <c r="B644" t="s">
        <v>132</v>
      </c>
      <c r="C644" t="s">
        <v>1058</v>
      </c>
      <c r="D644" t="s">
        <v>24</v>
      </c>
      <c r="E644" t="s">
        <v>1060</v>
      </c>
      <c r="F644" t="s">
        <v>232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f t="shared" si="10"/>
        <v>7</v>
      </c>
      <c r="O644" t="str">
        <f>IF(AND($A644=Dashboard!$B$3,$B644=Dashboard!$G$3,$D644&lt;&gt;"NO_SERVICE"),ROW(),"")</f>
        <v/>
      </c>
    </row>
    <row r="645" spans="1:15" x14ac:dyDescent="0.25">
      <c r="A645" t="s">
        <v>1004</v>
      </c>
      <c r="B645" t="s">
        <v>134</v>
      </c>
      <c r="C645" t="s">
        <v>1061</v>
      </c>
      <c r="D645" t="s">
        <v>24</v>
      </c>
      <c r="E645" t="s">
        <v>1062</v>
      </c>
      <c r="F645" t="s">
        <v>836</v>
      </c>
      <c r="G645">
        <v>1</v>
      </c>
      <c r="H645">
        <v>0</v>
      </c>
      <c r="I645">
        <v>0</v>
      </c>
      <c r="J645">
        <v>1</v>
      </c>
      <c r="K645">
        <v>1</v>
      </c>
      <c r="L645">
        <v>1</v>
      </c>
      <c r="M645">
        <v>0</v>
      </c>
      <c r="N645">
        <f t="shared" si="10"/>
        <v>4</v>
      </c>
      <c r="O645" t="str">
        <f>IF(AND($A645=Dashboard!$B$3,$B645=Dashboard!$G$3,$D645&lt;&gt;"NO_SERVICE"),ROW(),"")</f>
        <v/>
      </c>
    </row>
    <row r="646" spans="1:15" x14ac:dyDescent="0.25">
      <c r="A646" t="s">
        <v>1004</v>
      </c>
      <c r="B646" t="s">
        <v>134</v>
      </c>
      <c r="C646" t="s">
        <v>1061</v>
      </c>
      <c r="D646" t="s">
        <v>24</v>
      </c>
      <c r="E646" t="s">
        <v>1063</v>
      </c>
      <c r="F646" t="s">
        <v>413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f t="shared" si="10"/>
        <v>7</v>
      </c>
      <c r="O646" t="str">
        <f>IF(AND($A646=Dashboard!$B$3,$B646=Dashboard!$G$3,$D646&lt;&gt;"NO_SERVICE"),ROW(),"")</f>
        <v/>
      </c>
    </row>
    <row r="647" spans="1:15" x14ac:dyDescent="0.25">
      <c r="A647" t="s">
        <v>1004</v>
      </c>
      <c r="B647" t="s">
        <v>138</v>
      </c>
      <c r="C647" t="s">
        <v>1064</v>
      </c>
      <c r="D647" t="s">
        <v>52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f t="shared" si="10"/>
        <v>0</v>
      </c>
      <c r="O647" t="str">
        <f>IF(AND($A647=Dashboard!$B$3,$B647=Dashboard!$G$3,$D647&lt;&gt;"NO_SERVICE"),ROW(),"")</f>
        <v/>
      </c>
    </row>
    <row r="648" spans="1:15" x14ac:dyDescent="0.25">
      <c r="A648" t="s">
        <v>1004</v>
      </c>
      <c r="B648" t="s">
        <v>140</v>
      </c>
      <c r="C648" t="s">
        <v>1065</v>
      </c>
      <c r="D648" t="s">
        <v>52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f t="shared" si="10"/>
        <v>0</v>
      </c>
      <c r="O648" t="str">
        <f>IF(AND($A648=Dashboard!$B$3,$B648=Dashboard!$G$3,$D648&lt;&gt;"NO_SERVICE"),ROW(),"")</f>
        <v/>
      </c>
    </row>
    <row r="649" spans="1:15" x14ac:dyDescent="0.25">
      <c r="A649" t="s">
        <v>1004</v>
      </c>
      <c r="B649" t="s">
        <v>144</v>
      </c>
      <c r="C649" t="s">
        <v>1066</v>
      </c>
      <c r="D649" t="s">
        <v>24</v>
      </c>
      <c r="E649" t="s">
        <v>1067</v>
      </c>
      <c r="F649" t="s">
        <v>424</v>
      </c>
      <c r="G649">
        <v>1</v>
      </c>
      <c r="H649">
        <v>0</v>
      </c>
      <c r="I649">
        <v>1</v>
      </c>
      <c r="J649">
        <v>0</v>
      </c>
      <c r="K649">
        <v>1</v>
      </c>
      <c r="L649">
        <v>1</v>
      </c>
      <c r="M649">
        <v>1</v>
      </c>
      <c r="N649">
        <f t="shared" si="10"/>
        <v>5</v>
      </c>
      <c r="O649" t="str">
        <f>IF(AND($A649=Dashboard!$B$3,$B649=Dashboard!$G$3,$D649&lt;&gt;"NO_SERVICE"),ROW(),"")</f>
        <v/>
      </c>
    </row>
    <row r="650" spans="1:15" x14ac:dyDescent="0.25">
      <c r="A650" t="s">
        <v>1004</v>
      </c>
      <c r="B650" t="s">
        <v>148</v>
      </c>
      <c r="C650" t="s">
        <v>1068</v>
      </c>
      <c r="D650" t="s">
        <v>52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f t="shared" si="10"/>
        <v>0</v>
      </c>
      <c r="O650" t="str">
        <f>IF(AND($A650=Dashboard!$B$3,$B650=Dashboard!$G$3,$D650&lt;&gt;"NO_SERVICE"),ROW(),"")</f>
        <v/>
      </c>
    </row>
    <row r="651" spans="1:15" x14ac:dyDescent="0.25">
      <c r="A651" t="s">
        <v>1004</v>
      </c>
      <c r="B651" t="s">
        <v>150</v>
      </c>
      <c r="C651" t="s">
        <v>1069</v>
      </c>
      <c r="D651" t="s">
        <v>24</v>
      </c>
      <c r="E651" t="s">
        <v>1070</v>
      </c>
      <c r="F651" t="s">
        <v>534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f t="shared" si="10"/>
        <v>7</v>
      </c>
      <c r="O651" t="str">
        <f>IF(AND($A651=Dashboard!$B$3,$B651=Dashboard!$G$3,$D651&lt;&gt;"NO_SERVICE"),ROW(),"")</f>
        <v/>
      </c>
    </row>
    <row r="652" spans="1:15" x14ac:dyDescent="0.25">
      <c r="A652" t="s">
        <v>1004</v>
      </c>
      <c r="B652" t="s">
        <v>150</v>
      </c>
      <c r="C652" t="s">
        <v>1069</v>
      </c>
      <c r="D652" t="s">
        <v>24</v>
      </c>
      <c r="E652" t="s">
        <v>1071</v>
      </c>
      <c r="F652" t="s">
        <v>806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f t="shared" si="10"/>
        <v>7</v>
      </c>
      <c r="O652" t="str">
        <f>IF(AND($A652=Dashboard!$B$3,$B652=Dashboard!$G$3,$D652&lt;&gt;"NO_SERVICE"),ROW(),"")</f>
        <v/>
      </c>
    </row>
    <row r="653" spans="1:15" x14ac:dyDescent="0.25">
      <c r="A653" t="s">
        <v>1004</v>
      </c>
      <c r="B653" t="s">
        <v>152</v>
      </c>
      <c r="C653" t="s">
        <v>1072</v>
      </c>
      <c r="D653" t="s">
        <v>24</v>
      </c>
      <c r="E653" t="s">
        <v>1073</v>
      </c>
      <c r="F653" t="s">
        <v>215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f t="shared" si="10"/>
        <v>7</v>
      </c>
      <c r="O653" t="str">
        <f>IF(AND($A653=Dashboard!$B$3,$B653=Dashboard!$G$3,$D653&lt;&gt;"NO_SERVICE"),ROW(),"")</f>
        <v/>
      </c>
    </row>
    <row r="654" spans="1:15" x14ac:dyDescent="0.25">
      <c r="A654" t="s">
        <v>1004</v>
      </c>
      <c r="B654" t="s">
        <v>152</v>
      </c>
      <c r="C654" t="s">
        <v>1072</v>
      </c>
      <c r="D654" t="s">
        <v>24</v>
      </c>
      <c r="E654" t="s">
        <v>1074</v>
      </c>
      <c r="F654" t="s">
        <v>1030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f t="shared" si="10"/>
        <v>7</v>
      </c>
      <c r="O654" t="str">
        <f>IF(AND($A654=Dashboard!$B$3,$B654=Dashboard!$G$3,$D654&lt;&gt;"NO_SERVICE"),ROW(),"")</f>
        <v/>
      </c>
    </row>
    <row r="655" spans="1:15" x14ac:dyDescent="0.25">
      <c r="A655" t="s">
        <v>1004</v>
      </c>
      <c r="B655" t="s">
        <v>152</v>
      </c>
      <c r="C655" t="s">
        <v>1072</v>
      </c>
      <c r="D655" t="s">
        <v>24</v>
      </c>
      <c r="E655" t="s">
        <v>1075</v>
      </c>
      <c r="F655" t="s">
        <v>315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f t="shared" si="10"/>
        <v>7</v>
      </c>
      <c r="O655" t="str">
        <f>IF(AND($A655=Dashboard!$B$3,$B655=Dashboard!$G$3,$D655&lt;&gt;"NO_SERVICE"),ROW(),"")</f>
        <v/>
      </c>
    </row>
    <row r="656" spans="1:15" x14ac:dyDescent="0.25">
      <c r="A656" t="s">
        <v>1004</v>
      </c>
      <c r="B656" t="s">
        <v>152</v>
      </c>
      <c r="C656" t="s">
        <v>1072</v>
      </c>
      <c r="D656" t="s">
        <v>24</v>
      </c>
      <c r="E656" t="s">
        <v>1076</v>
      </c>
      <c r="F656" t="s">
        <v>872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f t="shared" si="10"/>
        <v>7</v>
      </c>
      <c r="O656" t="str">
        <f>IF(AND($A656=Dashboard!$B$3,$B656=Dashboard!$G$3,$D656&lt;&gt;"NO_SERVICE"),ROW(),"")</f>
        <v/>
      </c>
    </row>
    <row r="657" spans="1:15" x14ac:dyDescent="0.25">
      <c r="A657" t="s">
        <v>1004</v>
      </c>
      <c r="B657" t="s">
        <v>152</v>
      </c>
      <c r="C657" t="s">
        <v>1072</v>
      </c>
      <c r="D657" t="s">
        <v>24</v>
      </c>
      <c r="E657" t="s">
        <v>1077</v>
      </c>
      <c r="F657" t="s">
        <v>949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f t="shared" si="10"/>
        <v>7</v>
      </c>
      <c r="O657" t="str">
        <f>IF(AND($A657=Dashboard!$B$3,$B657=Dashboard!$G$3,$D657&lt;&gt;"NO_SERVICE"),ROW(),"")</f>
        <v/>
      </c>
    </row>
    <row r="658" spans="1:15" x14ac:dyDescent="0.25">
      <c r="A658" t="s">
        <v>1004</v>
      </c>
      <c r="B658" t="s">
        <v>152</v>
      </c>
      <c r="C658" t="s">
        <v>1072</v>
      </c>
      <c r="D658" t="s">
        <v>24</v>
      </c>
      <c r="E658" t="s">
        <v>1078</v>
      </c>
      <c r="F658" t="s">
        <v>392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f t="shared" si="10"/>
        <v>7</v>
      </c>
      <c r="O658" t="str">
        <f>IF(AND($A658=Dashboard!$B$3,$B658=Dashboard!$G$3,$D658&lt;&gt;"NO_SERVICE"),ROW(),"")</f>
        <v/>
      </c>
    </row>
    <row r="659" spans="1:15" x14ac:dyDescent="0.25">
      <c r="A659" t="s">
        <v>1079</v>
      </c>
      <c r="B659" t="s">
        <v>46</v>
      </c>
      <c r="C659" t="s">
        <v>1080</v>
      </c>
      <c r="D659" t="s">
        <v>21</v>
      </c>
      <c r="E659" t="s">
        <v>1081</v>
      </c>
      <c r="F659" t="s">
        <v>1082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f t="shared" si="10"/>
        <v>7</v>
      </c>
      <c r="O659" t="str">
        <f>IF(AND($A659=Dashboard!$B$3,$B659=Dashboard!$G$3,$D659&lt;&gt;"NO_SERVICE"),ROW(),"")</f>
        <v/>
      </c>
    </row>
    <row r="660" spans="1:15" x14ac:dyDescent="0.25">
      <c r="A660" t="s">
        <v>1079</v>
      </c>
      <c r="B660" t="s">
        <v>50</v>
      </c>
      <c r="C660" t="s">
        <v>1083</v>
      </c>
      <c r="D660" t="s">
        <v>24</v>
      </c>
      <c r="E660" t="s">
        <v>1084</v>
      </c>
      <c r="F660" t="s">
        <v>1085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f t="shared" si="10"/>
        <v>7</v>
      </c>
      <c r="O660" t="str">
        <f>IF(AND($A660=Dashboard!$B$3,$B660=Dashboard!$G$3,$D660&lt;&gt;"NO_SERVICE"),ROW(),"")</f>
        <v/>
      </c>
    </row>
    <row r="661" spans="1:15" x14ac:dyDescent="0.25">
      <c r="A661" t="s">
        <v>1079</v>
      </c>
      <c r="B661" t="s">
        <v>53</v>
      </c>
      <c r="C661" t="s">
        <v>1086</v>
      </c>
      <c r="D661" t="s">
        <v>24</v>
      </c>
      <c r="E661" t="s">
        <v>1087</v>
      </c>
      <c r="F661" t="s">
        <v>1088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f t="shared" si="10"/>
        <v>7</v>
      </c>
      <c r="O661" t="str">
        <f>IF(AND($A661=Dashboard!$B$3,$B661=Dashboard!$G$3,$D661&lt;&gt;"NO_SERVICE"),ROW(),"")</f>
        <v/>
      </c>
    </row>
    <row r="662" spans="1:15" x14ac:dyDescent="0.25">
      <c r="A662" t="s">
        <v>1079</v>
      </c>
      <c r="B662" t="s">
        <v>53</v>
      </c>
      <c r="C662" t="s">
        <v>1086</v>
      </c>
      <c r="D662" t="s">
        <v>21</v>
      </c>
      <c r="E662" t="s">
        <v>1089</v>
      </c>
      <c r="F662" t="s">
        <v>1090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f t="shared" si="10"/>
        <v>7</v>
      </c>
      <c r="O662" t="str">
        <f>IF(AND($A662=Dashboard!$B$3,$B662=Dashboard!$G$3,$D662&lt;&gt;"NO_SERVICE"),ROW(),"")</f>
        <v/>
      </c>
    </row>
    <row r="663" spans="1:15" x14ac:dyDescent="0.25">
      <c r="A663" t="s">
        <v>1079</v>
      </c>
      <c r="B663" t="s">
        <v>57</v>
      </c>
      <c r="C663" t="s">
        <v>1091</v>
      </c>
      <c r="D663" t="s">
        <v>24</v>
      </c>
      <c r="E663" t="s">
        <v>1092</v>
      </c>
      <c r="F663" t="s">
        <v>398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0</v>
      </c>
      <c r="M663">
        <v>1</v>
      </c>
      <c r="N663">
        <f t="shared" si="10"/>
        <v>6</v>
      </c>
      <c r="O663" t="str">
        <f>IF(AND($A663=Dashboard!$B$3,$B663=Dashboard!$G$3,$D663&lt;&gt;"NO_SERVICE"),ROW(),"")</f>
        <v/>
      </c>
    </row>
    <row r="664" spans="1:15" x14ac:dyDescent="0.25">
      <c r="A664" t="s">
        <v>1079</v>
      </c>
      <c r="B664" t="s">
        <v>63</v>
      </c>
      <c r="C664" t="s">
        <v>1093</v>
      </c>
      <c r="D664" t="s">
        <v>24</v>
      </c>
      <c r="E664" t="s">
        <v>1094</v>
      </c>
      <c r="F664" t="s">
        <v>1095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f t="shared" si="10"/>
        <v>7</v>
      </c>
      <c r="O664" t="str">
        <f>IF(AND($A664=Dashboard!$B$3,$B664=Dashboard!$G$3,$D664&lt;&gt;"NO_SERVICE"),ROW(),"")</f>
        <v/>
      </c>
    </row>
    <row r="665" spans="1:15" x14ac:dyDescent="0.25">
      <c r="A665" t="s">
        <v>1079</v>
      </c>
      <c r="B665" t="s">
        <v>67</v>
      </c>
      <c r="C665" t="s">
        <v>1096</v>
      </c>
      <c r="D665" t="s">
        <v>24</v>
      </c>
      <c r="E665" t="s">
        <v>1097</v>
      </c>
      <c r="F665" t="s">
        <v>1098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f t="shared" si="10"/>
        <v>7</v>
      </c>
      <c r="O665" t="str">
        <f>IF(AND($A665=Dashboard!$B$3,$B665=Dashboard!$G$3,$D665&lt;&gt;"NO_SERVICE"),ROW(),"")</f>
        <v/>
      </c>
    </row>
    <row r="666" spans="1:15" x14ac:dyDescent="0.25">
      <c r="A666" t="s">
        <v>1079</v>
      </c>
      <c r="B666" t="s">
        <v>67</v>
      </c>
      <c r="C666" t="s">
        <v>1096</v>
      </c>
      <c r="D666" t="s">
        <v>24</v>
      </c>
      <c r="E666" t="s">
        <v>1099</v>
      </c>
      <c r="F666" t="s">
        <v>282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f t="shared" si="10"/>
        <v>7</v>
      </c>
      <c r="O666" t="str">
        <f>IF(AND($A666=Dashboard!$B$3,$B666=Dashboard!$G$3,$D666&lt;&gt;"NO_SERVICE"),ROW(),"")</f>
        <v/>
      </c>
    </row>
    <row r="667" spans="1:15" x14ac:dyDescent="0.25">
      <c r="A667" t="s">
        <v>1079</v>
      </c>
      <c r="B667" t="s">
        <v>67</v>
      </c>
      <c r="C667" t="s">
        <v>1096</v>
      </c>
      <c r="D667" t="s">
        <v>24</v>
      </c>
      <c r="E667" t="s">
        <v>1100</v>
      </c>
      <c r="F667" t="s">
        <v>801</v>
      </c>
      <c r="G667">
        <v>0</v>
      </c>
      <c r="H667">
        <v>1</v>
      </c>
      <c r="I667">
        <v>0</v>
      </c>
      <c r="J667">
        <v>1</v>
      </c>
      <c r="K667">
        <v>0</v>
      </c>
      <c r="L667">
        <v>0</v>
      </c>
      <c r="M667">
        <v>0</v>
      </c>
      <c r="N667">
        <f t="shared" si="10"/>
        <v>2</v>
      </c>
      <c r="O667" t="str">
        <f>IF(AND($A667=Dashboard!$B$3,$B667=Dashboard!$G$3,$D667&lt;&gt;"NO_SERVICE"),ROW(),"")</f>
        <v/>
      </c>
    </row>
    <row r="668" spans="1:15" x14ac:dyDescent="0.25">
      <c r="A668" t="s">
        <v>1079</v>
      </c>
      <c r="B668" t="s">
        <v>67</v>
      </c>
      <c r="C668" t="s">
        <v>1096</v>
      </c>
      <c r="D668" t="s">
        <v>21</v>
      </c>
      <c r="E668" t="s">
        <v>1101</v>
      </c>
      <c r="F668" t="s">
        <v>424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f t="shared" si="10"/>
        <v>7</v>
      </c>
      <c r="O668" t="str">
        <f>IF(AND($A668=Dashboard!$B$3,$B668=Dashboard!$G$3,$D668&lt;&gt;"NO_SERVICE"),ROW(),"")</f>
        <v/>
      </c>
    </row>
    <row r="669" spans="1:15" x14ac:dyDescent="0.25">
      <c r="A669" t="s">
        <v>1079</v>
      </c>
      <c r="B669" t="s">
        <v>73</v>
      </c>
      <c r="C669" t="s">
        <v>1102</v>
      </c>
      <c r="D669" t="s">
        <v>21</v>
      </c>
      <c r="E669" t="s">
        <v>1103</v>
      </c>
      <c r="F669" t="s">
        <v>664</v>
      </c>
      <c r="G669">
        <v>1</v>
      </c>
      <c r="H669">
        <v>0</v>
      </c>
      <c r="I669">
        <v>1</v>
      </c>
      <c r="J669">
        <v>1</v>
      </c>
      <c r="K669">
        <v>1</v>
      </c>
      <c r="L669">
        <v>0</v>
      </c>
      <c r="M669">
        <v>1</v>
      </c>
      <c r="N669">
        <f t="shared" si="10"/>
        <v>5</v>
      </c>
      <c r="O669" t="str">
        <f>IF(AND($A669=Dashboard!$B$3,$B669=Dashboard!$G$3,$D669&lt;&gt;"NO_SERVICE"),ROW(),"")</f>
        <v/>
      </c>
    </row>
    <row r="670" spans="1:15" x14ac:dyDescent="0.25">
      <c r="A670" t="s">
        <v>1079</v>
      </c>
      <c r="B670" t="s">
        <v>79</v>
      </c>
      <c r="C670" t="s">
        <v>1104</v>
      </c>
      <c r="D670" t="s">
        <v>52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f t="shared" si="10"/>
        <v>0</v>
      </c>
      <c r="O670" t="str">
        <f>IF(AND($A670=Dashboard!$B$3,$B670=Dashboard!$G$3,$D670&lt;&gt;"NO_SERVICE"),ROW(),"")</f>
        <v/>
      </c>
    </row>
    <row r="671" spans="1:15" x14ac:dyDescent="0.25">
      <c r="A671" t="s">
        <v>1079</v>
      </c>
      <c r="B671" t="s">
        <v>81</v>
      </c>
      <c r="C671" t="s">
        <v>1105</v>
      </c>
      <c r="D671" t="s">
        <v>52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f t="shared" si="10"/>
        <v>0</v>
      </c>
      <c r="O671" t="str">
        <f>IF(AND($A671=Dashboard!$B$3,$B671=Dashboard!$G$3,$D671&lt;&gt;"NO_SERVICE"),ROW(),"")</f>
        <v/>
      </c>
    </row>
    <row r="672" spans="1:15" x14ac:dyDescent="0.25">
      <c r="A672" t="s">
        <v>1079</v>
      </c>
      <c r="B672" t="s">
        <v>83</v>
      </c>
      <c r="C672" t="s">
        <v>1106</v>
      </c>
      <c r="D672" t="s">
        <v>24</v>
      </c>
      <c r="E672" t="s">
        <v>1107</v>
      </c>
      <c r="F672" t="s">
        <v>1108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f t="shared" si="10"/>
        <v>7</v>
      </c>
      <c r="O672" t="str">
        <f>IF(AND($A672=Dashboard!$B$3,$B672=Dashboard!$G$3,$D672&lt;&gt;"NO_SERVICE"),ROW(),"")</f>
        <v/>
      </c>
    </row>
    <row r="673" spans="1:15" x14ac:dyDescent="0.25">
      <c r="A673" t="s">
        <v>1079</v>
      </c>
      <c r="B673" t="s">
        <v>83</v>
      </c>
      <c r="C673" t="s">
        <v>1106</v>
      </c>
      <c r="D673" t="s">
        <v>21</v>
      </c>
      <c r="E673" t="s">
        <v>1109</v>
      </c>
      <c r="F673" t="s">
        <v>165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0</v>
      </c>
      <c r="M673">
        <v>1</v>
      </c>
      <c r="N673">
        <f t="shared" si="10"/>
        <v>6</v>
      </c>
      <c r="O673" t="str">
        <f>IF(AND($A673=Dashboard!$B$3,$B673=Dashboard!$G$3,$D673&lt;&gt;"NO_SERVICE"),ROW(),"")</f>
        <v/>
      </c>
    </row>
    <row r="674" spans="1:15" x14ac:dyDescent="0.25">
      <c r="A674" t="s">
        <v>1079</v>
      </c>
      <c r="B674" t="s">
        <v>91</v>
      </c>
      <c r="C674" t="s">
        <v>1110</v>
      </c>
      <c r="D674" t="s">
        <v>24</v>
      </c>
      <c r="E674" t="s">
        <v>1111</v>
      </c>
      <c r="F674" t="s">
        <v>1112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f t="shared" si="10"/>
        <v>7</v>
      </c>
      <c r="O674" t="str">
        <f>IF(AND($A674=Dashboard!$B$3,$B674=Dashboard!$G$3,$D674&lt;&gt;"NO_SERVICE"),ROW(),"")</f>
        <v/>
      </c>
    </row>
    <row r="675" spans="1:15" x14ac:dyDescent="0.25">
      <c r="A675" t="s">
        <v>1079</v>
      </c>
      <c r="B675" t="s">
        <v>91</v>
      </c>
      <c r="C675" t="s">
        <v>1110</v>
      </c>
      <c r="D675" t="s">
        <v>21</v>
      </c>
      <c r="E675" t="s">
        <v>1113</v>
      </c>
      <c r="F675" t="s">
        <v>738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0</v>
      </c>
      <c r="M675">
        <v>1</v>
      </c>
      <c r="N675">
        <f t="shared" si="10"/>
        <v>6</v>
      </c>
      <c r="O675" t="str">
        <f>IF(AND($A675=Dashboard!$B$3,$B675=Dashboard!$G$3,$D675&lt;&gt;"NO_SERVICE"),ROW(),"")</f>
        <v/>
      </c>
    </row>
    <row r="676" spans="1:15" x14ac:dyDescent="0.25">
      <c r="A676" t="s">
        <v>1079</v>
      </c>
      <c r="B676" t="s">
        <v>97</v>
      </c>
      <c r="C676" t="s">
        <v>1114</v>
      </c>
      <c r="D676" t="s">
        <v>24</v>
      </c>
      <c r="E676" t="s">
        <v>1115</v>
      </c>
      <c r="F676" t="s">
        <v>637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f t="shared" si="10"/>
        <v>7</v>
      </c>
      <c r="O676" t="str">
        <f>IF(AND($A676=Dashboard!$B$3,$B676=Dashboard!$G$3,$D676&lt;&gt;"NO_SERVICE"),ROW(),"")</f>
        <v/>
      </c>
    </row>
    <row r="677" spans="1:15" x14ac:dyDescent="0.25">
      <c r="A677" t="s">
        <v>1079</v>
      </c>
      <c r="B677" t="s">
        <v>97</v>
      </c>
      <c r="C677" t="s">
        <v>1114</v>
      </c>
      <c r="D677" t="s">
        <v>24</v>
      </c>
      <c r="E677" t="s">
        <v>1116</v>
      </c>
      <c r="F677" t="s">
        <v>300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0</v>
      </c>
      <c r="M677">
        <v>1</v>
      </c>
      <c r="N677">
        <f t="shared" si="10"/>
        <v>6</v>
      </c>
      <c r="O677" t="str">
        <f>IF(AND($A677=Dashboard!$B$3,$B677=Dashboard!$G$3,$D677&lt;&gt;"NO_SERVICE"),ROW(),"")</f>
        <v/>
      </c>
    </row>
    <row r="678" spans="1:15" x14ac:dyDescent="0.25">
      <c r="A678" t="s">
        <v>1079</v>
      </c>
      <c r="B678" t="s">
        <v>97</v>
      </c>
      <c r="C678" t="s">
        <v>1114</v>
      </c>
      <c r="D678" t="s">
        <v>24</v>
      </c>
      <c r="E678" t="s">
        <v>1117</v>
      </c>
      <c r="F678" t="s">
        <v>1118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f t="shared" si="10"/>
        <v>7</v>
      </c>
      <c r="O678" t="str">
        <f>IF(AND($A678=Dashboard!$B$3,$B678=Dashboard!$G$3,$D678&lt;&gt;"NO_SERVICE"),ROW(),"")</f>
        <v/>
      </c>
    </row>
    <row r="679" spans="1:15" x14ac:dyDescent="0.25">
      <c r="A679" t="s">
        <v>1079</v>
      </c>
      <c r="B679" t="s">
        <v>103</v>
      </c>
      <c r="C679" t="s">
        <v>1119</v>
      </c>
      <c r="D679" t="s">
        <v>24</v>
      </c>
      <c r="E679" t="s">
        <v>1120</v>
      </c>
      <c r="F679" t="s">
        <v>1121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f t="shared" si="10"/>
        <v>7</v>
      </c>
      <c r="O679" t="str">
        <f>IF(AND($A679=Dashboard!$B$3,$B679=Dashboard!$G$3,$D679&lt;&gt;"NO_SERVICE"),ROW(),"")</f>
        <v/>
      </c>
    </row>
    <row r="680" spans="1:15" x14ac:dyDescent="0.25">
      <c r="A680" t="s">
        <v>1079</v>
      </c>
      <c r="B680" t="s">
        <v>103</v>
      </c>
      <c r="C680" t="s">
        <v>1119</v>
      </c>
      <c r="D680" t="s">
        <v>24</v>
      </c>
      <c r="E680" t="s">
        <v>1122</v>
      </c>
      <c r="F680" t="s">
        <v>244</v>
      </c>
      <c r="G680">
        <v>0</v>
      </c>
      <c r="H680">
        <v>0</v>
      </c>
      <c r="I680">
        <v>1</v>
      </c>
      <c r="J680">
        <v>0</v>
      </c>
      <c r="K680">
        <v>1</v>
      </c>
      <c r="L680">
        <v>0</v>
      </c>
      <c r="M680">
        <v>1</v>
      </c>
      <c r="N680">
        <f t="shared" si="10"/>
        <v>3</v>
      </c>
      <c r="O680" t="str">
        <f>IF(AND($A680=Dashboard!$B$3,$B680=Dashboard!$G$3,$D680&lt;&gt;"NO_SERVICE"),ROW(),"")</f>
        <v/>
      </c>
    </row>
    <row r="681" spans="1:15" x14ac:dyDescent="0.25">
      <c r="A681" t="s">
        <v>1079</v>
      </c>
      <c r="B681" t="s">
        <v>109</v>
      </c>
      <c r="C681" t="s">
        <v>1123</v>
      </c>
      <c r="D681" t="s">
        <v>24</v>
      </c>
      <c r="E681" t="s">
        <v>1124</v>
      </c>
      <c r="F681" t="s">
        <v>143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f t="shared" si="10"/>
        <v>7</v>
      </c>
      <c r="O681" t="str">
        <f>IF(AND($A681=Dashboard!$B$3,$B681=Dashboard!$G$3,$D681&lt;&gt;"NO_SERVICE"),ROW(),"")</f>
        <v/>
      </c>
    </row>
    <row r="682" spans="1:15" x14ac:dyDescent="0.25">
      <c r="A682" t="s">
        <v>1079</v>
      </c>
      <c r="B682" t="s">
        <v>113</v>
      </c>
      <c r="C682" t="s">
        <v>1125</v>
      </c>
      <c r="D682" t="s">
        <v>24</v>
      </c>
      <c r="E682" t="s">
        <v>1126</v>
      </c>
      <c r="F682" t="s">
        <v>182</v>
      </c>
      <c r="G682">
        <v>0</v>
      </c>
      <c r="H682">
        <v>1</v>
      </c>
      <c r="I682">
        <v>0</v>
      </c>
      <c r="J682">
        <v>1</v>
      </c>
      <c r="K682">
        <v>0</v>
      </c>
      <c r="L682">
        <v>1</v>
      </c>
      <c r="M682">
        <v>0</v>
      </c>
      <c r="N682">
        <f t="shared" si="10"/>
        <v>3</v>
      </c>
      <c r="O682" t="str">
        <f>IF(AND($A682=Dashboard!$B$3,$B682=Dashboard!$G$3,$D682&lt;&gt;"NO_SERVICE"),ROW(),"")</f>
        <v/>
      </c>
    </row>
    <row r="683" spans="1:15" x14ac:dyDescent="0.25">
      <c r="A683" t="s">
        <v>1079</v>
      </c>
      <c r="B683" t="s">
        <v>116</v>
      </c>
      <c r="C683" t="s">
        <v>1127</v>
      </c>
      <c r="D683" t="s">
        <v>24</v>
      </c>
      <c r="E683" t="s">
        <v>1128</v>
      </c>
      <c r="F683" t="s">
        <v>1129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f t="shared" si="10"/>
        <v>7</v>
      </c>
      <c r="O683" t="str">
        <f>IF(AND($A683=Dashboard!$B$3,$B683=Dashboard!$G$3,$D683&lt;&gt;"NO_SERVICE"),ROW(),"")</f>
        <v/>
      </c>
    </row>
    <row r="684" spans="1:15" x14ac:dyDescent="0.25">
      <c r="A684" t="s">
        <v>1079</v>
      </c>
      <c r="B684" t="s">
        <v>116</v>
      </c>
      <c r="C684" t="s">
        <v>1127</v>
      </c>
      <c r="D684" t="s">
        <v>21</v>
      </c>
      <c r="E684" t="s">
        <v>1130</v>
      </c>
      <c r="F684" t="s">
        <v>1131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f t="shared" si="10"/>
        <v>7</v>
      </c>
      <c r="O684" t="str">
        <f>IF(AND($A684=Dashboard!$B$3,$B684=Dashboard!$G$3,$D684&lt;&gt;"NO_SERVICE"),ROW(),"")</f>
        <v/>
      </c>
    </row>
    <row r="685" spans="1:15" x14ac:dyDescent="0.25">
      <c r="A685" t="s">
        <v>1079</v>
      </c>
      <c r="B685" t="s">
        <v>122</v>
      </c>
      <c r="C685" t="s">
        <v>1132</v>
      </c>
      <c r="D685" t="s">
        <v>52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f t="shared" si="10"/>
        <v>0</v>
      </c>
      <c r="O685" t="str">
        <f>IF(AND($A685=Dashboard!$B$3,$B685=Dashboard!$G$3,$D685&lt;&gt;"NO_SERVICE"),ROW(),"")</f>
        <v/>
      </c>
    </row>
    <row r="686" spans="1:15" x14ac:dyDescent="0.25">
      <c r="A686" t="s">
        <v>1079</v>
      </c>
      <c r="B686" t="s">
        <v>124</v>
      </c>
      <c r="C686" t="s">
        <v>1133</v>
      </c>
      <c r="D686" t="s">
        <v>52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f t="shared" si="10"/>
        <v>0</v>
      </c>
      <c r="O686" t="str">
        <f>IF(AND($A686=Dashboard!$B$3,$B686=Dashboard!$G$3,$D686&lt;&gt;"NO_SERVICE"),ROW(),"")</f>
        <v/>
      </c>
    </row>
    <row r="687" spans="1:15" x14ac:dyDescent="0.25">
      <c r="A687" t="s">
        <v>1079</v>
      </c>
      <c r="B687" t="s">
        <v>128</v>
      </c>
      <c r="C687" t="s">
        <v>1134</v>
      </c>
      <c r="D687" t="s">
        <v>52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f t="shared" si="10"/>
        <v>0</v>
      </c>
      <c r="O687" t="str">
        <f>IF(AND($A687=Dashboard!$B$3,$B687=Dashboard!$G$3,$D687&lt;&gt;"NO_SERVICE"),ROW(),"")</f>
        <v/>
      </c>
    </row>
    <row r="688" spans="1:15" x14ac:dyDescent="0.25">
      <c r="A688" t="s">
        <v>1079</v>
      </c>
      <c r="B688" t="s">
        <v>132</v>
      </c>
      <c r="C688" t="s">
        <v>1135</v>
      </c>
      <c r="D688" t="s">
        <v>52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f t="shared" si="10"/>
        <v>0</v>
      </c>
      <c r="O688" t="str">
        <f>IF(AND($A688=Dashboard!$B$3,$B688=Dashboard!$G$3,$D688&lt;&gt;"NO_SERVICE"),ROW(),"")</f>
        <v/>
      </c>
    </row>
    <row r="689" spans="1:15" x14ac:dyDescent="0.25">
      <c r="A689" t="s">
        <v>1079</v>
      </c>
      <c r="B689" t="s">
        <v>134</v>
      </c>
      <c r="C689" t="s">
        <v>1136</v>
      </c>
      <c r="D689" t="s">
        <v>52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f t="shared" si="10"/>
        <v>0</v>
      </c>
      <c r="O689" t="str">
        <f>IF(AND($A689=Dashboard!$B$3,$B689=Dashboard!$G$3,$D689&lt;&gt;"NO_SERVICE"),ROW(),"")</f>
        <v/>
      </c>
    </row>
    <row r="690" spans="1:15" x14ac:dyDescent="0.25">
      <c r="A690" t="s">
        <v>1079</v>
      </c>
      <c r="B690" t="s">
        <v>138</v>
      </c>
      <c r="C690" t="s">
        <v>1137</v>
      </c>
      <c r="D690" t="s">
        <v>52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f t="shared" si="10"/>
        <v>0</v>
      </c>
      <c r="O690" t="str">
        <f>IF(AND($A690=Dashboard!$B$3,$B690=Dashboard!$G$3,$D690&lt;&gt;"NO_SERVICE"),ROW(),"")</f>
        <v/>
      </c>
    </row>
    <row r="691" spans="1:15" x14ac:dyDescent="0.25">
      <c r="A691" t="s">
        <v>1079</v>
      </c>
      <c r="B691" t="s">
        <v>140</v>
      </c>
      <c r="C691" t="s">
        <v>1138</v>
      </c>
      <c r="D691" t="s">
        <v>24</v>
      </c>
      <c r="E691" t="s">
        <v>1139</v>
      </c>
      <c r="F691" t="s">
        <v>1140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f t="shared" si="10"/>
        <v>7</v>
      </c>
      <c r="O691" t="str">
        <f>IF(AND($A691=Dashboard!$B$3,$B691=Dashboard!$G$3,$D691&lt;&gt;"NO_SERVICE"),ROW(),"")</f>
        <v/>
      </c>
    </row>
    <row r="692" spans="1:15" x14ac:dyDescent="0.25">
      <c r="A692" t="s">
        <v>1079</v>
      </c>
      <c r="B692" t="s">
        <v>144</v>
      </c>
      <c r="C692" t="s">
        <v>1141</v>
      </c>
      <c r="D692" t="s">
        <v>24</v>
      </c>
      <c r="E692" t="s">
        <v>1142</v>
      </c>
      <c r="F692" t="s">
        <v>250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f t="shared" si="10"/>
        <v>7</v>
      </c>
      <c r="O692" t="str">
        <f>IF(AND($A692=Dashboard!$B$3,$B692=Dashboard!$G$3,$D692&lt;&gt;"NO_SERVICE"),ROW(),"")</f>
        <v/>
      </c>
    </row>
    <row r="693" spans="1:15" x14ac:dyDescent="0.25">
      <c r="A693" t="s">
        <v>1079</v>
      </c>
      <c r="B693" t="s">
        <v>148</v>
      </c>
      <c r="C693" t="s">
        <v>1143</v>
      </c>
      <c r="D693" t="s">
        <v>52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f t="shared" si="10"/>
        <v>0</v>
      </c>
      <c r="O693" t="str">
        <f>IF(AND($A693=Dashboard!$B$3,$B693=Dashboard!$G$3,$D693&lt;&gt;"NO_SERVICE"),ROW(),"")</f>
        <v/>
      </c>
    </row>
    <row r="694" spans="1:15" x14ac:dyDescent="0.25">
      <c r="A694" t="s">
        <v>1079</v>
      </c>
      <c r="B694" t="s">
        <v>150</v>
      </c>
      <c r="C694" t="s">
        <v>1144</v>
      </c>
      <c r="D694" t="s">
        <v>52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f t="shared" si="10"/>
        <v>0</v>
      </c>
      <c r="O694" t="str">
        <f>IF(AND($A694=Dashboard!$B$3,$B694=Dashboard!$G$3,$D694&lt;&gt;"NO_SERVICE"),ROW(),"")</f>
        <v/>
      </c>
    </row>
    <row r="695" spans="1:15" x14ac:dyDescent="0.25">
      <c r="A695" t="s">
        <v>1079</v>
      </c>
      <c r="B695" t="s">
        <v>152</v>
      </c>
      <c r="C695" t="s">
        <v>1145</v>
      </c>
      <c r="D695" t="s">
        <v>52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f t="shared" si="10"/>
        <v>0</v>
      </c>
      <c r="O695" t="str">
        <f>IF(AND($A695=Dashboard!$B$3,$B695=Dashboard!$G$3,$D695&lt;&gt;"NO_SERVICE"),ROW(),"")</f>
        <v/>
      </c>
    </row>
    <row r="696" spans="1:15" x14ac:dyDescent="0.25">
      <c r="A696" t="s">
        <v>154</v>
      </c>
      <c r="B696" t="s">
        <v>63</v>
      </c>
      <c r="C696" t="s">
        <v>1146</v>
      </c>
      <c r="D696" t="s">
        <v>24</v>
      </c>
      <c r="E696" t="s">
        <v>1147</v>
      </c>
      <c r="F696" t="s">
        <v>1148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f t="shared" si="10"/>
        <v>7</v>
      </c>
      <c r="O696" t="str">
        <f>IF(AND($A696=Dashboard!$B$3,$B696=Dashboard!$G$3,$D696&lt;&gt;"NO_SERVICE"),ROW(),"")</f>
        <v/>
      </c>
    </row>
    <row r="697" spans="1:15" x14ac:dyDescent="0.25">
      <c r="A697" t="s">
        <v>154</v>
      </c>
      <c r="B697" t="s">
        <v>63</v>
      </c>
      <c r="C697" t="s">
        <v>1146</v>
      </c>
      <c r="D697" t="s">
        <v>24</v>
      </c>
      <c r="E697" t="s">
        <v>1149</v>
      </c>
      <c r="F697" t="s">
        <v>729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f t="shared" si="10"/>
        <v>7</v>
      </c>
      <c r="O697" t="str">
        <f>IF(AND($A697=Dashboard!$B$3,$B697=Dashboard!$G$3,$D697&lt;&gt;"NO_SERVICE"),ROW(),"")</f>
        <v/>
      </c>
    </row>
    <row r="698" spans="1:15" x14ac:dyDescent="0.25">
      <c r="A698" t="s">
        <v>154</v>
      </c>
      <c r="B698" t="s">
        <v>63</v>
      </c>
      <c r="C698" t="s">
        <v>1146</v>
      </c>
      <c r="D698" t="s">
        <v>21</v>
      </c>
      <c r="E698" t="s">
        <v>1150</v>
      </c>
      <c r="F698" t="s">
        <v>143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f t="shared" si="10"/>
        <v>7</v>
      </c>
      <c r="O698" t="str">
        <f>IF(AND($A698=Dashboard!$B$3,$B698=Dashboard!$G$3,$D698&lt;&gt;"NO_SERVICE"),ROW(),"")</f>
        <v/>
      </c>
    </row>
    <row r="699" spans="1:15" x14ac:dyDescent="0.25">
      <c r="A699" t="s">
        <v>154</v>
      </c>
      <c r="B699" t="s">
        <v>63</v>
      </c>
      <c r="C699" t="s">
        <v>1146</v>
      </c>
      <c r="D699" t="s">
        <v>21</v>
      </c>
      <c r="E699" t="s">
        <v>1151</v>
      </c>
      <c r="F699" t="s">
        <v>247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f t="shared" si="10"/>
        <v>7</v>
      </c>
      <c r="O699" t="str">
        <f>IF(AND($A699=Dashboard!$B$3,$B699=Dashboard!$G$3,$D699&lt;&gt;"NO_SERVICE"),ROW(),"")</f>
        <v/>
      </c>
    </row>
    <row r="700" spans="1:15" x14ac:dyDescent="0.25">
      <c r="A700" t="s">
        <v>154</v>
      </c>
      <c r="B700" t="s">
        <v>63</v>
      </c>
      <c r="C700" t="s">
        <v>1146</v>
      </c>
      <c r="D700" t="s">
        <v>21</v>
      </c>
      <c r="E700" t="s">
        <v>1152</v>
      </c>
      <c r="F700" t="s">
        <v>738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f t="shared" si="10"/>
        <v>7</v>
      </c>
      <c r="O700" t="str">
        <f>IF(AND($A700=Dashboard!$B$3,$B700=Dashboard!$G$3,$D700&lt;&gt;"NO_SERVICE"),ROW(),"")</f>
        <v/>
      </c>
    </row>
    <row r="701" spans="1:15" x14ac:dyDescent="0.25">
      <c r="A701" t="s">
        <v>154</v>
      </c>
      <c r="B701" t="s">
        <v>63</v>
      </c>
      <c r="C701" t="s">
        <v>1146</v>
      </c>
      <c r="D701" t="s">
        <v>26</v>
      </c>
      <c r="E701" t="s">
        <v>1153</v>
      </c>
      <c r="F701" t="s">
        <v>630</v>
      </c>
      <c r="G701">
        <v>0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f t="shared" si="10"/>
        <v>3</v>
      </c>
      <c r="O701" t="str">
        <f>IF(AND($A701=Dashboard!$B$3,$B701=Dashboard!$G$3,$D701&lt;&gt;"NO_SERVICE"),ROW(),"")</f>
        <v/>
      </c>
    </row>
    <row r="702" spans="1:15" x14ac:dyDescent="0.25">
      <c r="A702" t="s">
        <v>154</v>
      </c>
      <c r="B702" t="s">
        <v>63</v>
      </c>
      <c r="C702" t="s">
        <v>1146</v>
      </c>
      <c r="D702" t="s">
        <v>26</v>
      </c>
      <c r="E702" t="s">
        <v>1154</v>
      </c>
      <c r="F702" t="s">
        <v>820</v>
      </c>
      <c r="G702">
        <v>1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f t="shared" si="10"/>
        <v>2</v>
      </c>
      <c r="O702" t="str">
        <f>IF(AND($A702=Dashboard!$B$3,$B702=Dashboard!$G$3,$D702&lt;&gt;"NO_SERVICE"),ROW(),"")</f>
        <v/>
      </c>
    </row>
    <row r="703" spans="1:15" x14ac:dyDescent="0.25">
      <c r="A703" t="s">
        <v>2</v>
      </c>
      <c r="B703" t="s">
        <v>353</v>
      </c>
      <c r="C703" t="s">
        <v>1155</v>
      </c>
      <c r="D703" t="s">
        <v>24</v>
      </c>
      <c r="E703" t="s">
        <v>1156</v>
      </c>
      <c r="F703" t="s">
        <v>1157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f t="shared" si="10"/>
        <v>7</v>
      </c>
      <c r="O703" t="str">
        <f>IF(AND($A703=Dashboard!$B$3,$B703=Dashboard!$G$3,$D703&lt;&gt;"NO_SERVICE"),ROW(),"")</f>
        <v/>
      </c>
    </row>
    <row r="704" spans="1:15" x14ac:dyDescent="0.25">
      <c r="A704" t="s">
        <v>2</v>
      </c>
      <c r="B704" t="s">
        <v>353</v>
      </c>
      <c r="C704" t="s">
        <v>1155</v>
      </c>
      <c r="D704" t="s">
        <v>24</v>
      </c>
      <c r="E704" t="s">
        <v>1158</v>
      </c>
      <c r="F704" t="s">
        <v>1085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f t="shared" si="10"/>
        <v>7</v>
      </c>
      <c r="O704" t="str">
        <f>IF(AND($A704=Dashboard!$B$3,$B704=Dashboard!$G$3,$D704&lt;&gt;"NO_SERVICE"),ROW(),"")</f>
        <v/>
      </c>
    </row>
    <row r="705" spans="1:15" x14ac:dyDescent="0.25">
      <c r="A705" t="s">
        <v>2</v>
      </c>
      <c r="B705" t="s">
        <v>353</v>
      </c>
      <c r="C705" t="s">
        <v>1155</v>
      </c>
      <c r="D705" t="s">
        <v>24</v>
      </c>
      <c r="E705" t="s">
        <v>1159</v>
      </c>
      <c r="F705" t="s">
        <v>285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f t="shared" si="10"/>
        <v>7</v>
      </c>
      <c r="O705" t="str">
        <f>IF(AND($A705=Dashboard!$B$3,$B705=Dashboard!$G$3,$D705&lt;&gt;"NO_SERVICE"),ROW(),"")</f>
        <v/>
      </c>
    </row>
    <row r="706" spans="1:15" x14ac:dyDescent="0.25">
      <c r="A706" t="s">
        <v>2</v>
      </c>
      <c r="B706" t="s">
        <v>353</v>
      </c>
      <c r="C706" t="s">
        <v>1155</v>
      </c>
      <c r="D706" t="s">
        <v>24</v>
      </c>
      <c r="E706" t="s">
        <v>1160</v>
      </c>
      <c r="F706" t="s">
        <v>131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f t="shared" ref="N706:N769" si="11">SUM(G706:M706)</f>
        <v>7</v>
      </c>
      <c r="O706" t="str">
        <f>IF(AND($A706=Dashboard!$B$3,$B706=Dashboard!$G$3,$D706&lt;&gt;"NO_SERVICE"),ROW(),"")</f>
        <v/>
      </c>
    </row>
    <row r="707" spans="1:15" x14ac:dyDescent="0.25">
      <c r="A707" t="s">
        <v>2</v>
      </c>
      <c r="B707" t="s">
        <v>353</v>
      </c>
      <c r="C707" t="s">
        <v>1155</v>
      </c>
      <c r="D707" t="s">
        <v>24</v>
      </c>
      <c r="E707" t="s">
        <v>1161</v>
      </c>
      <c r="F707" t="s">
        <v>56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f t="shared" si="11"/>
        <v>7</v>
      </c>
      <c r="O707" t="str">
        <f>IF(AND($A707=Dashboard!$B$3,$B707=Dashboard!$G$3,$D707&lt;&gt;"NO_SERVICE"),ROW(),"")</f>
        <v/>
      </c>
    </row>
    <row r="708" spans="1:15" x14ac:dyDescent="0.25">
      <c r="A708" t="s">
        <v>2</v>
      </c>
      <c r="B708" t="s">
        <v>353</v>
      </c>
      <c r="C708" t="s">
        <v>1155</v>
      </c>
      <c r="D708" t="s">
        <v>24</v>
      </c>
      <c r="E708" t="s">
        <v>1162</v>
      </c>
      <c r="F708" t="s">
        <v>466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f t="shared" si="11"/>
        <v>7</v>
      </c>
      <c r="O708" t="str">
        <f>IF(AND($A708=Dashboard!$B$3,$B708=Dashboard!$G$3,$D708&lt;&gt;"NO_SERVICE"),ROW(),"")</f>
        <v/>
      </c>
    </row>
    <row r="709" spans="1:15" x14ac:dyDescent="0.25">
      <c r="A709" t="s">
        <v>2</v>
      </c>
      <c r="B709" t="s">
        <v>353</v>
      </c>
      <c r="C709" t="s">
        <v>1155</v>
      </c>
      <c r="D709" t="s">
        <v>24</v>
      </c>
      <c r="E709" t="s">
        <v>1163</v>
      </c>
      <c r="F709" t="s">
        <v>1164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f t="shared" si="11"/>
        <v>7</v>
      </c>
      <c r="O709" t="str">
        <f>IF(AND($A709=Dashboard!$B$3,$B709=Dashboard!$G$3,$D709&lt;&gt;"NO_SERVICE"),ROW(),"")</f>
        <v/>
      </c>
    </row>
    <row r="710" spans="1:15" x14ac:dyDescent="0.25">
      <c r="A710" t="s">
        <v>2</v>
      </c>
      <c r="B710" t="s">
        <v>353</v>
      </c>
      <c r="C710" t="s">
        <v>1155</v>
      </c>
      <c r="D710" t="s">
        <v>24</v>
      </c>
      <c r="E710" t="s">
        <v>1165</v>
      </c>
      <c r="F710" t="s">
        <v>744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f t="shared" si="11"/>
        <v>7</v>
      </c>
      <c r="O710" t="str">
        <f>IF(AND($A710=Dashboard!$B$3,$B710=Dashboard!$G$3,$D710&lt;&gt;"NO_SERVICE"),ROW(),"")</f>
        <v/>
      </c>
    </row>
    <row r="711" spans="1:15" x14ac:dyDescent="0.25">
      <c r="A711" t="s">
        <v>2</v>
      </c>
      <c r="B711" t="s">
        <v>353</v>
      </c>
      <c r="C711" t="s">
        <v>1155</v>
      </c>
      <c r="D711" t="s">
        <v>24</v>
      </c>
      <c r="E711" t="s">
        <v>1166</v>
      </c>
      <c r="F711" t="s">
        <v>1167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f t="shared" si="11"/>
        <v>7</v>
      </c>
      <c r="O711" t="str">
        <f>IF(AND($A711=Dashboard!$B$3,$B711=Dashboard!$G$3,$D711&lt;&gt;"NO_SERVICE"),ROW(),"")</f>
        <v/>
      </c>
    </row>
    <row r="712" spans="1:15" x14ac:dyDescent="0.25">
      <c r="A712" t="s">
        <v>2</v>
      </c>
      <c r="B712" t="s">
        <v>353</v>
      </c>
      <c r="C712" t="s">
        <v>1155</v>
      </c>
      <c r="D712" t="s">
        <v>21</v>
      </c>
      <c r="E712" t="s">
        <v>1168</v>
      </c>
      <c r="F712" t="s">
        <v>746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f t="shared" si="11"/>
        <v>7</v>
      </c>
      <c r="O712" t="str">
        <f>IF(AND($A712=Dashboard!$B$3,$B712=Dashboard!$G$3,$D712&lt;&gt;"NO_SERVICE"),ROW(),"")</f>
        <v/>
      </c>
    </row>
    <row r="713" spans="1:15" x14ac:dyDescent="0.25">
      <c r="A713" t="s">
        <v>2</v>
      </c>
      <c r="B713" t="s">
        <v>353</v>
      </c>
      <c r="C713" t="s">
        <v>1155</v>
      </c>
      <c r="D713" t="s">
        <v>21</v>
      </c>
      <c r="E713" t="s">
        <v>1169</v>
      </c>
      <c r="F713" t="s">
        <v>212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f t="shared" si="11"/>
        <v>7</v>
      </c>
      <c r="O713" t="str">
        <f>IF(AND($A713=Dashboard!$B$3,$B713=Dashboard!$G$3,$D713&lt;&gt;"NO_SERVICE"),ROW(),"")</f>
        <v/>
      </c>
    </row>
    <row r="714" spans="1:15" x14ac:dyDescent="0.25">
      <c r="A714" t="s">
        <v>2</v>
      </c>
      <c r="B714" t="s">
        <v>353</v>
      </c>
      <c r="C714" t="s">
        <v>1155</v>
      </c>
      <c r="D714" t="s">
        <v>21</v>
      </c>
      <c r="E714" t="s">
        <v>1170</v>
      </c>
      <c r="F714" t="s">
        <v>303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f t="shared" si="11"/>
        <v>7</v>
      </c>
      <c r="O714" t="str">
        <f>IF(AND($A714=Dashboard!$B$3,$B714=Dashboard!$G$3,$D714&lt;&gt;"NO_SERVICE"),ROW(),"")</f>
        <v/>
      </c>
    </row>
    <row r="715" spans="1:15" x14ac:dyDescent="0.25">
      <c r="A715" t="s">
        <v>2</v>
      </c>
      <c r="B715" t="s">
        <v>353</v>
      </c>
      <c r="C715" t="s">
        <v>1155</v>
      </c>
      <c r="D715" t="s">
        <v>26</v>
      </c>
      <c r="E715" t="s">
        <v>1171</v>
      </c>
      <c r="F715" t="s">
        <v>451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f t="shared" si="11"/>
        <v>7</v>
      </c>
      <c r="O715" t="str">
        <f>IF(AND($A715=Dashboard!$B$3,$B715=Dashboard!$G$3,$D715&lt;&gt;"NO_SERVICE"),ROW(),"")</f>
        <v/>
      </c>
    </row>
    <row r="716" spans="1:15" x14ac:dyDescent="0.25">
      <c r="A716" t="s">
        <v>2</v>
      </c>
      <c r="B716" t="s">
        <v>353</v>
      </c>
      <c r="C716" t="s">
        <v>1155</v>
      </c>
      <c r="D716" t="s">
        <v>26</v>
      </c>
      <c r="E716" t="s">
        <v>1172</v>
      </c>
      <c r="F716" t="s">
        <v>726</v>
      </c>
      <c r="G716">
        <v>1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f t="shared" si="11"/>
        <v>2</v>
      </c>
      <c r="O716" t="str">
        <f>IF(AND($A716=Dashboard!$B$3,$B716=Dashboard!$G$3,$D716&lt;&gt;"NO_SERVICE"),ROW(),"")</f>
        <v/>
      </c>
    </row>
    <row r="717" spans="1:15" x14ac:dyDescent="0.25">
      <c r="A717" t="s">
        <v>2</v>
      </c>
      <c r="B717" t="s">
        <v>353</v>
      </c>
      <c r="C717" t="s">
        <v>1155</v>
      </c>
      <c r="D717" t="s">
        <v>26</v>
      </c>
      <c r="E717" t="s">
        <v>1173</v>
      </c>
      <c r="F717" t="s">
        <v>1174</v>
      </c>
      <c r="G717">
        <v>1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f t="shared" si="11"/>
        <v>2</v>
      </c>
      <c r="O717" t="str">
        <f>IF(AND($A717=Dashboard!$B$3,$B717=Dashboard!$G$3,$D717&lt;&gt;"NO_SERVICE"),ROW(),"")</f>
        <v/>
      </c>
    </row>
    <row r="718" spans="1:15" x14ac:dyDescent="0.25">
      <c r="A718" t="s">
        <v>2</v>
      </c>
      <c r="B718" t="s">
        <v>353</v>
      </c>
      <c r="C718" t="s">
        <v>1155</v>
      </c>
      <c r="D718" t="s">
        <v>21</v>
      </c>
      <c r="E718" t="s">
        <v>1175</v>
      </c>
      <c r="F718" t="s">
        <v>333</v>
      </c>
      <c r="G718">
        <v>1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f t="shared" si="11"/>
        <v>2</v>
      </c>
      <c r="O718" t="str">
        <f>IF(AND($A718=Dashboard!$B$3,$B718=Dashboard!$G$3,$D718&lt;&gt;"NO_SERVICE"),ROW(),"")</f>
        <v/>
      </c>
    </row>
    <row r="719" spans="1:15" x14ac:dyDescent="0.25">
      <c r="A719" t="s">
        <v>2</v>
      </c>
      <c r="B719" t="s">
        <v>154</v>
      </c>
      <c r="C719" t="s">
        <v>1176</v>
      </c>
      <c r="D719" t="s">
        <v>24</v>
      </c>
      <c r="E719" t="s">
        <v>1177</v>
      </c>
      <c r="F719" t="s">
        <v>240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f t="shared" si="11"/>
        <v>7</v>
      </c>
      <c r="O719" t="str">
        <f>IF(AND($A719=Dashboard!$B$3,$B719=Dashboard!$G$3,$D719&lt;&gt;"NO_SERVICE"),ROW(),"")</f>
        <v/>
      </c>
    </row>
    <row r="720" spans="1:15" x14ac:dyDescent="0.25">
      <c r="A720" t="s">
        <v>2</v>
      </c>
      <c r="B720" t="s">
        <v>154</v>
      </c>
      <c r="C720" t="s">
        <v>1176</v>
      </c>
      <c r="D720" t="s">
        <v>24</v>
      </c>
      <c r="E720" t="s">
        <v>1178</v>
      </c>
      <c r="F720" t="s">
        <v>225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f t="shared" si="11"/>
        <v>7</v>
      </c>
      <c r="O720" t="str">
        <f>IF(AND($A720=Dashboard!$B$3,$B720=Dashboard!$G$3,$D720&lt;&gt;"NO_SERVICE"),ROW(),"")</f>
        <v/>
      </c>
    </row>
    <row r="721" spans="1:15" x14ac:dyDescent="0.25">
      <c r="A721" t="s">
        <v>2</v>
      </c>
      <c r="B721" t="s">
        <v>154</v>
      </c>
      <c r="C721" t="s">
        <v>1176</v>
      </c>
      <c r="D721" t="s">
        <v>24</v>
      </c>
      <c r="E721" t="s">
        <v>1179</v>
      </c>
      <c r="F721" t="s">
        <v>742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f t="shared" si="11"/>
        <v>7</v>
      </c>
      <c r="O721" t="str">
        <f>IF(AND($A721=Dashboard!$B$3,$B721=Dashboard!$G$3,$D721&lt;&gt;"NO_SERVICE"),ROW(),"")</f>
        <v/>
      </c>
    </row>
    <row r="722" spans="1:15" x14ac:dyDescent="0.25">
      <c r="A722" t="s">
        <v>2</v>
      </c>
      <c r="B722" t="s">
        <v>154</v>
      </c>
      <c r="C722" t="s">
        <v>1176</v>
      </c>
      <c r="D722" t="s">
        <v>24</v>
      </c>
      <c r="E722" t="s">
        <v>1180</v>
      </c>
      <c r="F722" t="s">
        <v>352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f t="shared" si="11"/>
        <v>7</v>
      </c>
      <c r="O722" t="str">
        <f>IF(AND($A722=Dashboard!$B$3,$B722=Dashboard!$G$3,$D722&lt;&gt;"NO_SERVICE"),ROW(),"")</f>
        <v/>
      </c>
    </row>
    <row r="723" spans="1:15" x14ac:dyDescent="0.25">
      <c r="A723" t="s">
        <v>2</v>
      </c>
      <c r="B723" t="s">
        <v>154</v>
      </c>
      <c r="C723" t="s">
        <v>1176</v>
      </c>
      <c r="D723" t="s">
        <v>26</v>
      </c>
      <c r="E723" t="s">
        <v>1181</v>
      </c>
      <c r="F723" t="s">
        <v>716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f t="shared" si="11"/>
        <v>7</v>
      </c>
      <c r="O723" t="str">
        <f>IF(AND($A723=Dashboard!$B$3,$B723=Dashboard!$G$3,$D723&lt;&gt;"NO_SERVICE"),ROW(),"")</f>
        <v/>
      </c>
    </row>
    <row r="724" spans="1:15" x14ac:dyDescent="0.25">
      <c r="A724" t="s">
        <v>2</v>
      </c>
      <c r="B724" t="s">
        <v>154</v>
      </c>
      <c r="C724" t="s">
        <v>1176</v>
      </c>
      <c r="D724" t="s">
        <v>21</v>
      </c>
      <c r="E724" t="s">
        <v>1182</v>
      </c>
      <c r="F724" t="s">
        <v>163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f t="shared" si="11"/>
        <v>7</v>
      </c>
      <c r="O724" t="str">
        <f>IF(AND($A724=Dashboard!$B$3,$B724=Dashboard!$G$3,$D724&lt;&gt;"NO_SERVICE"),ROW(),"")</f>
        <v/>
      </c>
    </row>
    <row r="725" spans="1:15" x14ac:dyDescent="0.25">
      <c r="A725" t="s">
        <v>2</v>
      </c>
      <c r="B725" t="s">
        <v>4</v>
      </c>
      <c r="C725" t="s">
        <v>1183</v>
      </c>
      <c r="D725" t="s">
        <v>24</v>
      </c>
      <c r="E725" t="s">
        <v>1184</v>
      </c>
      <c r="F725" t="s">
        <v>1185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f t="shared" si="11"/>
        <v>7</v>
      </c>
      <c r="O725" t="str">
        <f>IF(AND($A725=Dashboard!$B$3,$B725=Dashboard!$G$3,$D725&lt;&gt;"NO_SERVICE"),ROW(),"")</f>
        <v/>
      </c>
    </row>
    <row r="726" spans="1:15" x14ac:dyDescent="0.25">
      <c r="A726" t="s">
        <v>2</v>
      </c>
      <c r="B726" t="s">
        <v>4</v>
      </c>
      <c r="C726" t="s">
        <v>1183</v>
      </c>
      <c r="D726" t="s">
        <v>24</v>
      </c>
      <c r="E726" t="s">
        <v>1186</v>
      </c>
      <c r="F726" t="s">
        <v>395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f t="shared" si="11"/>
        <v>7</v>
      </c>
      <c r="O726" t="str">
        <f>IF(AND($A726=Dashboard!$B$3,$B726=Dashboard!$G$3,$D726&lt;&gt;"NO_SERVICE"),ROW(),"")</f>
        <v/>
      </c>
    </row>
    <row r="727" spans="1:15" x14ac:dyDescent="0.25">
      <c r="A727" t="s">
        <v>2</v>
      </c>
      <c r="B727" t="s">
        <v>4</v>
      </c>
      <c r="C727" t="s">
        <v>1183</v>
      </c>
      <c r="D727" t="s">
        <v>24</v>
      </c>
      <c r="E727" t="s">
        <v>1187</v>
      </c>
      <c r="F727" t="s">
        <v>157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0</v>
      </c>
      <c r="N727">
        <f t="shared" si="11"/>
        <v>6</v>
      </c>
      <c r="O727" t="str">
        <f>IF(AND($A727=Dashboard!$B$3,$B727=Dashboard!$G$3,$D727&lt;&gt;"NO_SERVICE"),ROW(),"")</f>
        <v/>
      </c>
    </row>
    <row r="728" spans="1:15" x14ac:dyDescent="0.25">
      <c r="A728" t="s">
        <v>2</v>
      </c>
      <c r="B728" t="s">
        <v>4</v>
      </c>
      <c r="C728" t="s">
        <v>1183</v>
      </c>
      <c r="D728" t="s">
        <v>24</v>
      </c>
      <c r="E728" t="s">
        <v>1188</v>
      </c>
      <c r="F728" t="s">
        <v>252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f t="shared" si="11"/>
        <v>7</v>
      </c>
      <c r="O728" t="str">
        <f>IF(AND($A728=Dashboard!$B$3,$B728=Dashboard!$G$3,$D728&lt;&gt;"NO_SERVICE"),ROW(),"")</f>
        <v/>
      </c>
    </row>
    <row r="729" spans="1:15" x14ac:dyDescent="0.25">
      <c r="A729" t="s">
        <v>2</v>
      </c>
      <c r="B729" t="s">
        <v>4</v>
      </c>
      <c r="C729" t="s">
        <v>1183</v>
      </c>
      <c r="D729" t="s">
        <v>24</v>
      </c>
      <c r="E729" t="s">
        <v>1189</v>
      </c>
      <c r="F729" t="s">
        <v>633</v>
      </c>
      <c r="G729">
        <v>1</v>
      </c>
      <c r="H729">
        <v>1</v>
      </c>
      <c r="I729">
        <v>0</v>
      </c>
      <c r="J729">
        <v>1</v>
      </c>
      <c r="K729">
        <v>1</v>
      </c>
      <c r="L729">
        <v>1</v>
      </c>
      <c r="M729">
        <v>1</v>
      </c>
      <c r="N729">
        <f t="shared" si="11"/>
        <v>6</v>
      </c>
      <c r="O729" t="str">
        <f>IF(AND($A729=Dashboard!$B$3,$B729=Dashboard!$G$3,$D729&lt;&gt;"NO_SERVICE"),ROW(),"")</f>
        <v/>
      </c>
    </row>
    <row r="730" spans="1:15" x14ac:dyDescent="0.25">
      <c r="A730" t="s">
        <v>2</v>
      </c>
      <c r="B730" t="s">
        <v>4</v>
      </c>
      <c r="C730" t="s">
        <v>1183</v>
      </c>
      <c r="D730" t="s">
        <v>24</v>
      </c>
      <c r="E730" t="s">
        <v>1190</v>
      </c>
      <c r="F730" t="inlineStr">
        <is>
          <t>13:50</t>
        </is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f t="shared" si="11"/>
        <v>1</v>
      </c>
      <c r="O730" t="str">
        <f>IF(AND($A730=Dashboard!$B$3,$B730=Dashboard!$G$3,$D730&lt;&gt;"NO_SERVICE"),ROW(),"")</f>
        <v/>
      </c>
    </row>
    <row r="731" spans="1:15" x14ac:dyDescent="0.25">
      <c r="A731" t="s">
        <v>2</v>
      </c>
      <c r="B731" t="s">
        <v>4</v>
      </c>
      <c r="C731" t="s">
        <v>1183</v>
      </c>
      <c r="D731" t="s">
        <v>24</v>
      </c>
      <c r="E731" t="s">
        <v>1192</v>
      </c>
      <c r="F731" t="s">
        <v>347</v>
      </c>
      <c r="G731">
        <v>1</v>
      </c>
      <c r="H731">
        <v>1</v>
      </c>
      <c r="I731">
        <v>0</v>
      </c>
      <c r="J731">
        <v>1</v>
      </c>
      <c r="K731">
        <v>1</v>
      </c>
      <c r="L731">
        <v>1</v>
      </c>
      <c r="M731">
        <v>1</v>
      </c>
      <c r="N731">
        <f t="shared" si="11"/>
        <v>6</v>
      </c>
      <c r="O731" t="str">
        <f>IF(AND($A731=Dashboard!$B$3,$B731=Dashboard!$G$3,$D731&lt;&gt;"NO_SERVICE"),ROW(),"")</f>
        <v/>
      </c>
    </row>
    <row r="732" spans="1:15" x14ac:dyDescent="0.25">
      <c r="A732" t="s">
        <v>2</v>
      </c>
      <c r="B732" t="s">
        <v>4</v>
      </c>
      <c r="C732" t="s">
        <v>1183</v>
      </c>
      <c r="D732" t="s">
        <v>24</v>
      </c>
      <c r="E732" t="s">
        <v>1193</v>
      </c>
      <c r="F732" t="s">
        <v>466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f t="shared" si="11"/>
        <v>7</v>
      </c>
      <c r="O732" t="str">
        <f>IF(AND($A732=Dashboard!$B$3,$B732=Dashboard!$G$3,$D732&lt;&gt;"NO_SERVICE"),ROW(),"")</f>
        <v/>
      </c>
    </row>
    <row r="733" spans="1:15" x14ac:dyDescent="0.25">
      <c r="A733" t="s">
        <v>2</v>
      </c>
      <c r="B733" t="s">
        <v>4</v>
      </c>
      <c r="C733" t="s">
        <v>1183</v>
      </c>
      <c r="D733" t="s">
        <v>24</v>
      </c>
      <c r="E733" t="s">
        <v>1194</v>
      </c>
      <c r="F733" t="s">
        <v>349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f t="shared" si="11"/>
        <v>7</v>
      </c>
      <c r="O733" t="str">
        <f>IF(AND($A733=Dashboard!$B$3,$B733=Dashboard!$G$3,$D733&lt;&gt;"NO_SERVICE"),ROW(),"")</f>
        <v/>
      </c>
    </row>
    <row r="734" spans="1:15" x14ac:dyDescent="0.25">
      <c r="A734" t="s">
        <v>2</v>
      </c>
      <c r="B734" t="s">
        <v>4</v>
      </c>
      <c r="C734" t="s">
        <v>1183</v>
      </c>
      <c r="D734" t="s">
        <v>24</v>
      </c>
      <c r="E734" t="s">
        <v>1195</v>
      </c>
      <c r="F734" t="s">
        <v>974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f t="shared" si="11"/>
        <v>7</v>
      </c>
      <c r="O734" t="str">
        <f>IF(AND($A734=Dashboard!$B$3,$B734=Dashboard!$G$3,$D734&lt;&gt;"NO_SERVICE"),ROW(),"")</f>
        <v/>
      </c>
    </row>
    <row r="735" spans="1:15" x14ac:dyDescent="0.25">
      <c r="A735" t="s">
        <v>2</v>
      </c>
      <c r="B735" t="s">
        <v>4</v>
      </c>
      <c r="C735" t="s">
        <v>1183</v>
      </c>
      <c r="D735" t="s">
        <v>21</v>
      </c>
      <c r="E735" t="s">
        <v>1196</v>
      </c>
      <c r="F735" t="s">
        <v>1197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f t="shared" si="11"/>
        <v>7</v>
      </c>
      <c r="O735" t="str">
        <f>IF(AND($A735=Dashboard!$B$3,$B735=Dashboard!$G$3,$D735&lt;&gt;"NO_SERVICE"),ROW(),"")</f>
        <v/>
      </c>
    </row>
    <row r="736" spans="1:15" x14ac:dyDescent="0.25">
      <c r="A736" t="s">
        <v>2</v>
      </c>
      <c r="B736" t="s">
        <v>4</v>
      </c>
      <c r="C736" t="s">
        <v>1183</v>
      </c>
      <c r="D736" t="s">
        <v>21</v>
      </c>
      <c r="E736" t="s">
        <v>1198</v>
      </c>
      <c r="F736" t="s">
        <v>247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f t="shared" si="11"/>
        <v>7</v>
      </c>
      <c r="O736" t="str">
        <f>IF(AND($A736=Dashboard!$B$3,$B736=Dashboard!$G$3,$D736&lt;&gt;"NO_SERVICE"),ROW(),"")</f>
        <v/>
      </c>
    </row>
    <row r="737" spans="1:15" x14ac:dyDescent="0.25">
      <c r="A737" t="s">
        <v>2</v>
      </c>
      <c r="B737" t="s">
        <v>4</v>
      </c>
      <c r="C737" t="s">
        <v>1183</v>
      </c>
      <c r="D737" t="s">
        <v>21</v>
      </c>
      <c r="E737" t="s">
        <v>1199</v>
      </c>
      <c r="F737" t="s">
        <v>1030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1</v>
      </c>
      <c r="M737">
        <v>1</v>
      </c>
      <c r="N737">
        <f t="shared" si="11"/>
        <v>3</v>
      </c>
      <c r="O737" t="str">
        <f>IF(AND($A737=Dashboard!$B$3,$B737=Dashboard!$G$3,$D737&lt;&gt;"NO_SERVICE"),ROW(),"")</f>
        <v/>
      </c>
    </row>
    <row r="738" spans="1:15" x14ac:dyDescent="0.25">
      <c r="A738" t="s">
        <v>2</v>
      </c>
      <c r="B738" t="s">
        <v>4</v>
      </c>
      <c r="C738" t="s">
        <v>1183</v>
      </c>
      <c r="D738" t="s">
        <v>21</v>
      </c>
      <c r="E738" t="s">
        <v>1200</v>
      </c>
      <c r="F738" t="s">
        <v>376</v>
      </c>
      <c r="G738">
        <v>0</v>
      </c>
      <c r="H738">
        <v>0</v>
      </c>
      <c r="I738">
        <v>1</v>
      </c>
      <c r="J738">
        <v>0</v>
      </c>
      <c r="K738">
        <v>1</v>
      </c>
      <c r="L738">
        <v>0</v>
      </c>
      <c r="M738">
        <v>1</v>
      </c>
      <c r="N738">
        <f t="shared" si="11"/>
        <v>3</v>
      </c>
      <c r="O738" t="str">
        <f>IF(AND($A738=Dashboard!$B$3,$B738=Dashboard!$G$3,$D738&lt;&gt;"NO_SERVICE"),ROW(),"")</f>
        <v/>
      </c>
    </row>
    <row r="739" spans="1:15" x14ac:dyDescent="0.25">
      <c r="A739" t="s">
        <v>2</v>
      </c>
      <c r="B739" t="s">
        <v>4</v>
      </c>
      <c r="C739" t="s">
        <v>1183</v>
      </c>
      <c r="D739" t="s">
        <v>21</v>
      </c>
      <c r="E739" t="s">
        <v>1201</v>
      </c>
      <c r="F739" t="s">
        <v>801</v>
      </c>
      <c r="G739">
        <v>1</v>
      </c>
      <c r="H739">
        <v>1</v>
      </c>
      <c r="I739">
        <v>0</v>
      </c>
      <c r="J739">
        <v>1</v>
      </c>
      <c r="K739">
        <v>1</v>
      </c>
      <c r="L739">
        <v>1</v>
      </c>
      <c r="M739">
        <v>1</v>
      </c>
      <c r="N739">
        <f t="shared" si="11"/>
        <v>6</v>
      </c>
      <c r="O739" t="str">
        <f>IF(AND($A739=Dashboard!$B$3,$B739=Dashboard!$G$3,$D739&lt;&gt;"NO_SERVICE"),ROW(),"")</f>
        <v/>
      </c>
    </row>
    <row r="740" spans="1:15" x14ac:dyDescent="0.25">
      <c r="A740" t="s">
        <v>2</v>
      </c>
      <c r="B740" t="s">
        <v>4</v>
      </c>
      <c r="C740" t="s">
        <v>1183</v>
      </c>
      <c r="D740" t="s">
        <v>21</v>
      </c>
      <c r="E740" t="s">
        <v>1202</v>
      </c>
      <c r="F740" t="s">
        <v>333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f t="shared" si="11"/>
        <v>7</v>
      </c>
      <c r="O740" t="str">
        <f>IF(AND($A740=Dashboard!$B$3,$B740=Dashboard!$G$3,$D740&lt;&gt;"NO_SERVICE"),ROW(),"")</f>
        <v/>
      </c>
    </row>
    <row r="741" spans="1:15" x14ac:dyDescent="0.25">
      <c r="A741" t="s">
        <v>2</v>
      </c>
      <c r="B741" t="s">
        <v>4</v>
      </c>
      <c r="C741" t="s">
        <v>1183</v>
      </c>
      <c r="D741" t="s">
        <v>21</v>
      </c>
      <c r="E741" t="s">
        <v>1203</v>
      </c>
      <c r="F741" t="s">
        <v>188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f t="shared" si="11"/>
        <v>1</v>
      </c>
      <c r="O741" t="str">
        <f>IF(AND($A741=Dashboard!$B$3,$B741=Dashboard!$G$3,$D741&lt;&gt;"NO_SERVICE"),ROW(),"")</f>
        <v/>
      </c>
    </row>
    <row r="742" spans="1:15" x14ac:dyDescent="0.25">
      <c r="A742" t="s">
        <v>2</v>
      </c>
      <c r="B742" t="s">
        <v>4</v>
      </c>
      <c r="C742" t="s">
        <v>1183</v>
      </c>
      <c r="D742" t="s">
        <v>21</v>
      </c>
      <c r="E742" t="s">
        <v>1204</v>
      </c>
      <c r="F742" t="s">
        <v>102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f t="shared" si="11"/>
        <v>7</v>
      </c>
      <c r="O742" t="str">
        <f>IF(AND($A742=Dashboard!$B$3,$B742=Dashboard!$G$3,$D742&lt;&gt;"NO_SERVICE"),ROW(),"")</f>
        <v/>
      </c>
    </row>
    <row r="743" spans="1:15" x14ac:dyDescent="0.25">
      <c r="A743" t="s">
        <v>2</v>
      </c>
      <c r="B743" t="s">
        <v>4</v>
      </c>
      <c r="C743" t="s">
        <v>1183</v>
      </c>
      <c r="D743" t="s">
        <v>21</v>
      </c>
      <c r="E743" t="s">
        <v>1205</v>
      </c>
      <c r="F743" t="s">
        <v>494</v>
      </c>
      <c r="G743">
        <v>0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f t="shared" si="11"/>
        <v>6</v>
      </c>
      <c r="O743" t="str">
        <f>IF(AND($A743=Dashboard!$B$3,$B743=Dashboard!$G$3,$D743&lt;&gt;"NO_SERVICE"),ROW(),"")</f>
        <v/>
      </c>
    </row>
    <row r="744" spans="1:15" x14ac:dyDescent="0.25">
      <c r="A744" t="s">
        <v>2</v>
      </c>
      <c r="B744" t="s">
        <v>4</v>
      </c>
      <c r="C744" t="s">
        <v>1183</v>
      </c>
      <c r="D744" t="s">
        <v>21</v>
      </c>
      <c r="E744" t="s">
        <v>1206</v>
      </c>
      <c r="F744" t="s">
        <v>1207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f t="shared" si="11"/>
        <v>7</v>
      </c>
      <c r="O744" t="str">
        <f>IF(AND($A744=Dashboard!$B$3,$B744=Dashboard!$G$3,$D744&lt;&gt;"NO_SERVICE"),ROW(),"")</f>
        <v/>
      </c>
    </row>
    <row r="745" spans="1:15" x14ac:dyDescent="0.25">
      <c r="A745" t="s">
        <v>2</v>
      </c>
      <c r="B745" t="s">
        <v>4</v>
      </c>
      <c r="C745" t="s">
        <v>1183</v>
      </c>
      <c r="D745" t="s">
        <v>21</v>
      </c>
      <c r="E745" t="s">
        <v>1208</v>
      </c>
      <c r="F745" t="s">
        <v>352</v>
      </c>
      <c r="G745">
        <v>0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f t="shared" si="11"/>
        <v>6</v>
      </c>
      <c r="O745" t="str">
        <f>IF(AND($A745=Dashboard!$B$3,$B745=Dashboard!$G$3,$D745&lt;&gt;"NO_SERVICE"),ROW(),"")</f>
        <v/>
      </c>
    </row>
    <row r="746" spans="1:15" x14ac:dyDescent="0.25">
      <c r="A746" t="s">
        <v>2</v>
      </c>
      <c r="B746" t="s">
        <v>541</v>
      </c>
      <c r="C746" t="s">
        <v>1209</v>
      </c>
      <c r="D746" t="s">
        <v>24</v>
      </c>
      <c r="E746" t="s">
        <v>564</v>
      </c>
      <c r="F746" t="s">
        <v>260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f t="shared" si="11"/>
        <v>7</v>
      </c>
      <c r="O746" t="str">
        <f>IF(AND($A746=Dashboard!$B$3,$B746=Dashboard!$G$3,$D746&lt;&gt;"NO_SERVICE"),ROW(),"")</f>
        <v/>
      </c>
    </row>
    <row r="747" spans="1:15" x14ac:dyDescent="0.25">
      <c r="A747" t="s">
        <v>2</v>
      </c>
      <c r="B747" t="s">
        <v>541</v>
      </c>
      <c r="C747" t="s">
        <v>1209</v>
      </c>
      <c r="D747" t="s">
        <v>24</v>
      </c>
      <c r="E747" t="s">
        <v>1210</v>
      </c>
      <c r="F747" t="s">
        <v>981</v>
      </c>
      <c r="G747">
        <v>1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f t="shared" si="11"/>
        <v>2</v>
      </c>
      <c r="O747" t="str">
        <f>IF(AND($A747=Dashboard!$B$3,$B747=Dashboard!$G$3,$D747&lt;&gt;"NO_SERVICE"),ROW(),"")</f>
        <v/>
      </c>
    </row>
    <row r="748" spans="1:15" x14ac:dyDescent="0.25">
      <c r="A748" t="s">
        <v>2</v>
      </c>
      <c r="B748" t="s">
        <v>541</v>
      </c>
      <c r="C748" t="s">
        <v>1209</v>
      </c>
      <c r="D748" t="s">
        <v>24</v>
      </c>
      <c r="E748" t="s">
        <v>1210</v>
      </c>
      <c r="F748" t="s">
        <v>378</v>
      </c>
      <c r="G748">
        <v>0</v>
      </c>
      <c r="H748">
        <v>1</v>
      </c>
      <c r="I748">
        <v>1</v>
      </c>
      <c r="J748">
        <v>0</v>
      </c>
      <c r="K748">
        <v>1</v>
      </c>
      <c r="L748">
        <v>1</v>
      </c>
      <c r="M748">
        <v>1</v>
      </c>
      <c r="N748">
        <f t="shared" si="11"/>
        <v>5</v>
      </c>
      <c r="O748" t="str">
        <f>IF(AND($A748=Dashboard!$B$3,$B748=Dashboard!$G$3,$D748&lt;&gt;"NO_SERVICE"),ROW(),"")</f>
        <v/>
      </c>
    </row>
    <row r="749" spans="1:15" x14ac:dyDescent="0.25">
      <c r="A749" t="s">
        <v>2</v>
      </c>
      <c r="B749" t="s">
        <v>541</v>
      </c>
      <c r="C749" t="s">
        <v>1209</v>
      </c>
      <c r="D749" t="s">
        <v>24</v>
      </c>
      <c r="E749" t="s">
        <v>1211</v>
      </c>
      <c r="F749" t="s">
        <v>1212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f t="shared" si="11"/>
        <v>7</v>
      </c>
      <c r="O749" t="str">
        <f>IF(AND($A749=Dashboard!$B$3,$B749=Dashboard!$G$3,$D749&lt;&gt;"NO_SERVICE"),ROW(),"")</f>
        <v/>
      </c>
    </row>
    <row r="750" spans="1:15" x14ac:dyDescent="0.25">
      <c r="A750" t="s">
        <v>2</v>
      </c>
      <c r="B750" t="s">
        <v>904</v>
      </c>
      <c r="C750" t="s">
        <v>1213</v>
      </c>
      <c r="D750" t="s">
        <v>24</v>
      </c>
      <c r="E750" t="s">
        <v>1214</v>
      </c>
      <c r="F750" t="s">
        <v>366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f t="shared" si="11"/>
        <v>7</v>
      </c>
      <c r="O750" t="str">
        <f>IF(AND($A750=Dashboard!$B$3,$B750=Dashboard!$G$3,$D750&lt;&gt;"NO_SERVICE"),ROW(),"")</f>
        <v/>
      </c>
    </row>
    <row r="751" spans="1:15" x14ac:dyDescent="0.25">
      <c r="A751" t="s">
        <v>2</v>
      </c>
      <c r="B751" t="s">
        <v>904</v>
      </c>
      <c r="C751" t="s">
        <v>1213</v>
      </c>
      <c r="D751" t="s">
        <v>24</v>
      </c>
      <c r="E751" t="s">
        <v>136</v>
      </c>
      <c r="F751" t="s">
        <v>953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f t="shared" si="11"/>
        <v>7</v>
      </c>
      <c r="O751" t="str">
        <f>IF(AND($A751=Dashboard!$B$3,$B751=Dashboard!$G$3,$D751&lt;&gt;"NO_SERVICE"),ROW(),"")</f>
        <v/>
      </c>
    </row>
    <row r="752" spans="1:15" x14ac:dyDescent="0.25">
      <c r="A752" t="s">
        <v>2</v>
      </c>
      <c r="B752" t="s">
        <v>904</v>
      </c>
      <c r="C752" t="s">
        <v>1213</v>
      </c>
      <c r="D752" t="s">
        <v>24</v>
      </c>
      <c r="E752" t="s">
        <v>1215</v>
      </c>
      <c r="F752" t="s">
        <v>165</v>
      </c>
      <c r="G752">
        <v>1</v>
      </c>
      <c r="H752">
        <v>1</v>
      </c>
      <c r="I752">
        <v>0</v>
      </c>
      <c r="J752">
        <v>1</v>
      </c>
      <c r="K752">
        <v>1</v>
      </c>
      <c r="L752">
        <v>1</v>
      </c>
      <c r="M752">
        <v>1</v>
      </c>
      <c r="N752">
        <f t="shared" si="11"/>
        <v>6</v>
      </c>
      <c r="O752" t="str">
        <f>IF(AND($A752=Dashboard!$B$3,$B752=Dashboard!$G$3,$D752&lt;&gt;"NO_SERVICE"),ROW(),"")</f>
        <v/>
      </c>
    </row>
    <row r="753" spans="1:15" x14ac:dyDescent="0.25">
      <c r="A753" t="s">
        <v>2</v>
      </c>
      <c r="B753" t="s">
        <v>904</v>
      </c>
      <c r="C753" t="s">
        <v>1213</v>
      </c>
      <c r="D753" t="s">
        <v>24</v>
      </c>
      <c r="E753" t="s">
        <v>1216</v>
      </c>
      <c r="F753" t="s">
        <v>1217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f t="shared" si="11"/>
        <v>7</v>
      </c>
      <c r="O753" t="str">
        <f>IF(AND($A753=Dashboard!$B$3,$B753=Dashboard!$G$3,$D753&lt;&gt;"NO_SERVICE"),ROW(),"")</f>
        <v/>
      </c>
    </row>
    <row r="754" spans="1:15" x14ac:dyDescent="0.25">
      <c r="A754" t="s">
        <v>2</v>
      </c>
      <c r="B754" t="s">
        <v>1079</v>
      </c>
      <c r="C754" t="s">
        <v>1218</v>
      </c>
      <c r="D754" t="s">
        <v>24</v>
      </c>
      <c r="E754" t="s">
        <v>1219</v>
      </c>
      <c r="F754" t="s">
        <v>1220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f t="shared" si="11"/>
        <v>7</v>
      </c>
      <c r="O754" t="str">
        <f>IF(AND($A754=Dashboard!$B$3,$B754=Dashboard!$G$3,$D754&lt;&gt;"NO_SERVICE"),ROW(),"")</f>
        <v/>
      </c>
    </row>
    <row r="755" spans="1:15" x14ac:dyDescent="0.25">
      <c r="A755" t="s">
        <v>2</v>
      </c>
      <c r="B755" t="s">
        <v>1079</v>
      </c>
      <c r="C755" t="s">
        <v>1218</v>
      </c>
      <c r="D755" t="s">
        <v>24</v>
      </c>
      <c r="E755" t="s">
        <v>1221</v>
      </c>
      <c r="F755" t="s">
        <v>676</v>
      </c>
      <c r="G755">
        <v>0</v>
      </c>
      <c r="H755">
        <v>1</v>
      </c>
      <c r="I755">
        <v>0</v>
      </c>
      <c r="J755">
        <v>1</v>
      </c>
      <c r="K755">
        <v>0</v>
      </c>
      <c r="L755">
        <v>1</v>
      </c>
      <c r="M755">
        <v>1</v>
      </c>
      <c r="N755">
        <f t="shared" si="11"/>
        <v>4</v>
      </c>
      <c r="O755" t="str">
        <f>IF(AND($A755=Dashboard!$B$3,$B755=Dashboard!$G$3,$D755&lt;&gt;"NO_SERVICE"),ROW(),"")</f>
        <v/>
      </c>
    </row>
    <row r="756" spans="1:15" x14ac:dyDescent="0.25">
      <c r="A756" t="s">
        <v>2</v>
      </c>
      <c r="B756" t="s">
        <v>1079</v>
      </c>
      <c r="C756" t="s">
        <v>1218</v>
      </c>
      <c r="D756" t="s">
        <v>24</v>
      </c>
      <c r="E756" t="s">
        <v>1222</v>
      </c>
      <c r="F756" t="s">
        <v>398</v>
      </c>
      <c r="G756">
        <v>1</v>
      </c>
      <c r="H756">
        <v>1</v>
      </c>
      <c r="I756">
        <v>0</v>
      </c>
      <c r="J756">
        <v>1</v>
      </c>
      <c r="K756">
        <v>1</v>
      </c>
      <c r="L756">
        <v>0</v>
      </c>
      <c r="M756">
        <v>1</v>
      </c>
      <c r="N756">
        <f t="shared" si="11"/>
        <v>5</v>
      </c>
      <c r="O756" t="str">
        <f>IF(AND($A756=Dashboard!$B$3,$B756=Dashboard!$G$3,$D756&lt;&gt;"NO_SERVICE"),ROW(),"")</f>
        <v/>
      </c>
    </row>
    <row r="757" spans="1:15" x14ac:dyDescent="0.25">
      <c r="A757" t="s">
        <v>2</v>
      </c>
      <c r="B757" t="s">
        <v>1079</v>
      </c>
      <c r="C757" t="s">
        <v>1218</v>
      </c>
      <c r="D757" t="s">
        <v>24</v>
      </c>
      <c r="E757" t="s">
        <v>1223</v>
      </c>
      <c r="F757" t="s">
        <v>458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f t="shared" si="11"/>
        <v>7</v>
      </c>
      <c r="O757" t="str">
        <f>IF(AND($A757=Dashboard!$B$3,$B757=Dashboard!$G$3,$D757&lt;&gt;"NO_SERVICE"),ROW(),"")</f>
        <v/>
      </c>
    </row>
    <row r="758" spans="1:15" x14ac:dyDescent="0.25">
      <c r="A758" t="s">
        <v>2</v>
      </c>
      <c r="B758" t="s">
        <v>1079</v>
      </c>
      <c r="C758" t="s">
        <v>1218</v>
      </c>
      <c r="D758" t="s">
        <v>26</v>
      </c>
      <c r="E758" t="s">
        <v>1224</v>
      </c>
      <c r="F758" t="s">
        <v>464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f t="shared" si="11"/>
        <v>7</v>
      </c>
      <c r="O758" t="str">
        <f>IF(AND($A758=Dashboard!$B$3,$B758=Dashboard!$G$3,$D758&lt;&gt;"NO_SERVICE"),ROW(),"")</f>
        <v/>
      </c>
    </row>
    <row r="759" spans="1:15" x14ac:dyDescent="0.25">
      <c r="A759" t="s">
        <v>2</v>
      </c>
      <c r="B759" t="s">
        <v>1079</v>
      </c>
      <c r="C759" t="s">
        <v>1218</v>
      </c>
      <c r="D759" t="s">
        <v>26</v>
      </c>
      <c r="E759" t="s">
        <v>1225</v>
      </c>
      <c r="F759" t="s">
        <v>359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f t="shared" si="11"/>
        <v>7</v>
      </c>
      <c r="O759" t="str">
        <f>IF(AND($A759=Dashboard!$B$3,$B759=Dashboard!$G$3,$D759&lt;&gt;"NO_SERVICE"),ROW(),"")</f>
        <v/>
      </c>
    </row>
    <row r="760" spans="1:15" x14ac:dyDescent="0.25">
      <c r="A760" t="s">
        <v>2</v>
      </c>
      <c r="B760" t="s">
        <v>1004</v>
      </c>
      <c r="C760" t="s">
        <v>1226</v>
      </c>
      <c r="D760" t="s">
        <v>24</v>
      </c>
      <c r="E760" t="s">
        <v>1009</v>
      </c>
      <c r="F760" t="s">
        <v>339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f t="shared" si="11"/>
        <v>7</v>
      </c>
      <c r="O760" t="str">
        <f>IF(AND($A760=Dashboard!$B$3,$B760=Dashboard!$G$3,$D760&lt;&gt;"NO_SERVICE"),ROW(),"")</f>
        <v/>
      </c>
    </row>
    <row r="761" spans="1:15" x14ac:dyDescent="0.25">
      <c r="A761" t="s">
        <v>2</v>
      </c>
      <c r="B761" t="s">
        <v>1004</v>
      </c>
      <c r="C761" t="s">
        <v>1226</v>
      </c>
      <c r="D761" t="s">
        <v>24</v>
      </c>
      <c r="E761" t="s">
        <v>1227</v>
      </c>
      <c r="F761" t="s">
        <v>262</v>
      </c>
      <c r="G761">
        <v>0</v>
      </c>
      <c r="H761">
        <v>1</v>
      </c>
      <c r="I761">
        <v>0</v>
      </c>
      <c r="J761">
        <v>1</v>
      </c>
      <c r="K761">
        <v>0</v>
      </c>
      <c r="L761">
        <v>1</v>
      </c>
      <c r="M761">
        <v>0</v>
      </c>
      <c r="N761">
        <f t="shared" si="11"/>
        <v>3</v>
      </c>
      <c r="O761" t="str">
        <f>IF(AND($A761=Dashboard!$B$3,$B761=Dashboard!$G$3,$D761&lt;&gt;"NO_SERVICE"),ROW(),"")</f>
        <v/>
      </c>
    </row>
    <row r="762" spans="1:15" x14ac:dyDescent="0.25">
      <c r="A762" t="s">
        <v>2</v>
      </c>
      <c r="B762" t="s">
        <v>1004</v>
      </c>
      <c r="C762" t="s">
        <v>1226</v>
      </c>
      <c r="D762" t="s">
        <v>24</v>
      </c>
      <c r="E762" t="s">
        <v>1228</v>
      </c>
      <c r="F762" t="s">
        <v>121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f t="shared" si="11"/>
        <v>7</v>
      </c>
      <c r="O762" t="str">
        <f>IF(AND($A762=Dashboard!$B$3,$B762=Dashboard!$G$3,$D762&lt;&gt;"NO_SERVICE"),ROW(),"")</f>
        <v/>
      </c>
    </row>
    <row r="763" spans="1:15" x14ac:dyDescent="0.25">
      <c r="A763" t="s">
        <v>2</v>
      </c>
      <c r="B763" t="s">
        <v>1004</v>
      </c>
      <c r="C763" t="s">
        <v>1226</v>
      </c>
      <c r="D763" t="s">
        <v>26</v>
      </c>
      <c r="E763" t="s">
        <v>1229</v>
      </c>
      <c r="F763" t="s">
        <v>832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f t="shared" si="11"/>
        <v>1</v>
      </c>
      <c r="O763" t="str">
        <f>IF(AND($A763=Dashboard!$B$3,$B763=Dashboard!$G$3,$D763&lt;&gt;"NO_SERVICE"),ROW(),"")</f>
        <v/>
      </c>
    </row>
    <row r="764" spans="1:15" x14ac:dyDescent="0.25">
      <c r="A764" t="s">
        <v>353</v>
      </c>
      <c r="B764" t="s">
        <v>2</v>
      </c>
      <c r="C764" t="s">
        <v>1230</v>
      </c>
      <c r="D764" t="s">
        <v>24</v>
      </c>
      <c r="E764" t="s">
        <v>1231</v>
      </c>
      <c r="F764" t="s">
        <v>1232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f t="shared" si="11"/>
        <v>7</v>
      </c>
      <c r="O764" t="str">
        <f>IF(AND($A764=Dashboard!$B$3,$B764=Dashboard!$G$3,$D764&lt;&gt;"NO_SERVICE"),ROW(),"")</f>
        <v/>
      </c>
    </row>
    <row r="765" spans="1:15" x14ac:dyDescent="0.25">
      <c r="A765" t="s">
        <v>353</v>
      </c>
      <c r="B765" t="s">
        <v>2</v>
      </c>
      <c r="C765" t="s">
        <v>1230</v>
      </c>
      <c r="D765" t="s">
        <v>24</v>
      </c>
      <c r="E765" t="s">
        <v>1233</v>
      </c>
      <c r="F765" t="s">
        <v>1085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f t="shared" si="11"/>
        <v>7</v>
      </c>
      <c r="O765" t="str">
        <f>IF(AND($A765=Dashboard!$B$3,$B765=Dashboard!$G$3,$D765&lt;&gt;"NO_SERVICE"),ROW(),"")</f>
        <v/>
      </c>
    </row>
    <row r="766" spans="1:15" x14ac:dyDescent="0.25">
      <c r="A766" t="s">
        <v>353</v>
      </c>
      <c r="B766" t="s">
        <v>2</v>
      </c>
      <c r="C766" t="s">
        <v>1230</v>
      </c>
      <c r="D766" t="s">
        <v>24</v>
      </c>
      <c r="E766" t="s">
        <v>1234</v>
      </c>
      <c r="F766" t="s">
        <v>319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f t="shared" si="11"/>
        <v>7</v>
      </c>
      <c r="O766" t="str">
        <f>IF(AND($A766=Dashboard!$B$3,$B766=Dashboard!$G$3,$D766&lt;&gt;"NO_SERVICE"),ROW(),"")</f>
        <v/>
      </c>
    </row>
    <row r="767" spans="1:15" x14ac:dyDescent="0.25">
      <c r="A767" t="s">
        <v>353</v>
      </c>
      <c r="B767" t="s">
        <v>2</v>
      </c>
      <c r="C767" t="s">
        <v>1230</v>
      </c>
      <c r="D767" t="s">
        <v>24</v>
      </c>
      <c r="E767" t="s">
        <v>1235</v>
      </c>
      <c r="F767" t="s">
        <v>573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f t="shared" si="11"/>
        <v>7</v>
      </c>
      <c r="O767" t="str">
        <f>IF(AND($A767=Dashboard!$B$3,$B767=Dashboard!$G$3,$D767&lt;&gt;"NO_SERVICE"),ROW(),"")</f>
        <v/>
      </c>
    </row>
    <row r="768" spans="1:15" x14ac:dyDescent="0.25">
      <c r="A768" t="s">
        <v>353</v>
      </c>
      <c r="B768" t="s">
        <v>2</v>
      </c>
      <c r="C768" t="s">
        <v>1230</v>
      </c>
      <c r="D768" t="s">
        <v>24</v>
      </c>
      <c r="E768" t="s">
        <v>1236</v>
      </c>
      <c r="F768" t="s">
        <v>711</v>
      </c>
      <c r="G768">
        <v>0</v>
      </c>
      <c r="H768">
        <v>1</v>
      </c>
      <c r="I768">
        <v>1</v>
      </c>
      <c r="J768">
        <v>0</v>
      </c>
      <c r="K768">
        <v>1</v>
      </c>
      <c r="L768">
        <v>1</v>
      </c>
      <c r="M768">
        <v>1</v>
      </c>
      <c r="N768">
        <f t="shared" si="11"/>
        <v>5</v>
      </c>
      <c r="O768" t="str">
        <f>IF(AND($A768=Dashboard!$B$3,$B768=Dashboard!$G$3,$D768&lt;&gt;"NO_SERVICE"),ROW(),"")</f>
        <v/>
      </c>
    </row>
    <row r="769" spans="1:15" x14ac:dyDescent="0.25">
      <c r="A769" t="s">
        <v>353</v>
      </c>
      <c r="B769" t="s">
        <v>2</v>
      </c>
      <c r="C769" t="s">
        <v>1230</v>
      </c>
      <c r="D769" t="s">
        <v>24</v>
      </c>
      <c r="E769" t="s">
        <v>1237</v>
      </c>
      <c r="F769" t="s">
        <v>244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f t="shared" si="11"/>
        <v>7</v>
      </c>
      <c r="O769" t="str">
        <f>IF(AND($A769=Dashboard!$B$3,$B769=Dashboard!$G$3,$D769&lt;&gt;"NO_SERVICE"),ROW(),"")</f>
        <v/>
      </c>
    </row>
    <row r="770" spans="1:15" x14ac:dyDescent="0.25">
      <c r="A770" t="s">
        <v>353</v>
      </c>
      <c r="B770" t="s">
        <v>2</v>
      </c>
      <c r="C770" t="s">
        <v>1230</v>
      </c>
      <c r="D770" t="s">
        <v>24</v>
      </c>
      <c r="E770" t="s">
        <v>1238</v>
      </c>
      <c r="F770" t="s">
        <v>674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f t="shared" ref="N770:N833" si="12">SUM(G770:M770)</f>
        <v>7</v>
      </c>
      <c r="O770" t="str">
        <f>IF(AND($A770=Dashboard!$B$3,$B770=Dashboard!$G$3,$D770&lt;&gt;"NO_SERVICE"),ROW(),"")</f>
        <v/>
      </c>
    </row>
    <row r="771" spans="1:15" x14ac:dyDescent="0.25">
      <c r="A771" t="s">
        <v>353</v>
      </c>
      <c r="B771" t="s">
        <v>2</v>
      </c>
      <c r="C771" t="s">
        <v>1230</v>
      </c>
      <c r="D771" t="s">
        <v>24</v>
      </c>
      <c r="E771" t="s">
        <v>1239</v>
      </c>
      <c r="F771" t="s">
        <v>974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f t="shared" si="12"/>
        <v>7</v>
      </c>
      <c r="O771" t="str">
        <f>IF(AND($A771=Dashboard!$B$3,$B771=Dashboard!$G$3,$D771&lt;&gt;"NO_SERVICE"),ROW(),"")</f>
        <v/>
      </c>
    </row>
    <row r="772" spans="1:15" x14ac:dyDescent="0.25">
      <c r="A772" t="s">
        <v>353</v>
      </c>
      <c r="B772" t="s">
        <v>2</v>
      </c>
      <c r="C772" t="s">
        <v>1230</v>
      </c>
      <c r="D772" t="s">
        <v>24</v>
      </c>
      <c r="E772" t="s">
        <v>1240</v>
      </c>
      <c r="F772" t="s">
        <v>1241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f t="shared" si="12"/>
        <v>7</v>
      </c>
      <c r="O772" t="str">
        <f>IF(AND($A772=Dashboard!$B$3,$B772=Dashboard!$G$3,$D772&lt;&gt;"NO_SERVICE"),ROW(),"")</f>
        <v/>
      </c>
    </row>
    <row r="773" spans="1:15" x14ac:dyDescent="0.25">
      <c r="A773" t="s">
        <v>353</v>
      </c>
      <c r="B773" t="s">
        <v>2</v>
      </c>
      <c r="C773" t="s">
        <v>1230</v>
      </c>
      <c r="D773" t="s">
        <v>21</v>
      </c>
      <c r="E773" t="s">
        <v>1242</v>
      </c>
      <c r="F773" t="s">
        <v>726</v>
      </c>
      <c r="G773">
        <v>1</v>
      </c>
      <c r="H773">
        <v>1</v>
      </c>
      <c r="I773">
        <v>0</v>
      </c>
      <c r="J773">
        <v>1</v>
      </c>
      <c r="K773">
        <v>1</v>
      </c>
      <c r="L773">
        <v>1</v>
      </c>
      <c r="M773">
        <v>1</v>
      </c>
      <c r="N773">
        <f t="shared" si="12"/>
        <v>6</v>
      </c>
      <c r="O773" t="str">
        <f>IF(AND($A773=Dashboard!$B$3,$B773=Dashboard!$G$3,$D773&lt;&gt;"NO_SERVICE"),ROW(),"")</f>
        <v/>
      </c>
    </row>
    <row r="774" spans="1:15" x14ac:dyDescent="0.25">
      <c r="A774" t="s">
        <v>353</v>
      </c>
      <c r="B774" t="s">
        <v>2</v>
      </c>
      <c r="C774" t="s">
        <v>1230</v>
      </c>
      <c r="D774" t="s">
        <v>21</v>
      </c>
      <c r="E774" t="s">
        <v>1242</v>
      </c>
      <c r="F774" t="s">
        <v>260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f t="shared" si="12"/>
        <v>1</v>
      </c>
      <c r="O774" t="str">
        <f>IF(AND($A774=Dashboard!$B$3,$B774=Dashboard!$G$3,$D774&lt;&gt;"NO_SERVICE"),ROW(),"")</f>
        <v/>
      </c>
    </row>
    <row r="775" spans="1:15" x14ac:dyDescent="0.25">
      <c r="A775" t="s">
        <v>353</v>
      </c>
      <c r="B775" t="s">
        <v>2</v>
      </c>
      <c r="C775" t="s">
        <v>1230</v>
      </c>
      <c r="D775" t="s">
        <v>21</v>
      </c>
      <c r="E775" t="s">
        <v>1243</v>
      </c>
      <c r="F775" t="s">
        <v>589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f t="shared" si="12"/>
        <v>7</v>
      </c>
      <c r="O775" t="str">
        <f>IF(AND($A775=Dashboard!$B$3,$B775=Dashboard!$G$3,$D775&lt;&gt;"NO_SERVICE"),ROW(),"")</f>
        <v/>
      </c>
    </row>
    <row r="776" spans="1:15" x14ac:dyDescent="0.25">
      <c r="A776" t="s">
        <v>353</v>
      </c>
      <c r="B776" t="s">
        <v>2</v>
      </c>
      <c r="C776" t="s">
        <v>1230</v>
      </c>
      <c r="D776" t="s">
        <v>21</v>
      </c>
      <c r="E776" t="s">
        <v>1244</v>
      </c>
      <c r="F776" t="s">
        <v>1245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f t="shared" si="12"/>
        <v>7</v>
      </c>
      <c r="O776" t="str">
        <f>IF(AND($A776=Dashboard!$B$3,$B776=Dashboard!$G$3,$D776&lt;&gt;"NO_SERVICE"),ROW(),"")</f>
        <v/>
      </c>
    </row>
    <row r="777" spans="1:15" x14ac:dyDescent="0.25">
      <c r="A777" t="s">
        <v>353</v>
      </c>
      <c r="B777" t="s">
        <v>2</v>
      </c>
      <c r="C777" t="s">
        <v>1230</v>
      </c>
      <c r="D777" t="s">
        <v>21</v>
      </c>
      <c r="E777" t="s">
        <v>1246</v>
      </c>
      <c r="F777" t="s">
        <v>473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f t="shared" si="12"/>
        <v>7</v>
      </c>
      <c r="O777" t="str">
        <f>IF(AND($A777=Dashboard!$B$3,$B777=Dashboard!$G$3,$D777&lt;&gt;"NO_SERVICE"),ROW(),"")</f>
        <v/>
      </c>
    </row>
    <row r="778" spans="1:15" x14ac:dyDescent="0.25">
      <c r="A778" t="s">
        <v>353</v>
      </c>
      <c r="B778" t="s">
        <v>2</v>
      </c>
      <c r="C778" t="s">
        <v>1230</v>
      </c>
      <c r="D778" t="s">
        <v>26</v>
      </c>
      <c r="E778" t="s">
        <v>1247</v>
      </c>
      <c r="F778" t="s">
        <v>342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f t="shared" si="12"/>
        <v>7</v>
      </c>
      <c r="O778" t="str">
        <f>IF(AND($A778=Dashboard!$B$3,$B778=Dashboard!$G$3,$D778&lt;&gt;"NO_SERVICE"),ROW(),"")</f>
        <v/>
      </c>
    </row>
    <row r="779" spans="1:15" x14ac:dyDescent="0.25">
      <c r="A779" t="s">
        <v>353</v>
      </c>
      <c r="B779" t="s">
        <v>154</v>
      </c>
      <c r="C779" t="s">
        <v>1248</v>
      </c>
      <c r="D779" t="s">
        <v>24</v>
      </c>
      <c r="E779" t="s">
        <v>1249</v>
      </c>
      <c r="F779" t="s">
        <v>1098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f t="shared" si="12"/>
        <v>7</v>
      </c>
      <c r="O779" t="str">
        <f>IF(AND($A779=Dashboard!$B$3,$B779=Dashboard!$G$3,$D779&lt;&gt;"NO_SERVICE"),ROW(),"")</f>
        <v/>
      </c>
    </row>
    <row r="780" spans="1:15" x14ac:dyDescent="0.25">
      <c r="A780" t="s">
        <v>353</v>
      </c>
      <c r="B780" t="s">
        <v>154</v>
      </c>
      <c r="C780" t="s">
        <v>1248</v>
      </c>
      <c r="D780" t="s">
        <v>24</v>
      </c>
      <c r="E780" t="s">
        <v>1250</v>
      </c>
      <c r="F780" t="s">
        <v>1251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f t="shared" si="12"/>
        <v>1</v>
      </c>
      <c r="O780" t="str">
        <f>IF(AND($A780=Dashboard!$B$3,$B780=Dashboard!$G$3,$D780&lt;&gt;"NO_SERVICE"),ROW(),"")</f>
        <v/>
      </c>
    </row>
    <row r="781" spans="1:15" x14ac:dyDescent="0.25">
      <c r="A781" t="s">
        <v>353</v>
      </c>
      <c r="B781" t="s">
        <v>154</v>
      </c>
      <c r="C781" t="s">
        <v>1248</v>
      </c>
      <c r="D781" t="s">
        <v>24</v>
      </c>
      <c r="E781" t="s">
        <v>1252</v>
      </c>
      <c r="F781" t="s">
        <v>480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f t="shared" si="12"/>
        <v>7</v>
      </c>
      <c r="O781" t="str">
        <f>IF(AND($A781=Dashboard!$B$3,$B781=Dashboard!$G$3,$D781&lt;&gt;"NO_SERVICE"),ROW(),"")</f>
        <v/>
      </c>
    </row>
    <row r="782" spans="1:15" x14ac:dyDescent="0.25">
      <c r="A782" t="s">
        <v>353</v>
      </c>
      <c r="B782" t="s">
        <v>154</v>
      </c>
      <c r="C782" t="s">
        <v>1248</v>
      </c>
      <c r="D782" t="s">
        <v>24</v>
      </c>
      <c r="E782" t="s">
        <v>1253</v>
      </c>
      <c r="F782" t="s">
        <v>515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f t="shared" si="12"/>
        <v>7</v>
      </c>
      <c r="O782" t="str">
        <f>IF(AND($A782=Dashboard!$B$3,$B782=Dashboard!$G$3,$D782&lt;&gt;"NO_SERVICE"),ROW(),"")</f>
        <v/>
      </c>
    </row>
    <row r="783" spans="1:15" x14ac:dyDescent="0.25">
      <c r="A783" t="s">
        <v>353</v>
      </c>
      <c r="B783" t="s">
        <v>154</v>
      </c>
      <c r="C783" t="s">
        <v>1248</v>
      </c>
      <c r="D783" t="s">
        <v>24</v>
      </c>
      <c r="E783" t="s">
        <v>1254</v>
      </c>
      <c r="F783" t="s">
        <v>285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f t="shared" si="12"/>
        <v>7</v>
      </c>
      <c r="O783" t="str">
        <f>IF(AND($A783=Dashboard!$B$3,$B783=Dashboard!$G$3,$D783&lt;&gt;"NO_SERVICE"),ROW(),"")</f>
        <v/>
      </c>
    </row>
    <row r="784" spans="1:15" x14ac:dyDescent="0.25">
      <c r="A784" t="s">
        <v>353</v>
      </c>
      <c r="B784" t="s">
        <v>154</v>
      </c>
      <c r="C784" t="s">
        <v>1248</v>
      </c>
      <c r="D784" t="s">
        <v>24</v>
      </c>
      <c r="E784" t="s">
        <v>1255</v>
      </c>
      <c r="F784" t="s">
        <v>252</v>
      </c>
      <c r="G784">
        <v>0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f t="shared" si="12"/>
        <v>6</v>
      </c>
      <c r="O784" t="str">
        <f>IF(AND($A784=Dashboard!$B$3,$B784=Dashboard!$G$3,$D784&lt;&gt;"NO_SERVICE"),ROW(),"")</f>
        <v/>
      </c>
    </row>
    <row r="785" spans="1:15" x14ac:dyDescent="0.25">
      <c r="A785" t="s">
        <v>353</v>
      </c>
      <c r="B785" t="s">
        <v>154</v>
      </c>
      <c r="C785" t="s">
        <v>1248</v>
      </c>
      <c r="D785" t="s">
        <v>24</v>
      </c>
      <c r="E785" t="s">
        <v>1255</v>
      </c>
      <c r="F785" t="s">
        <v>228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f t="shared" si="12"/>
        <v>1</v>
      </c>
      <c r="O785" t="str">
        <f>IF(AND($A785=Dashboard!$B$3,$B785=Dashboard!$G$3,$D785&lt;&gt;"NO_SERVICE"),ROW(),"")</f>
        <v/>
      </c>
    </row>
    <row r="786" spans="1:15" x14ac:dyDescent="0.25">
      <c r="A786" t="s">
        <v>353</v>
      </c>
      <c r="B786" t="s">
        <v>154</v>
      </c>
      <c r="C786" t="s">
        <v>1248</v>
      </c>
      <c r="D786" t="s">
        <v>24</v>
      </c>
      <c r="E786" t="s">
        <v>1256</v>
      </c>
      <c r="F786" t="s">
        <v>832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f t="shared" si="12"/>
        <v>7</v>
      </c>
      <c r="O786" t="str">
        <f>IF(AND($A786=Dashboard!$B$3,$B786=Dashboard!$G$3,$D786&lt;&gt;"NO_SERVICE"),ROW(),"")</f>
        <v/>
      </c>
    </row>
    <row r="787" spans="1:15" x14ac:dyDescent="0.25">
      <c r="A787" t="s">
        <v>353</v>
      </c>
      <c r="B787" t="s">
        <v>154</v>
      </c>
      <c r="C787" t="s">
        <v>1248</v>
      </c>
      <c r="D787" t="s">
        <v>24</v>
      </c>
      <c r="E787" t="s">
        <v>1257</v>
      </c>
      <c r="F787" t="s">
        <v>376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f t="shared" si="12"/>
        <v>7</v>
      </c>
      <c r="O787" t="str">
        <f>IF(AND($A787=Dashboard!$B$3,$B787=Dashboard!$G$3,$D787&lt;&gt;"NO_SERVICE"),ROW(),"")</f>
        <v/>
      </c>
    </row>
    <row r="788" spans="1:15" x14ac:dyDescent="0.25">
      <c r="A788" t="s">
        <v>353</v>
      </c>
      <c r="B788" t="s">
        <v>154</v>
      </c>
      <c r="C788" t="s">
        <v>1248</v>
      </c>
      <c r="D788" t="s">
        <v>24</v>
      </c>
      <c r="E788" t="s">
        <v>1258</v>
      </c>
      <c r="F788" t="s">
        <v>678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f t="shared" si="12"/>
        <v>7</v>
      </c>
      <c r="O788" t="str">
        <f>IF(AND($A788=Dashboard!$B$3,$B788=Dashboard!$G$3,$D788&lt;&gt;"NO_SERVICE"),ROW(),"")</f>
        <v/>
      </c>
    </row>
    <row r="789" spans="1:15" x14ac:dyDescent="0.25">
      <c r="A789" t="s">
        <v>353</v>
      </c>
      <c r="B789" t="s">
        <v>154</v>
      </c>
      <c r="C789" t="s">
        <v>1248</v>
      </c>
      <c r="D789" t="s">
        <v>24</v>
      </c>
      <c r="E789" t="s">
        <v>1259</v>
      </c>
      <c r="F789" t="s">
        <v>537</v>
      </c>
      <c r="G789">
        <v>0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f t="shared" si="12"/>
        <v>6</v>
      </c>
      <c r="O789" t="str">
        <f>IF(AND($A789=Dashboard!$B$3,$B789=Dashboard!$G$3,$D789&lt;&gt;"NO_SERVICE"),ROW(),"")</f>
        <v/>
      </c>
    </row>
    <row r="790" spans="1:15" x14ac:dyDescent="0.25">
      <c r="A790" t="s">
        <v>353</v>
      </c>
      <c r="B790" t="s">
        <v>154</v>
      </c>
      <c r="C790" t="s">
        <v>1248</v>
      </c>
      <c r="D790" t="s">
        <v>24</v>
      </c>
      <c r="E790" t="s">
        <v>1260</v>
      </c>
      <c r="F790" t="s">
        <v>530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f t="shared" si="12"/>
        <v>7</v>
      </c>
      <c r="O790" t="str">
        <f>IF(AND($A790=Dashboard!$B$3,$B790=Dashboard!$G$3,$D790&lt;&gt;"NO_SERVICE"),ROW(),"")</f>
        <v/>
      </c>
    </row>
    <row r="791" spans="1:15" x14ac:dyDescent="0.25">
      <c r="A791" t="s">
        <v>353</v>
      </c>
      <c r="B791" t="s">
        <v>154</v>
      </c>
      <c r="C791" t="s">
        <v>1248</v>
      </c>
      <c r="D791" t="s">
        <v>24</v>
      </c>
      <c r="E791" t="s">
        <v>1261</v>
      </c>
      <c r="F791" t="s">
        <v>108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f t="shared" si="12"/>
        <v>7</v>
      </c>
      <c r="O791" t="str">
        <f>IF(AND($A791=Dashboard!$B$3,$B791=Dashboard!$G$3,$D791&lt;&gt;"NO_SERVICE"),ROW(),"")</f>
        <v/>
      </c>
    </row>
    <row r="792" spans="1:15" x14ac:dyDescent="0.25">
      <c r="A792" t="s">
        <v>353</v>
      </c>
      <c r="B792" t="s">
        <v>154</v>
      </c>
      <c r="C792" t="s">
        <v>1248</v>
      </c>
      <c r="D792" t="s">
        <v>24</v>
      </c>
      <c r="E792" t="s">
        <v>1262</v>
      </c>
      <c r="F792" t="s">
        <v>174</v>
      </c>
      <c r="G792">
        <v>0</v>
      </c>
      <c r="H792">
        <v>0</v>
      </c>
      <c r="I792">
        <v>1</v>
      </c>
      <c r="J792">
        <v>1</v>
      </c>
      <c r="K792">
        <v>1</v>
      </c>
      <c r="L792">
        <v>0</v>
      </c>
      <c r="M792">
        <v>1</v>
      </c>
      <c r="N792">
        <f t="shared" si="12"/>
        <v>4</v>
      </c>
      <c r="O792" t="str">
        <f>IF(AND($A792=Dashboard!$B$3,$B792=Dashboard!$G$3,$D792&lt;&gt;"NO_SERVICE"),ROW(),"")</f>
        <v/>
      </c>
    </row>
    <row r="793" spans="1:15" x14ac:dyDescent="0.25">
      <c r="A793" t="s">
        <v>353</v>
      </c>
      <c r="B793" t="s">
        <v>154</v>
      </c>
      <c r="C793" t="s">
        <v>1248</v>
      </c>
      <c r="D793" t="s">
        <v>24</v>
      </c>
      <c r="E793" t="s">
        <v>1263</v>
      </c>
      <c r="F793" t="s">
        <v>1207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f t="shared" si="12"/>
        <v>7</v>
      </c>
      <c r="O793" t="str">
        <f>IF(AND($A793=Dashboard!$B$3,$B793=Dashboard!$G$3,$D793&lt;&gt;"NO_SERVICE"),ROW(),"")</f>
        <v/>
      </c>
    </row>
    <row r="794" spans="1:15" x14ac:dyDescent="0.25">
      <c r="A794" t="s">
        <v>353</v>
      </c>
      <c r="B794" t="s">
        <v>154</v>
      </c>
      <c r="C794" t="s">
        <v>1248</v>
      </c>
      <c r="D794" t="s">
        <v>24</v>
      </c>
      <c r="E794" t="s">
        <v>1264</v>
      </c>
      <c r="F794" t="s">
        <v>1265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f t="shared" si="12"/>
        <v>7</v>
      </c>
      <c r="O794" t="str">
        <f>IF(AND($A794=Dashboard!$B$3,$B794=Dashboard!$G$3,$D794&lt;&gt;"NO_SERVICE"),ROW(),"")</f>
        <v/>
      </c>
    </row>
    <row r="795" spans="1:15" x14ac:dyDescent="0.25">
      <c r="A795" t="s">
        <v>353</v>
      </c>
      <c r="B795" t="s">
        <v>154</v>
      </c>
      <c r="C795" t="s">
        <v>1248</v>
      </c>
      <c r="D795" t="s">
        <v>21</v>
      </c>
      <c r="E795" t="s">
        <v>1266</v>
      </c>
      <c r="F795" t="s">
        <v>1267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f t="shared" si="12"/>
        <v>7</v>
      </c>
      <c r="O795" t="str">
        <f>IF(AND($A795=Dashboard!$B$3,$B795=Dashboard!$G$3,$D795&lt;&gt;"NO_SERVICE"),ROW(),"")</f>
        <v/>
      </c>
    </row>
    <row r="796" spans="1:15" x14ac:dyDescent="0.25">
      <c r="A796" t="s">
        <v>353</v>
      </c>
      <c r="B796" t="s">
        <v>154</v>
      </c>
      <c r="C796" t="s">
        <v>1248</v>
      </c>
      <c r="D796" t="s">
        <v>21</v>
      </c>
      <c r="E796" t="s">
        <v>1268</v>
      </c>
      <c r="F796" t="s">
        <v>199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1</v>
      </c>
      <c r="N796">
        <f t="shared" si="12"/>
        <v>2</v>
      </c>
      <c r="O796" t="str">
        <f>IF(AND($A796=Dashboard!$B$3,$B796=Dashboard!$G$3,$D796&lt;&gt;"NO_SERVICE"),ROW(),"")</f>
        <v/>
      </c>
    </row>
    <row r="797" spans="1:15" x14ac:dyDescent="0.25">
      <c r="A797" t="s">
        <v>353</v>
      </c>
      <c r="B797" t="s">
        <v>154</v>
      </c>
      <c r="C797" t="s">
        <v>1248</v>
      </c>
      <c r="D797" t="s">
        <v>21</v>
      </c>
      <c r="E797" t="s">
        <v>1269</v>
      </c>
      <c r="F797" t="s">
        <v>199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f t="shared" si="12"/>
        <v>1</v>
      </c>
      <c r="O797" t="str">
        <f>IF(AND($A797=Dashboard!$B$3,$B797=Dashboard!$G$3,$D797&lt;&gt;"NO_SERVICE"),ROW(),"")</f>
        <v/>
      </c>
    </row>
    <row r="798" spans="1:15" x14ac:dyDescent="0.25">
      <c r="A798" t="s">
        <v>353</v>
      </c>
      <c r="B798" t="s">
        <v>154</v>
      </c>
      <c r="C798" t="s">
        <v>1248</v>
      </c>
      <c r="D798" t="s">
        <v>21</v>
      </c>
      <c r="E798" t="s">
        <v>1270</v>
      </c>
      <c r="F798" t="s">
        <v>258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f t="shared" si="12"/>
        <v>7</v>
      </c>
      <c r="O798" t="str">
        <f>IF(AND($A798=Dashboard!$B$3,$B798=Dashboard!$G$3,$D798&lt;&gt;"NO_SERVICE"),ROW(),"")</f>
        <v/>
      </c>
    </row>
    <row r="799" spans="1:15" x14ac:dyDescent="0.25">
      <c r="A799" t="s">
        <v>353</v>
      </c>
      <c r="B799" t="s">
        <v>154</v>
      </c>
      <c r="C799" t="s">
        <v>1248</v>
      </c>
      <c r="D799" t="s">
        <v>21</v>
      </c>
      <c r="E799" t="s">
        <v>1271</v>
      </c>
      <c r="F799" t="s">
        <v>127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f t="shared" si="12"/>
        <v>7</v>
      </c>
      <c r="O799" t="str">
        <f>IF(AND($A799=Dashboard!$B$3,$B799=Dashboard!$G$3,$D799&lt;&gt;"NO_SERVICE"),ROW(),"")</f>
        <v/>
      </c>
    </row>
    <row r="800" spans="1:15" x14ac:dyDescent="0.25">
      <c r="A800" t="s">
        <v>353</v>
      </c>
      <c r="B800" t="s">
        <v>154</v>
      </c>
      <c r="C800" t="s">
        <v>1248</v>
      </c>
      <c r="D800" t="s">
        <v>21</v>
      </c>
      <c r="E800" t="s">
        <v>1272</v>
      </c>
      <c r="F800" t="s">
        <v>228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f t="shared" si="12"/>
        <v>7</v>
      </c>
      <c r="O800" t="str">
        <f>IF(AND($A800=Dashboard!$B$3,$B800=Dashboard!$G$3,$D800&lt;&gt;"NO_SERVICE"),ROW(),"")</f>
        <v/>
      </c>
    </row>
    <row r="801" spans="1:15" x14ac:dyDescent="0.25">
      <c r="A801" t="s">
        <v>353</v>
      </c>
      <c r="B801" t="s">
        <v>154</v>
      </c>
      <c r="C801" t="s">
        <v>1248</v>
      </c>
      <c r="D801" t="s">
        <v>21</v>
      </c>
      <c r="E801" t="s">
        <v>1273</v>
      </c>
      <c r="F801" t="s">
        <v>212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f t="shared" si="12"/>
        <v>7</v>
      </c>
      <c r="O801" t="str">
        <f>IF(AND($A801=Dashboard!$B$3,$B801=Dashboard!$G$3,$D801&lt;&gt;"NO_SERVICE"),ROW(),"")</f>
        <v/>
      </c>
    </row>
    <row r="802" spans="1:15" x14ac:dyDescent="0.25">
      <c r="A802" t="s">
        <v>353</v>
      </c>
      <c r="B802" t="s">
        <v>154</v>
      </c>
      <c r="C802" t="s">
        <v>1248</v>
      </c>
      <c r="D802" t="s">
        <v>21</v>
      </c>
      <c r="E802" t="s">
        <v>1274</v>
      </c>
      <c r="F802" t="s">
        <v>335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f t="shared" si="12"/>
        <v>7</v>
      </c>
      <c r="O802" t="str">
        <f>IF(AND($A802=Dashboard!$B$3,$B802=Dashboard!$G$3,$D802&lt;&gt;"NO_SERVICE"),ROW(),"")</f>
        <v/>
      </c>
    </row>
    <row r="803" spans="1:15" x14ac:dyDescent="0.25">
      <c r="A803" t="s">
        <v>353</v>
      </c>
      <c r="B803" t="s">
        <v>154</v>
      </c>
      <c r="C803" t="s">
        <v>1248</v>
      </c>
      <c r="D803" t="s">
        <v>21</v>
      </c>
      <c r="E803" t="s">
        <v>1275</v>
      </c>
      <c r="F803" t="s">
        <v>266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f t="shared" si="12"/>
        <v>7</v>
      </c>
      <c r="O803" t="str">
        <f>IF(AND($A803=Dashboard!$B$3,$B803=Dashboard!$G$3,$D803&lt;&gt;"NO_SERVICE"),ROW(),"")</f>
        <v/>
      </c>
    </row>
    <row r="804" spans="1:15" x14ac:dyDescent="0.25">
      <c r="A804" t="s">
        <v>353</v>
      </c>
      <c r="B804" t="s">
        <v>154</v>
      </c>
      <c r="C804" t="s">
        <v>1248</v>
      </c>
      <c r="D804" t="s">
        <v>21</v>
      </c>
      <c r="E804" t="s">
        <v>1276</v>
      </c>
      <c r="F804" t="s">
        <v>108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f t="shared" si="12"/>
        <v>7</v>
      </c>
      <c r="O804" t="str">
        <f>IF(AND($A804=Dashboard!$B$3,$B804=Dashboard!$G$3,$D804&lt;&gt;"NO_SERVICE"),ROW(),"")</f>
        <v/>
      </c>
    </row>
    <row r="805" spans="1:15" x14ac:dyDescent="0.25">
      <c r="A805" t="s">
        <v>353</v>
      </c>
      <c r="B805" t="s">
        <v>154</v>
      </c>
      <c r="C805" t="s">
        <v>1248</v>
      </c>
      <c r="D805" t="s">
        <v>21</v>
      </c>
      <c r="E805" t="s">
        <v>1277</v>
      </c>
      <c r="F805" t="s">
        <v>742</v>
      </c>
      <c r="G805">
        <v>0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f t="shared" si="12"/>
        <v>6</v>
      </c>
      <c r="O805" t="str">
        <f>IF(AND($A805=Dashboard!$B$3,$B805=Dashboard!$G$3,$D805&lt;&gt;"NO_SERVICE"),ROW(),"")</f>
        <v/>
      </c>
    </row>
    <row r="806" spans="1:15" x14ac:dyDescent="0.25">
      <c r="A806" t="s">
        <v>353</v>
      </c>
      <c r="B806" t="s">
        <v>154</v>
      </c>
      <c r="C806" t="s">
        <v>1248</v>
      </c>
      <c r="D806" t="s">
        <v>21</v>
      </c>
      <c r="E806" t="s">
        <v>1278</v>
      </c>
      <c r="F806" t="s">
        <v>458</v>
      </c>
      <c r="G806">
        <v>0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f t="shared" si="12"/>
        <v>6</v>
      </c>
      <c r="O806" t="str">
        <f>IF(AND($A806=Dashboard!$B$3,$B806=Dashboard!$G$3,$D806&lt;&gt;"NO_SERVICE"),ROW(),"")</f>
        <v/>
      </c>
    </row>
    <row r="807" spans="1:15" x14ac:dyDescent="0.25">
      <c r="A807" t="s">
        <v>353</v>
      </c>
      <c r="B807" t="s">
        <v>154</v>
      </c>
      <c r="C807" t="s">
        <v>1248</v>
      </c>
      <c r="D807" t="s">
        <v>21</v>
      </c>
      <c r="E807" t="s">
        <v>1279</v>
      </c>
      <c r="F807" t="s">
        <v>402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f t="shared" si="12"/>
        <v>1</v>
      </c>
      <c r="O807" t="str">
        <f>IF(AND($A807=Dashboard!$B$3,$B807=Dashboard!$G$3,$D807&lt;&gt;"NO_SERVICE"),ROW(),"")</f>
        <v/>
      </c>
    </row>
    <row r="808" spans="1:15" x14ac:dyDescent="0.25">
      <c r="A808" t="s">
        <v>353</v>
      </c>
      <c r="B808" t="s">
        <v>154</v>
      </c>
      <c r="C808" t="s">
        <v>1248</v>
      </c>
      <c r="D808" t="s">
        <v>21</v>
      </c>
      <c r="E808" t="s">
        <v>1280</v>
      </c>
      <c r="F808" t="s">
        <v>1108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f t="shared" si="12"/>
        <v>7</v>
      </c>
      <c r="O808" t="str">
        <f>IF(AND($A808=Dashboard!$B$3,$B808=Dashboard!$G$3,$D808&lt;&gt;"NO_SERVICE"),ROW(),"")</f>
        <v/>
      </c>
    </row>
    <row r="809" spans="1:15" x14ac:dyDescent="0.25">
      <c r="A809" t="s">
        <v>353</v>
      </c>
      <c r="B809" t="s">
        <v>154</v>
      </c>
      <c r="C809" t="s">
        <v>1248</v>
      </c>
      <c r="D809" t="s">
        <v>21</v>
      </c>
      <c r="E809" t="s">
        <v>1281</v>
      </c>
      <c r="F809" t="s">
        <v>1121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0</v>
      </c>
      <c r="M809">
        <v>1</v>
      </c>
      <c r="N809">
        <f t="shared" si="12"/>
        <v>2</v>
      </c>
      <c r="O809" t="str">
        <f>IF(AND($A809=Dashboard!$B$3,$B809=Dashboard!$G$3,$D809&lt;&gt;"NO_SERVICE"),ROW(),"")</f>
        <v/>
      </c>
    </row>
    <row r="810" spans="1:15" x14ac:dyDescent="0.25">
      <c r="A810" t="s">
        <v>353</v>
      </c>
      <c r="B810" t="s">
        <v>154</v>
      </c>
      <c r="C810" t="s">
        <v>1248</v>
      </c>
      <c r="D810" t="s">
        <v>29</v>
      </c>
      <c r="E810" t="s">
        <v>1282</v>
      </c>
      <c r="F810" t="s">
        <v>1207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f t="shared" si="12"/>
        <v>7</v>
      </c>
      <c r="O810" t="str">
        <f>IF(AND($A810=Dashboard!$B$3,$B810=Dashboard!$G$3,$D810&lt;&gt;"NO_SERVICE"),ROW(),"")</f>
        <v/>
      </c>
    </row>
    <row r="811" spans="1:15" x14ac:dyDescent="0.25">
      <c r="A811" t="s">
        <v>353</v>
      </c>
      <c r="B811" t="s">
        <v>154</v>
      </c>
      <c r="C811" t="s">
        <v>1248</v>
      </c>
      <c r="D811" t="s">
        <v>29</v>
      </c>
      <c r="E811" t="s">
        <v>1283</v>
      </c>
      <c r="F811" t="s">
        <v>1021</v>
      </c>
      <c r="G811">
        <v>1</v>
      </c>
      <c r="H811">
        <v>1</v>
      </c>
      <c r="I811">
        <v>0</v>
      </c>
      <c r="J811">
        <v>1</v>
      </c>
      <c r="K811">
        <v>1</v>
      </c>
      <c r="L811">
        <v>1</v>
      </c>
      <c r="M811">
        <v>1</v>
      </c>
      <c r="N811">
        <f t="shared" si="12"/>
        <v>6</v>
      </c>
      <c r="O811" t="str">
        <f>IF(AND($A811=Dashboard!$B$3,$B811=Dashboard!$G$3,$D811&lt;&gt;"NO_SERVICE"),ROW(),"")</f>
        <v/>
      </c>
    </row>
    <row r="812" spans="1:15" x14ac:dyDescent="0.25">
      <c r="A812" t="s">
        <v>353</v>
      </c>
      <c r="B812" t="s">
        <v>154</v>
      </c>
      <c r="C812" t="s">
        <v>1248</v>
      </c>
      <c r="D812" t="s">
        <v>26</v>
      </c>
      <c r="E812" t="s">
        <v>1284</v>
      </c>
      <c r="F812" t="s">
        <v>1285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f t="shared" si="12"/>
        <v>7</v>
      </c>
      <c r="O812" t="str">
        <f>IF(AND($A812=Dashboard!$B$3,$B812=Dashboard!$G$3,$D812&lt;&gt;"NO_SERVICE"),ROW(),"")</f>
        <v/>
      </c>
    </row>
    <row r="813" spans="1:15" x14ac:dyDescent="0.25">
      <c r="A813" t="s">
        <v>353</v>
      </c>
      <c r="B813" t="s">
        <v>154</v>
      </c>
      <c r="C813" t="s">
        <v>1248</v>
      </c>
      <c r="D813" t="s">
        <v>26</v>
      </c>
      <c r="E813" t="s">
        <v>1286</v>
      </c>
      <c r="F813" t="s">
        <v>374</v>
      </c>
      <c r="G813">
        <v>0</v>
      </c>
      <c r="H813">
        <v>0</v>
      </c>
      <c r="I813">
        <v>1</v>
      </c>
      <c r="J813">
        <v>1</v>
      </c>
      <c r="K813">
        <v>0</v>
      </c>
      <c r="L813">
        <v>0</v>
      </c>
      <c r="M813">
        <v>0</v>
      </c>
      <c r="N813">
        <f t="shared" si="12"/>
        <v>2</v>
      </c>
      <c r="O813" t="str">
        <f>IF(AND($A813=Dashboard!$B$3,$B813=Dashboard!$G$3,$D813&lt;&gt;"NO_SERVICE"),ROW(),"")</f>
        <v/>
      </c>
    </row>
    <row r="814" spans="1:15" x14ac:dyDescent="0.25">
      <c r="A814" t="s">
        <v>353</v>
      </c>
      <c r="B814" t="s">
        <v>154</v>
      </c>
      <c r="C814" t="s">
        <v>1248</v>
      </c>
      <c r="D814" t="s">
        <v>26</v>
      </c>
      <c r="E814" t="s">
        <v>1287</v>
      </c>
      <c r="F814" t="s">
        <v>534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f t="shared" si="12"/>
        <v>1</v>
      </c>
      <c r="O814" t="str">
        <f>IF(AND($A814=Dashboard!$B$3,$B814=Dashboard!$G$3,$D814&lt;&gt;"NO_SERVICE"),ROW(),"")</f>
        <v/>
      </c>
    </row>
    <row r="815" spans="1:15" x14ac:dyDescent="0.25">
      <c r="A815" t="s">
        <v>353</v>
      </c>
      <c r="B815" t="s">
        <v>154</v>
      </c>
      <c r="C815" t="s">
        <v>1248</v>
      </c>
      <c r="D815" t="s">
        <v>26</v>
      </c>
      <c r="E815" t="s">
        <v>1287</v>
      </c>
      <c r="F815" t="s">
        <v>119</v>
      </c>
      <c r="G815">
        <v>0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f t="shared" si="12"/>
        <v>6</v>
      </c>
      <c r="O815" t="str">
        <f>IF(AND($A815=Dashboard!$B$3,$B815=Dashboard!$G$3,$D815&lt;&gt;"NO_SERVICE"),ROW(),"")</f>
        <v/>
      </c>
    </row>
    <row r="816" spans="1:15" x14ac:dyDescent="0.25">
      <c r="A816" t="s">
        <v>353</v>
      </c>
      <c r="B816" t="s">
        <v>154</v>
      </c>
      <c r="C816" t="s">
        <v>1248</v>
      </c>
      <c r="D816" t="s">
        <v>26</v>
      </c>
      <c r="E816" t="s">
        <v>460</v>
      </c>
      <c r="F816" t="s">
        <v>890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f t="shared" si="12"/>
        <v>1</v>
      </c>
      <c r="O816" t="str">
        <f>IF(AND($A816=Dashboard!$B$3,$B816=Dashboard!$G$3,$D816&lt;&gt;"NO_SERVICE"),ROW(),"")</f>
        <v/>
      </c>
    </row>
    <row r="817" spans="1:15" x14ac:dyDescent="0.25">
      <c r="A817" t="s">
        <v>353</v>
      </c>
      <c r="B817" t="s">
        <v>154</v>
      </c>
      <c r="C817" t="s">
        <v>1248</v>
      </c>
      <c r="D817" t="s">
        <v>26</v>
      </c>
      <c r="E817" t="s">
        <v>429</v>
      </c>
      <c r="F817" t="s">
        <v>836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f t="shared" si="12"/>
        <v>1</v>
      </c>
      <c r="O817" t="str">
        <f>IF(AND($A817=Dashboard!$B$3,$B817=Dashboard!$G$3,$D817&lt;&gt;"NO_SERVICE"),ROW(),"")</f>
        <v/>
      </c>
    </row>
    <row r="818" spans="1:15" x14ac:dyDescent="0.25">
      <c r="A818" t="s">
        <v>353</v>
      </c>
      <c r="B818" t="s">
        <v>154</v>
      </c>
      <c r="C818" t="s">
        <v>1248</v>
      </c>
      <c r="D818" t="s">
        <v>26</v>
      </c>
      <c r="E818" t="s">
        <v>1288</v>
      </c>
      <c r="F818" t="s">
        <v>949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f t="shared" si="12"/>
        <v>1</v>
      </c>
      <c r="O818" t="str">
        <f>IF(AND($A818=Dashboard!$B$3,$B818=Dashboard!$G$3,$D818&lt;&gt;"NO_SERVICE"),ROW(),"")</f>
        <v/>
      </c>
    </row>
    <row r="819" spans="1:15" x14ac:dyDescent="0.25">
      <c r="A819" t="s">
        <v>353</v>
      </c>
      <c r="B819" t="s">
        <v>154</v>
      </c>
      <c r="C819" t="s">
        <v>1248</v>
      </c>
      <c r="D819" t="s">
        <v>26</v>
      </c>
      <c r="E819" t="s">
        <v>1288</v>
      </c>
      <c r="F819" t="s">
        <v>221</v>
      </c>
      <c r="G819">
        <v>0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f t="shared" si="12"/>
        <v>6</v>
      </c>
      <c r="O819" t="str">
        <f>IF(AND($A819=Dashboard!$B$3,$B819=Dashboard!$G$3,$D819&lt;&gt;"NO_SERVICE"),ROW(),"")</f>
        <v/>
      </c>
    </row>
    <row r="820" spans="1:15" x14ac:dyDescent="0.25">
      <c r="A820" t="s">
        <v>353</v>
      </c>
      <c r="B820" t="s">
        <v>154</v>
      </c>
      <c r="C820" t="s">
        <v>1248</v>
      </c>
      <c r="D820" t="s">
        <v>26</v>
      </c>
      <c r="E820" t="s">
        <v>1289</v>
      </c>
      <c r="F820" t="s">
        <v>596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f t="shared" si="12"/>
        <v>1</v>
      </c>
      <c r="O820" t="str">
        <f>IF(AND($A820=Dashboard!$B$3,$B820=Dashboard!$G$3,$D820&lt;&gt;"NO_SERVICE"),ROW(),"")</f>
        <v/>
      </c>
    </row>
    <row r="821" spans="1:15" x14ac:dyDescent="0.25">
      <c r="A821" t="s">
        <v>353</v>
      </c>
      <c r="B821" t="s">
        <v>154</v>
      </c>
      <c r="C821" t="s">
        <v>1248</v>
      </c>
      <c r="D821" t="s">
        <v>26</v>
      </c>
      <c r="E821" t="s">
        <v>1289</v>
      </c>
      <c r="F821" t="s">
        <v>161</v>
      </c>
      <c r="G821">
        <v>0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f t="shared" si="12"/>
        <v>6</v>
      </c>
      <c r="O821" t="str">
        <f>IF(AND($A821=Dashboard!$B$3,$B821=Dashboard!$G$3,$D821&lt;&gt;"NO_SERVICE"),ROW(),"")</f>
        <v/>
      </c>
    </row>
    <row r="822" spans="1:15" x14ac:dyDescent="0.25">
      <c r="A822" t="s">
        <v>353</v>
      </c>
      <c r="B822" t="s">
        <v>154</v>
      </c>
      <c r="C822" t="s">
        <v>1248</v>
      </c>
      <c r="D822" t="s">
        <v>26</v>
      </c>
      <c r="E822" t="s">
        <v>1290</v>
      </c>
      <c r="F822" t="s">
        <v>121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f t="shared" si="12"/>
        <v>7</v>
      </c>
      <c r="O822" t="str">
        <f>IF(AND($A822=Dashboard!$B$3,$B822=Dashboard!$G$3,$D822&lt;&gt;"NO_SERVICE"),ROW(),"")</f>
        <v/>
      </c>
    </row>
    <row r="823" spans="1:15" x14ac:dyDescent="0.25">
      <c r="A823" t="s">
        <v>353</v>
      </c>
      <c r="B823" t="s">
        <v>154</v>
      </c>
      <c r="C823" t="s">
        <v>1248</v>
      </c>
      <c r="D823" t="s">
        <v>26</v>
      </c>
      <c r="E823" t="s">
        <v>1291</v>
      </c>
      <c r="F823" t="s">
        <v>1167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f t="shared" si="12"/>
        <v>1</v>
      </c>
      <c r="O823" t="str">
        <f>IF(AND($A823=Dashboard!$B$3,$B823=Dashboard!$G$3,$D823&lt;&gt;"NO_SERVICE"),ROW(),"")</f>
        <v/>
      </c>
    </row>
    <row r="824" spans="1:15" x14ac:dyDescent="0.25">
      <c r="A824" t="s">
        <v>353</v>
      </c>
      <c r="B824" t="s">
        <v>154</v>
      </c>
      <c r="C824" t="s">
        <v>1248</v>
      </c>
      <c r="D824" t="s">
        <v>26</v>
      </c>
      <c r="E824" t="s">
        <v>1292</v>
      </c>
      <c r="F824" t="s">
        <v>441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f t="shared" si="12"/>
        <v>1</v>
      </c>
      <c r="O824" t="str">
        <f>IF(AND($A824=Dashboard!$B$3,$B824=Dashboard!$G$3,$D824&lt;&gt;"NO_SERVICE"),ROW(),"")</f>
        <v/>
      </c>
    </row>
    <row r="825" spans="1:15" x14ac:dyDescent="0.25">
      <c r="A825" t="s">
        <v>353</v>
      </c>
      <c r="B825" t="s">
        <v>541</v>
      </c>
      <c r="C825" t="s">
        <v>1293</v>
      </c>
      <c r="D825" t="s">
        <v>24</v>
      </c>
      <c r="E825" t="s">
        <v>1294</v>
      </c>
      <c r="F825" t="s">
        <v>199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f t="shared" si="12"/>
        <v>7</v>
      </c>
      <c r="O825" t="str">
        <f>IF(AND($A825=Dashboard!$B$3,$B825=Dashboard!$G$3,$D825&lt;&gt;"NO_SERVICE"),ROW(),"")</f>
        <v/>
      </c>
    </row>
    <row r="826" spans="1:15" x14ac:dyDescent="0.25">
      <c r="A826" t="s">
        <v>353</v>
      </c>
      <c r="B826" t="s">
        <v>541</v>
      </c>
      <c r="C826" t="s">
        <v>1293</v>
      </c>
      <c r="D826" t="s">
        <v>24</v>
      </c>
      <c r="E826" t="s">
        <v>1295</v>
      </c>
      <c r="F826" t="s">
        <v>567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f t="shared" si="12"/>
        <v>7</v>
      </c>
      <c r="O826" t="str">
        <f>IF(AND($A826=Dashboard!$B$3,$B826=Dashboard!$G$3,$D826&lt;&gt;"NO_SERVICE"),ROW(),"")</f>
        <v/>
      </c>
    </row>
    <row r="827" spans="1:15" x14ac:dyDescent="0.25">
      <c r="A827" t="s">
        <v>353</v>
      </c>
      <c r="B827" t="s">
        <v>541</v>
      </c>
      <c r="C827" t="s">
        <v>1293</v>
      </c>
      <c r="D827" t="s">
        <v>24</v>
      </c>
      <c r="E827" t="s">
        <v>1296</v>
      </c>
      <c r="F827" t="s">
        <v>223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f t="shared" si="12"/>
        <v>7</v>
      </c>
      <c r="O827" t="str">
        <f>IF(AND($A827=Dashboard!$B$3,$B827=Dashboard!$G$3,$D827&lt;&gt;"NO_SERVICE"),ROW(),"")</f>
        <v/>
      </c>
    </row>
    <row r="828" spans="1:15" x14ac:dyDescent="0.25">
      <c r="A828" t="s">
        <v>353</v>
      </c>
      <c r="B828" t="s">
        <v>541</v>
      </c>
      <c r="C828" t="s">
        <v>1293</v>
      </c>
      <c r="D828" t="s">
        <v>24</v>
      </c>
      <c r="E828" t="s">
        <v>1297</v>
      </c>
      <c r="F828" t="s">
        <v>368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f t="shared" si="12"/>
        <v>7</v>
      </c>
      <c r="O828" t="str">
        <f>IF(AND($A828=Dashboard!$B$3,$B828=Dashboard!$G$3,$D828&lt;&gt;"NO_SERVICE"),ROW(),"")</f>
        <v/>
      </c>
    </row>
    <row r="829" spans="1:15" x14ac:dyDescent="0.25">
      <c r="A829" t="s">
        <v>353</v>
      </c>
      <c r="B829" t="s">
        <v>541</v>
      </c>
      <c r="C829" t="s">
        <v>1293</v>
      </c>
      <c r="D829" t="s">
        <v>24</v>
      </c>
      <c r="E829" t="s">
        <v>1298</v>
      </c>
      <c r="F829" t="s">
        <v>180</v>
      </c>
      <c r="G829">
        <v>1</v>
      </c>
      <c r="H829">
        <v>0</v>
      </c>
      <c r="I829">
        <v>0</v>
      </c>
      <c r="J829">
        <v>1</v>
      </c>
      <c r="K829">
        <v>1</v>
      </c>
      <c r="L829">
        <v>1</v>
      </c>
      <c r="M829">
        <v>1</v>
      </c>
      <c r="N829">
        <f t="shared" si="12"/>
        <v>5</v>
      </c>
      <c r="O829" t="str">
        <f>IF(AND($A829=Dashboard!$B$3,$B829=Dashboard!$G$3,$D829&lt;&gt;"NO_SERVICE"),ROW(),"")</f>
        <v/>
      </c>
    </row>
    <row r="830" spans="1:15" x14ac:dyDescent="0.25">
      <c r="A830" t="s">
        <v>353</v>
      </c>
      <c r="B830" t="s">
        <v>541</v>
      </c>
      <c r="C830" t="s">
        <v>1293</v>
      </c>
      <c r="D830" t="s">
        <v>24</v>
      </c>
      <c r="E830" t="s">
        <v>1299</v>
      </c>
      <c r="F830" t="s">
        <v>293</v>
      </c>
      <c r="G830">
        <v>0</v>
      </c>
      <c r="H830">
        <v>1</v>
      </c>
      <c r="I830">
        <v>1</v>
      </c>
      <c r="J830">
        <v>1</v>
      </c>
      <c r="K830">
        <v>1</v>
      </c>
      <c r="L830">
        <v>0</v>
      </c>
      <c r="M830">
        <v>1</v>
      </c>
      <c r="N830">
        <f t="shared" si="12"/>
        <v>5</v>
      </c>
      <c r="O830" t="str">
        <f>IF(AND($A830=Dashboard!$B$3,$B830=Dashboard!$G$3,$D830&lt;&gt;"NO_SERVICE"),ROW(),"")</f>
        <v/>
      </c>
    </row>
    <row r="831" spans="1:15" x14ac:dyDescent="0.25">
      <c r="A831" t="s">
        <v>353</v>
      </c>
      <c r="B831" t="s">
        <v>541</v>
      </c>
      <c r="C831" t="s">
        <v>1293</v>
      </c>
      <c r="D831" t="s">
        <v>24</v>
      </c>
      <c r="E831" t="s">
        <v>1300</v>
      </c>
      <c r="F831" t="s">
        <v>596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f t="shared" si="12"/>
        <v>7</v>
      </c>
      <c r="O831" t="str">
        <f>IF(AND($A831=Dashboard!$B$3,$B831=Dashboard!$G$3,$D831&lt;&gt;"NO_SERVICE"),ROW(),"")</f>
        <v/>
      </c>
    </row>
    <row r="832" spans="1:15" x14ac:dyDescent="0.25">
      <c r="A832" t="s">
        <v>353</v>
      </c>
      <c r="B832" t="s">
        <v>541</v>
      </c>
      <c r="C832" t="s">
        <v>1293</v>
      </c>
      <c r="D832" t="s">
        <v>21</v>
      </c>
      <c r="E832" t="s">
        <v>1301</v>
      </c>
      <c r="F832" t="s">
        <v>70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f t="shared" si="12"/>
        <v>7</v>
      </c>
      <c r="O832" t="str">
        <f>IF(AND($A832=Dashboard!$B$3,$B832=Dashboard!$G$3,$D832&lt;&gt;"NO_SERVICE"),ROW(),"")</f>
        <v/>
      </c>
    </row>
    <row r="833" spans="1:15" x14ac:dyDescent="0.25">
      <c r="A833" t="s">
        <v>353</v>
      </c>
      <c r="B833" t="s">
        <v>541</v>
      </c>
      <c r="C833" t="s">
        <v>1293</v>
      </c>
      <c r="D833" t="s">
        <v>21</v>
      </c>
      <c r="E833" t="s">
        <v>1302</v>
      </c>
      <c r="F833" t="s">
        <v>398</v>
      </c>
      <c r="G833">
        <v>1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f t="shared" si="12"/>
        <v>2</v>
      </c>
      <c r="O833" t="str">
        <f>IF(AND($A833=Dashboard!$B$3,$B833=Dashboard!$G$3,$D833&lt;&gt;"NO_SERVICE"),ROW(),"")</f>
        <v/>
      </c>
    </row>
    <row r="834" spans="1:15" x14ac:dyDescent="0.25">
      <c r="A834" t="s">
        <v>353</v>
      </c>
      <c r="B834" t="s">
        <v>541</v>
      </c>
      <c r="C834" t="s">
        <v>1293</v>
      </c>
      <c r="D834" t="s">
        <v>21</v>
      </c>
      <c r="E834" t="s">
        <v>1302</v>
      </c>
      <c r="F834" t="s">
        <v>593</v>
      </c>
      <c r="G834">
        <v>0</v>
      </c>
      <c r="H834">
        <v>1</v>
      </c>
      <c r="I834">
        <v>1</v>
      </c>
      <c r="J834">
        <v>0</v>
      </c>
      <c r="K834">
        <v>1</v>
      </c>
      <c r="L834">
        <v>1</v>
      </c>
      <c r="M834">
        <v>1</v>
      </c>
      <c r="N834">
        <f t="shared" ref="N834:N897" si="13">SUM(G834:M834)</f>
        <v>5</v>
      </c>
      <c r="O834" t="str">
        <f>IF(AND($A834=Dashboard!$B$3,$B834=Dashboard!$G$3,$D834&lt;&gt;"NO_SERVICE"),ROW(),"")</f>
        <v/>
      </c>
    </row>
    <row r="835" spans="1:15" x14ac:dyDescent="0.25">
      <c r="A835" t="s">
        <v>353</v>
      </c>
      <c r="B835" t="s">
        <v>541</v>
      </c>
      <c r="C835" t="s">
        <v>1293</v>
      </c>
      <c r="D835" t="s">
        <v>21</v>
      </c>
      <c r="E835" t="s">
        <v>1303</v>
      </c>
      <c r="F835" t="s">
        <v>342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f t="shared" si="13"/>
        <v>7</v>
      </c>
      <c r="O835" t="str">
        <f>IF(AND($A835=Dashboard!$B$3,$B835=Dashboard!$G$3,$D835&lt;&gt;"NO_SERVICE"),ROW(),"")</f>
        <v/>
      </c>
    </row>
    <row r="836" spans="1:15" x14ac:dyDescent="0.25">
      <c r="A836" t="s">
        <v>353</v>
      </c>
      <c r="B836" t="s">
        <v>541</v>
      </c>
      <c r="C836" t="s">
        <v>1293</v>
      </c>
      <c r="D836" t="s">
        <v>26</v>
      </c>
      <c r="E836" t="s">
        <v>1304</v>
      </c>
      <c r="F836" t="s">
        <v>1305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f t="shared" si="13"/>
        <v>7</v>
      </c>
      <c r="O836" t="str">
        <f>IF(AND($A836=Dashboard!$B$3,$B836=Dashboard!$G$3,$D836&lt;&gt;"NO_SERVICE"),ROW(),"")</f>
        <v/>
      </c>
    </row>
    <row r="837" spans="1:15" x14ac:dyDescent="0.25">
      <c r="A837" t="s">
        <v>353</v>
      </c>
      <c r="B837" t="s">
        <v>541</v>
      </c>
      <c r="C837" t="s">
        <v>1293</v>
      </c>
      <c r="D837" t="s">
        <v>26</v>
      </c>
      <c r="E837" t="s">
        <v>1306</v>
      </c>
      <c r="F837" t="s">
        <v>349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f t="shared" si="13"/>
        <v>7</v>
      </c>
      <c r="O837" t="str">
        <f>IF(AND($A837=Dashboard!$B$3,$B837=Dashboard!$G$3,$D837&lt;&gt;"NO_SERVICE"),ROW(),"")</f>
        <v/>
      </c>
    </row>
    <row r="838" spans="1:15" x14ac:dyDescent="0.25">
      <c r="A838" t="s">
        <v>353</v>
      </c>
      <c r="B838" t="s">
        <v>541</v>
      </c>
      <c r="C838" t="s">
        <v>1293</v>
      </c>
      <c r="D838" t="s">
        <v>26</v>
      </c>
      <c r="E838" t="s">
        <v>1307</v>
      </c>
      <c r="F838" t="s">
        <v>1217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f t="shared" si="13"/>
        <v>7</v>
      </c>
      <c r="O838" t="str">
        <f>IF(AND($A838=Dashboard!$B$3,$B838=Dashboard!$G$3,$D838&lt;&gt;"NO_SERVICE"),ROW(),"")</f>
        <v/>
      </c>
    </row>
    <row r="839" spans="1:15" x14ac:dyDescent="0.25">
      <c r="A839" t="s">
        <v>353</v>
      </c>
      <c r="B839" t="s">
        <v>4</v>
      </c>
      <c r="C839" t="s">
        <v>1308</v>
      </c>
      <c r="D839" t="s">
        <v>24</v>
      </c>
      <c r="E839" t="s">
        <v>1309</v>
      </c>
      <c r="F839" t="s">
        <v>395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0</v>
      </c>
      <c r="N839">
        <f t="shared" si="13"/>
        <v>6</v>
      </c>
      <c r="O839" t="str">
        <f>IF(AND($A839=Dashboard!$B$3,$B839=Dashboard!$G$3,$D839&lt;&gt;"NO_SERVICE"),ROW(),"")</f>
        <v/>
      </c>
    </row>
    <row r="840" spans="1:15" x14ac:dyDescent="0.25">
      <c r="A840" t="s">
        <v>353</v>
      </c>
      <c r="B840" t="s">
        <v>4</v>
      </c>
      <c r="C840" t="s">
        <v>1308</v>
      </c>
      <c r="D840" t="s">
        <v>24</v>
      </c>
      <c r="E840" t="s">
        <v>1310</v>
      </c>
      <c r="F840" t="s">
        <v>746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f t="shared" si="13"/>
        <v>7</v>
      </c>
      <c r="O840" t="str">
        <f>IF(AND($A840=Dashboard!$B$3,$B840=Dashboard!$G$3,$D840&lt;&gt;"NO_SERVICE"),ROW(),"")</f>
        <v/>
      </c>
    </row>
    <row r="841" spans="1:15" x14ac:dyDescent="0.25">
      <c r="A841" t="s">
        <v>353</v>
      </c>
      <c r="B841" t="s">
        <v>4</v>
      </c>
      <c r="C841" t="s">
        <v>1308</v>
      </c>
      <c r="D841" t="s">
        <v>24</v>
      </c>
      <c r="E841" t="s">
        <v>1311</v>
      </c>
      <c r="F841" t="s">
        <v>985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0</v>
      </c>
      <c r="N841">
        <f t="shared" si="13"/>
        <v>6</v>
      </c>
      <c r="O841" t="str">
        <f>IF(AND($A841=Dashboard!$B$3,$B841=Dashboard!$G$3,$D841&lt;&gt;"NO_SERVICE"),ROW(),"")</f>
        <v/>
      </c>
    </row>
    <row r="842" spans="1:15" x14ac:dyDescent="0.25">
      <c r="A842" t="s">
        <v>353</v>
      </c>
      <c r="B842" t="s">
        <v>4</v>
      </c>
      <c r="C842" t="s">
        <v>1308</v>
      </c>
      <c r="D842" t="s">
        <v>24</v>
      </c>
      <c r="E842" t="s">
        <v>1312</v>
      </c>
      <c r="F842" t="s">
        <v>772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f t="shared" si="13"/>
        <v>7</v>
      </c>
      <c r="O842" t="str">
        <f>IF(AND($A842=Dashboard!$B$3,$B842=Dashboard!$G$3,$D842&lt;&gt;"NO_SERVICE"),ROW(),"")</f>
        <v/>
      </c>
    </row>
    <row r="843" spans="1:15" x14ac:dyDescent="0.25">
      <c r="A843" t="s">
        <v>353</v>
      </c>
      <c r="B843" t="s">
        <v>4</v>
      </c>
      <c r="C843" t="s">
        <v>1308</v>
      </c>
      <c r="D843" t="s">
        <v>24</v>
      </c>
      <c r="E843" t="s">
        <v>1313</v>
      </c>
      <c r="F843" t="s">
        <v>131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f t="shared" si="13"/>
        <v>7</v>
      </c>
      <c r="O843" t="str">
        <f>IF(AND($A843=Dashboard!$B$3,$B843=Dashboard!$G$3,$D843&lt;&gt;"NO_SERVICE"),ROW(),"")</f>
        <v/>
      </c>
    </row>
    <row r="844" spans="1:15" x14ac:dyDescent="0.25">
      <c r="A844" t="s">
        <v>353</v>
      </c>
      <c r="B844" t="s">
        <v>4</v>
      </c>
      <c r="C844" t="s">
        <v>1308</v>
      </c>
      <c r="D844" t="s">
        <v>24</v>
      </c>
      <c r="E844" t="s">
        <v>1314</v>
      </c>
      <c r="F844" t="s">
        <v>228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f t="shared" si="13"/>
        <v>7</v>
      </c>
      <c r="O844" t="str">
        <f>IF(AND($A844=Dashboard!$B$3,$B844=Dashboard!$G$3,$D844&lt;&gt;"NO_SERVICE"),ROW(),"")</f>
        <v/>
      </c>
    </row>
    <row r="845" spans="1:15" x14ac:dyDescent="0.25">
      <c r="A845" t="s">
        <v>353</v>
      </c>
      <c r="B845" t="s">
        <v>4</v>
      </c>
      <c r="C845" t="s">
        <v>1308</v>
      </c>
      <c r="D845" t="s">
        <v>24</v>
      </c>
      <c r="E845" t="s">
        <v>1315</v>
      </c>
      <c r="F845" t="s">
        <v>503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f t="shared" si="13"/>
        <v>7</v>
      </c>
      <c r="O845" t="str">
        <f>IF(AND($A845=Dashboard!$B$3,$B845=Dashboard!$G$3,$D845&lt;&gt;"NO_SERVICE"),ROW(),"")</f>
        <v/>
      </c>
    </row>
    <row r="846" spans="1:15" x14ac:dyDescent="0.25">
      <c r="A846" t="s">
        <v>353</v>
      </c>
      <c r="B846" t="s">
        <v>4</v>
      </c>
      <c r="C846" t="s">
        <v>1308</v>
      </c>
      <c r="D846" t="s">
        <v>24</v>
      </c>
      <c r="E846" t="s">
        <v>1316</v>
      </c>
      <c r="F846" t="s">
        <v>76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f t="shared" si="13"/>
        <v>7</v>
      </c>
      <c r="O846" t="str">
        <f>IF(AND($A846=Dashboard!$B$3,$B846=Dashboard!$G$3,$D846&lt;&gt;"NO_SERVICE"),ROW(),"")</f>
        <v/>
      </c>
    </row>
    <row r="847" spans="1:15" x14ac:dyDescent="0.25">
      <c r="A847" t="s">
        <v>353</v>
      </c>
      <c r="B847" t="s">
        <v>4</v>
      </c>
      <c r="C847" t="s">
        <v>1308</v>
      </c>
      <c r="D847" t="s">
        <v>24</v>
      </c>
      <c r="E847" t="s">
        <v>1317</v>
      </c>
      <c r="F847" t="s">
        <v>633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f t="shared" si="13"/>
        <v>7</v>
      </c>
      <c r="O847" t="str">
        <f>IF(AND($A847=Dashboard!$B$3,$B847=Dashboard!$G$3,$D847&lt;&gt;"NO_SERVICE"),ROW(),"")</f>
        <v/>
      </c>
    </row>
    <row r="848" spans="1:15" x14ac:dyDescent="0.25">
      <c r="A848" t="s">
        <v>353</v>
      </c>
      <c r="B848" t="s">
        <v>4</v>
      </c>
      <c r="C848" t="s">
        <v>1308</v>
      </c>
      <c r="D848" t="s">
        <v>24</v>
      </c>
      <c r="E848" t="s">
        <v>1318</v>
      </c>
      <c r="F848" t="s">
        <v>1319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f t="shared" si="13"/>
        <v>7</v>
      </c>
      <c r="O848" t="str">
        <f>IF(AND($A848=Dashboard!$B$3,$B848=Dashboard!$G$3,$D848&lt;&gt;"NO_SERVICE"),ROW(),"")</f>
        <v/>
      </c>
    </row>
    <row r="849" spans="1:15" x14ac:dyDescent="0.25">
      <c r="A849" t="s">
        <v>353</v>
      </c>
      <c r="B849" t="s">
        <v>4</v>
      </c>
      <c r="C849" t="s">
        <v>1308</v>
      </c>
      <c r="D849" t="s">
        <v>24</v>
      </c>
      <c r="E849" t="s">
        <v>1320</v>
      </c>
      <c r="F849" t="s">
        <v>801</v>
      </c>
      <c r="G849">
        <v>0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f t="shared" si="13"/>
        <v>6</v>
      </c>
      <c r="O849" t="str">
        <f>IF(AND($A849=Dashboard!$B$3,$B849=Dashboard!$G$3,$D849&lt;&gt;"NO_SERVICE"),ROW(),"")</f>
        <v/>
      </c>
    </row>
    <row r="850" spans="1:15" x14ac:dyDescent="0.25">
      <c r="A850" t="s">
        <v>353</v>
      </c>
      <c r="B850" t="s">
        <v>4</v>
      </c>
      <c r="C850" t="s">
        <v>1308</v>
      </c>
      <c r="D850" t="s">
        <v>24</v>
      </c>
      <c r="E850" t="s">
        <v>1320</v>
      </c>
      <c r="F850" t="s">
        <v>1321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f t="shared" si="13"/>
        <v>1</v>
      </c>
      <c r="O850" t="str">
        <f>IF(AND($A850=Dashboard!$B$3,$B850=Dashboard!$G$3,$D850&lt;&gt;"NO_SERVICE"),ROW(),"")</f>
        <v/>
      </c>
    </row>
    <row r="851" spans="1:15" x14ac:dyDescent="0.25">
      <c r="A851" t="s">
        <v>353</v>
      </c>
      <c r="B851" t="s">
        <v>4</v>
      </c>
      <c r="C851" t="s">
        <v>1308</v>
      </c>
      <c r="D851" t="s">
        <v>24</v>
      </c>
      <c r="E851" t="s">
        <v>1322</v>
      </c>
      <c r="F851" t="s">
        <v>165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f t="shared" si="13"/>
        <v>7</v>
      </c>
      <c r="O851" t="str">
        <f>IF(AND($A851=Dashboard!$B$3,$B851=Dashboard!$G$3,$D851&lt;&gt;"NO_SERVICE"),ROW(),"")</f>
        <v/>
      </c>
    </row>
    <row r="852" spans="1:15" x14ac:dyDescent="0.25">
      <c r="A852" t="s">
        <v>353</v>
      </c>
      <c r="B852" t="s">
        <v>4</v>
      </c>
      <c r="C852" t="s">
        <v>1308</v>
      </c>
      <c r="D852" t="s">
        <v>24</v>
      </c>
      <c r="E852" t="s">
        <v>1323</v>
      </c>
      <c r="F852" t="s">
        <v>219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f t="shared" si="13"/>
        <v>7</v>
      </c>
      <c r="O852" t="str">
        <f>IF(AND($A852=Dashboard!$B$3,$B852=Dashboard!$G$3,$D852&lt;&gt;"NO_SERVICE"),ROW(),"")</f>
        <v/>
      </c>
    </row>
    <row r="853" spans="1:15" x14ac:dyDescent="0.25">
      <c r="A853" t="s">
        <v>353</v>
      </c>
      <c r="B853" t="s">
        <v>4</v>
      </c>
      <c r="C853" t="s">
        <v>1308</v>
      </c>
      <c r="D853" t="s">
        <v>24</v>
      </c>
      <c r="E853" t="s">
        <v>1324</v>
      </c>
      <c r="F853" t="s">
        <v>250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f t="shared" si="13"/>
        <v>7</v>
      </c>
      <c r="O853" t="str">
        <f>IF(AND($A853=Dashboard!$B$3,$B853=Dashboard!$G$3,$D853&lt;&gt;"NO_SERVICE"),ROW(),"")</f>
        <v/>
      </c>
    </row>
    <row r="854" spans="1:15" x14ac:dyDescent="0.25">
      <c r="A854" t="s">
        <v>353</v>
      </c>
      <c r="B854" t="s">
        <v>4</v>
      </c>
      <c r="C854" t="s">
        <v>1308</v>
      </c>
      <c r="D854" t="s">
        <v>24</v>
      </c>
      <c r="E854" t="s">
        <v>1325</v>
      </c>
      <c r="F854" t="s">
        <v>188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f t="shared" si="13"/>
        <v>7</v>
      </c>
      <c r="O854" t="str">
        <f>IF(AND($A854=Dashboard!$B$3,$B854=Dashboard!$G$3,$D854&lt;&gt;"NO_SERVICE"),ROW(),"")</f>
        <v/>
      </c>
    </row>
    <row r="855" spans="1:15" x14ac:dyDescent="0.25">
      <c r="A855" t="s">
        <v>353</v>
      </c>
      <c r="B855" t="s">
        <v>4</v>
      </c>
      <c r="C855" t="s">
        <v>1308</v>
      </c>
      <c r="D855" t="s">
        <v>24</v>
      </c>
      <c r="E855" t="s">
        <v>1326</v>
      </c>
      <c r="F855" t="s">
        <v>435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f t="shared" si="13"/>
        <v>7</v>
      </c>
      <c r="O855" t="str">
        <f>IF(AND($A855=Dashboard!$B$3,$B855=Dashboard!$G$3,$D855&lt;&gt;"NO_SERVICE"),ROW(),"")</f>
        <v/>
      </c>
    </row>
    <row r="856" spans="1:15" x14ac:dyDescent="0.25">
      <c r="A856" t="s">
        <v>353</v>
      </c>
      <c r="B856" t="s">
        <v>4</v>
      </c>
      <c r="C856" t="s">
        <v>1308</v>
      </c>
      <c r="D856" t="s">
        <v>24</v>
      </c>
      <c r="E856" t="s">
        <v>1327</v>
      </c>
      <c r="F856" t="s">
        <v>317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f t="shared" si="13"/>
        <v>7</v>
      </c>
      <c r="O856" t="str">
        <f>IF(AND($A856=Dashboard!$B$3,$B856=Dashboard!$G$3,$D856&lt;&gt;"NO_SERVICE"),ROW(),"")</f>
        <v/>
      </c>
    </row>
    <row r="857" spans="1:15" x14ac:dyDescent="0.25">
      <c r="A857" t="s">
        <v>353</v>
      </c>
      <c r="B857" t="s">
        <v>4</v>
      </c>
      <c r="C857" t="s">
        <v>1308</v>
      </c>
      <c r="D857" t="s">
        <v>24</v>
      </c>
      <c r="E857" t="s">
        <v>1328</v>
      </c>
      <c r="F857" t="s">
        <v>742</v>
      </c>
      <c r="G857">
        <v>1</v>
      </c>
      <c r="H857">
        <v>0</v>
      </c>
      <c r="I857">
        <v>1</v>
      </c>
      <c r="J857">
        <v>1</v>
      </c>
      <c r="K857">
        <v>1</v>
      </c>
      <c r="L857">
        <v>0</v>
      </c>
      <c r="M857">
        <v>1</v>
      </c>
      <c r="N857">
        <f t="shared" si="13"/>
        <v>5</v>
      </c>
      <c r="O857" t="str">
        <f>IF(AND($A857=Dashboard!$B$3,$B857=Dashboard!$G$3,$D857&lt;&gt;"NO_SERVICE"),ROW(),"")</f>
        <v/>
      </c>
    </row>
    <row r="858" spans="1:15" x14ac:dyDescent="0.25">
      <c r="A858" t="s">
        <v>353</v>
      </c>
      <c r="B858" t="s">
        <v>4</v>
      </c>
      <c r="C858" t="s">
        <v>1308</v>
      </c>
      <c r="D858" t="s">
        <v>24</v>
      </c>
      <c r="E858" t="s">
        <v>1329</v>
      </c>
      <c r="F858" t="s">
        <v>392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f t="shared" si="13"/>
        <v>7</v>
      </c>
      <c r="O858" t="str">
        <f>IF(AND($A858=Dashboard!$B$3,$B858=Dashboard!$G$3,$D858&lt;&gt;"NO_SERVICE"),ROW(),"")</f>
        <v/>
      </c>
    </row>
    <row r="859" spans="1:15" x14ac:dyDescent="0.25">
      <c r="A859" t="s">
        <v>353</v>
      </c>
      <c r="B859" t="s">
        <v>4</v>
      </c>
      <c r="C859" t="s">
        <v>1308</v>
      </c>
      <c r="D859" t="s">
        <v>24</v>
      </c>
      <c r="E859" t="s">
        <v>1330</v>
      </c>
      <c r="F859" t="s">
        <v>1082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f t="shared" si="13"/>
        <v>7</v>
      </c>
      <c r="O859" t="str">
        <f>IF(AND($A859=Dashboard!$B$3,$B859=Dashboard!$G$3,$D859&lt;&gt;"NO_SERVICE"),ROW(),"")</f>
        <v/>
      </c>
    </row>
    <row r="860" spans="1:15" x14ac:dyDescent="0.25">
      <c r="A860" t="s">
        <v>353</v>
      </c>
      <c r="B860" t="s">
        <v>4</v>
      </c>
      <c r="C860" t="s">
        <v>1308</v>
      </c>
      <c r="D860" t="s">
        <v>24</v>
      </c>
      <c r="E860" t="s">
        <v>1331</v>
      </c>
      <c r="F860" t="s">
        <v>1332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f t="shared" si="13"/>
        <v>7</v>
      </c>
      <c r="O860" t="str">
        <f>IF(AND($A860=Dashboard!$B$3,$B860=Dashboard!$G$3,$D860&lt;&gt;"NO_SERVICE"),ROW(),"")</f>
        <v/>
      </c>
    </row>
    <row r="861" spans="1:15" x14ac:dyDescent="0.25">
      <c r="A861" t="s">
        <v>353</v>
      </c>
      <c r="B861" t="s">
        <v>4</v>
      </c>
      <c r="C861" t="s">
        <v>1308</v>
      </c>
      <c r="D861" t="s">
        <v>24</v>
      </c>
      <c r="E861" t="s">
        <v>1333</v>
      </c>
      <c r="F861" t="s">
        <v>1334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f t="shared" si="13"/>
        <v>7</v>
      </c>
      <c r="O861" t="str">
        <f>IF(AND($A861=Dashboard!$B$3,$B861=Dashboard!$G$3,$D861&lt;&gt;"NO_SERVICE"),ROW(),"")</f>
        <v/>
      </c>
    </row>
    <row r="862" spans="1:15" x14ac:dyDescent="0.25">
      <c r="A862" t="s">
        <v>353</v>
      </c>
      <c r="B862" t="s">
        <v>4</v>
      </c>
      <c r="C862" t="s">
        <v>1308</v>
      </c>
      <c r="D862" t="s">
        <v>21</v>
      </c>
      <c r="E862" t="s">
        <v>1335</v>
      </c>
      <c r="F862" t="s">
        <v>1140</v>
      </c>
      <c r="G862">
        <v>0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f t="shared" si="13"/>
        <v>6</v>
      </c>
      <c r="O862" t="str">
        <f>IF(AND($A862=Dashboard!$B$3,$B862=Dashboard!$G$3,$D862&lt;&gt;"NO_SERVICE"),ROW(),"")</f>
        <v/>
      </c>
    </row>
    <row r="863" spans="1:15" x14ac:dyDescent="0.25">
      <c r="A863" t="s">
        <v>353</v>
      </c>
      <c r="B863" t="s">
        <v>4</v>
      </c>
      <c r="C863" t="s">
        <v>1308</v>
      </c>
      <c r="D863" t="s">
        <v>21</v>
      </c>
      <c r="E863" t="s">
        <v>1336</v>
      </c>
      <c r="F863" t="s">
        <v>1088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0</v>
      </c>
      <c r="M863">
        <v>0</v>
      </c>
      <c r="N863">
        <f t="shared" si="13"/>
        <v>1</v>
      </c>
      <c r="O863" t="str">
        <f>IF(AND($A863=Dashboard!$B$3,$B863=Dashboard!$G$3,$D863&lt;&gt;"NO_SERVICE"),ROW(),"")</f>
        <v/>
      </c>
    </row>
    <row r="864" spans="1:15" x14ac:dyDescent="0.25">
      <c r="A864" t="s">
        <v>353</v>
      </c>
      <c r="B864" t="s">
        <v>4</v>
      </c>
      <c r="C864" t="s">
        <v>1308</v>
      </c>
      <c r="D864" t="s">
        <v>21</v>
      </c>
      <c r="E864" t="s">
        <v>1337</v>
      </c>
      <c r="F864" t="s">
        <v>515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f t="shared" si="13"/>
        <v>7</v>
      </c>
      <c r="O864" t="str">
        <f>IF(AND($A864=Dashboard!$B$3,$B864=Dashboard!$G$3,$D864&lt;&gt;"NO_SERVICE"),ROW(),"")</f>
        <v/>
      </c>
    </row>
    <row r="865" spans="1:15" x14ac:dyDescent="0.25">
      <c r="A865" t="s">
        <v>353</v>
      </c>
      <c r="B865" t="s">
        <v>4</v>
      </c>
      <c r="C865" t="s">
        <v>1308</v>
      </c>
      <c r="D865" t="s">
        <v>21</v>
      </c>
      <c r="E865" t="s">
        <v>1338</v>
      </c>
      <c r="F865" t="s">
        <v>985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f t="shared" si="13"/>
        <v>7</v>
      </c>
      <c r="O865" t="str">
        <f>IF(AND($A865=Dashboard!$B$3,$B865=Dashboard!$G$3,$D865&lt;&gt;"NO_SERVICE"),ROW(),"")</f>
        <v/>
      </c>
    </row>
    <row r="866" spans="1:15" x14ac:dyDescent="0.25">
      <c r="A866" t="s">
        <v>353</v>
      </c>
      <c r="B866" t="s">
        <v>4</v>
      </c>
      <c r="C866" t="s">
        <v>1308</v>
      </c>
      <c r="D866" t="s">
        <v>21</v>
      </c>
      <c r="E866" t="s">
        <v>1339</v>
      </c>
      <c r="F866" t="s">
        <v>157</v>
      </c>
      <c r="G866">
        <v>0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f t="shared" si="13"/>
        <v>6</v>
      </c>
      <c r="O866" t="str">
        <f>IF(AND($A866=Dashboard!$B$3,$B866=Dashboard!$G$3,$D866&lt;&gt;"NO_SERVICE"),ROW(),"")</f>
        <v/>
      </c>
    </row>
    <row r="867" spans="1:15" x14ac:dyDescent="0.25">
      <c r="A867" t="s">
        <v>353</v>
      </c>
      <c r="B867" t="s">
        <v>4</v>
      </c>
      <c r="C867" t="s">
        <v>1308</v>
      </c>
      <c r="D867" t="s">
        <v>21</v>
      </c>
      <c r="E867" t="s">
        <v>1340</v>
      </c>
      <c r="F867" t="s">
        <v>772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f t="shared" si="13"/>
        <v>7</v>
      </c>
      <c r="O867" t="str">
        <f>IF(AND($A867=Dashboard!$B$3,$B867=Dashboard!$G$3,$D867&lt;&gt;"NO_SERVICE"),ROW(),"")</f>
        <v/>
      </c>
    </row>
    <row r="868" spans="1:15" x14ac:dyDescent="0.25">
      <c r="A868" t="s">
        <v>353</v>
      </c>
      <c r="B868" t="s">
        <v>4</v>
      </c>
      <c r="C868" t="s">
        <v>1308</v>
      </c>
      <c r="D868" t="s">
        <v>21</v>
      </c>
      <c r="E868" t="s">
        <v>1341</v>
      </c>
      <c r="F868" t="s">
        <v>953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f t="shared" si="13"/>
        <v>7</v>
      </c>
      <c r="O868" t="str">
        <f>IF(AND($A868=Dashboard!$B$3,$B868=Dashboard!$G$3,$D868&lt;&gt;"NO_SERVICE"),ROW(),"")</f>
        <v/>
      </c>
    </row>
    <row r="869" spans="1:15" x14ac:dyDescent="0.25">
      <c r="A869" t="s">
        <v>353</v>
      </c>
      <c r="B869" t="s">
        <v>4</v>
      </c>
      <c r="C869" t="s">
        <v>1308</v>
      </c>
      <c r="D869" t="s">
        <v>21</v>
      </c>
      <c r="E869" t="s">
        <v>1342</v>
      </c>
      <c r="F869" t="s">
        <v>131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f t="shared" si="13"/>
        <v>1</v>
      </c>
      <c r="O869" t="str">
        <f>IF(AND($A869=Dashboard!$B$3,$B869=Dashboard!$G$3,$D869&lt;&gt;"NO_SERVICE"),ROW(),"")</f>
        <v/>
      </c>
    </row>
    <row r="870" spans="1:15" x14ac:dyDescent="0.25">
      <c r="A870" t="s">
        <v>353</v>
      </c>
      <c r="B870" t="s">
        <v>4</v>
      </c>
      <c r="C870" t="s">
        <v>1308</v>
      </c>
      <c r="D870" t="s">
        <v>21</v>
      </c>
      <c r="E870" t="s">
        <v>1343</v>
      </c>
      <c r="F870" t="s">
        <v>1030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f t="shared" si="13"/>
        <v>7</v>
      </c>
      <c r="O870" t="str">
        <f>IF(AND($A870=Dashboard!$B$3,$B870=Dashboard!$G$3,$D870&lt;&gt;"NO_SERVICE"),ROW(),"")</f>
        <v/>
      </c>
    </row>
    <row r="871" spans="1:15" x14ac:dyDescent="0.25">
      <c r="A871" t="s">
        <v>353</v>
      </c>
      <c r="B871" t="s">
        <v>4</v>
      </c>
      <c r="C871" t="s">
        <v>1308</v>
      </c>
      <c r="D871" t="s">
        <v>21</v>
      </c>
      <c r="E871" t="s">
        <v>1344</v>
      </c>
      <c r="F871" t="s">
        <v>228</v>
      </c>
      <c r="G871">
        <v>0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f t="shared" si="13"/>
        <v>6</v>
      </c>
      <c r="O871" t="str">
        <f>IF(AND($A871=Dashboard!$B$3,$B871=Dashboard!$G$3,$D871&lt;&gt;"NO_SERVICE"),ROW(),"")</f>
        <v/>
      </c>
    </row>
    <row r="872" spans="1:15" x14ac:dyDescent="0.25">
      <c r="A872" t="s">
        <v>353</v>
      </c>
      <c r="B872" t="s">
        <v>4</v>
      </c>
      <c r="C872" t="s">
        <v>1308</v>
      </c>
      <c r="D872" t="s">
        <v>21</v>
      </c>
      <c r="E872" t="s">
        <v>1345</v>
      </c>
      <c r="F872" t="s">
        <v>309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f t="shared" si="13"/>
        <v>1</v>
      </c>
      <c r="O872" t="str">
        <f>IF(AND($A872=Dashboard!$B$3,$B872=Dashboard!$G$3,$D872&lt;&gt;"NO_SERVICE"),ROW(),"")</f>
        <v/>
      </c>
    </row>
    <row r="873" spans="1:15" x14ac:dyDescent="0.25">
      <c r="A873" t="s">
        <v>353</v>
      </c>
      <c r="B873" t="s">
        <v>4</v>
      </c>
      <c r="C873" t="s">
        <v>1308</v>
      </c>
      <c r="D873" t="s">
        <v>21</v>
      </c>
      <c r="E873" t="s">
        <v>1346</v>
      </c>
      <c r="F873" t="s">
        <v>432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f t="shared" si="13"/>
        <v>7</v>
      </c>
      <c r="O873" t="str">
        <f>IF(AND($A873=Dashboard!$B$3,$B873=Dashboard!$G$3,$D873&lt;&gt;"NO_SERVICE"),ROW(),"")</f>
        <v/>
      </c>
    </row>
    <row r="874" spans="1:15" x14ac:dyDescent="0.25">
      <c r="A874" t="s">
        <v>353</v>
      </c>
      <c r="B874" t="s">
        <v>4</v>
      </c>
      <c r="C874" t="s">
        <v>1308</v>
      </c>
      <c r="D874" t="s">
        <v>21</v>
      </c>
      <c r="E874" t="s">
        <v>1347</v>
      </c>
      <c r="F874" t="s">
        <v>400</v>
      </c>
      <c r="G874">
        <v>0</v>
      </c>
      <c r="H874">
        <v>1</v>
      </c>
      <c r="I874">
        <v>1</v>
      </c>
      <c r="J874">
        <v>1</v>
      </c>
      <c r="K874">
        <v>0</v>
      </c>
      <c r="L874">
        <v>0</v>
      </c>
      <c r="M874">
        <v>1</v>
      </c>
      <c r="N874">
        <f t="shared" si="13"/>
        <v>4</v>
      </c>
      <c r="O874" t="str">
        <f>IF(AND($A874=Dashboard!$B$3,$B874=Dashboard!$G$3,$D874&lt;&gt;"NO_SERVICE"),ROW(),"")</f>
        <v/>
      </c>
    </row>
    <row r="875" spans="1:15" x14ac:dyDescent="0.25">
      <c r="A875" t="s">
        <v>353</v>
      </c>
      <c r="B875" t="s">
        <v>4</v>
      </c>
      <c r="C875" t="s">
        <v>1308</v>
      </c>
      <c r="D875" t="s">
        <v>21</v>
      </c>
      <c r="E875" t="s">
        <v>1348</v>
      </c>
      <c r="F875" t="s">
        <v>212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f t="shared" si="13"/>
        <v>7</v>
      </c>
      <c r="O875" t="str">
        <f>IF(AND($A875=Dashboard!$B$3,$B875=Dashboard!$G$3,$D875&lt;&gt;"NO_SERVICE"),ROW(),"")</f>
        <v/>
      </c>
    </row>
    <row r="876" spans="1:15" x14ac:dyDescent="0.25">
      <c r="A876" t="s">
        <v>353</v>
      </c>
      <c r="B876" t="s">
        <v>4</v>
      </c>
      <c r="C876" t="s">
        <v>1308</v>
      </c>
      <c r="D876" t="s">
        <v>21</v>
      </c>
      <c r="E876" t="s">
        <v>1349</v>
      </c>
      <c r="F876" t="s">
        <v>1319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f t="shared" si="13"/>
        <v>7</v>
      </c>
      <c r="O876" t="str">
        <f>IF(AND($A876=Dashboard!$B$3,$B876=Dashboard!$G$3,$D876&lt;&gt;"NO_SERVICE"),ROW(),"")</f>
        <v/>
      </c>
    </row>
    <row r="877" spans="1:15" x14ac:dyDescent="0.25">
      <c r="A877" t="s">
        <v>353</v>
      </c>
      <c r="B877" t="s">
        <v>4</v>
      </c>
      <c r="C877" t="s">
        <v>1308</v>
      </c>
      <c r="D877" t="s">
        <v>21</v>
      </c>
      <c r="E877" t="s">
        <v>1350</v>
      </c>
      <c r="F877" t="s">
        <v>593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f t="shared" si="13"/>
        <v>1</v>
      </c>
      <c r="O877" t="str">
        <f>IF(AND($A877=Dashboard!$B$3,$B877=Dashboard!$G$3,$D877&lt;&gt;"NO_SERVICE"),ROW(),"")</f>
        <v/>
      </c>
    </row>
    <row r="878" spans="1:15" x14ac:dyDescent="0.25">
      <c r="A878" t="s">
        <v>353</v>
      </c>
      <c r="B878" t="s">
        <v>4</v>
      </c>
      <c r="C878" t="s">
        <v>1308</v>
      </c>
      <c r="D878" t="s">
        <v>21</v>
      </c>
      <c r="E878" t="s">
        <v>1351</v>
      </c>
      <c r="F878" t="s">
        <v>593</v>
      </c>
      <c r="G878">
        <v>1</v>
      </c>
      <c r="H878">
        <v>1</v>
      </c>
      <c r="I878">
        <v>0</v>
      </c>
      <c r="J878">
        <v>1</v>
      </c>
      <c r="K878">
        <v>1</v>
      </c>
      <c r="L878">
        <v>1</v>
      </c>
      <c r="M878">
        <v>0</v>
      </c>
      <c r="N878">
        <f t="shared" si="13"/>
        <v>5</v>
      </c>
      <c r="O878" t="str">
        <f>IF(AND($A878=Dashboard!$B$3,$B878=Dashboard!$G$3,$D878&lt;&gt;"NO_SERVICE"),ROW(),"")</f>
        <v/>
      </c>
    </row>
    <row r="879" spans="1:15" x14ac:dyDescent="0.25">
      <c r="A879" t="s">
        <v>353</v>
      </c>
      <c r="B879" t="s">
        <v>4</v>
      </c>
      <c r="C879" t="s">
        <v>1308</v>
      </c>
      <c r="D879" t="s">
        <v>21</v>
      </c>
      <c r="E879" t="s">
        <v>1352</v>
      </c>
      <c r="F879" t="s">
        <v>347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f t="shared" si="13"/>
        <v>7</v>
      </c>
      <c r="O879" t="str">
        <f>IF(AND($A879=Dashboard!$B$3,$B879=Dashboard!$G$3,$D879&lt;&gt;"NO_SERVICE"),ROW(),"")</f>
        <v/>
      </c>
    </row>
    <row r="880" spans="1:15" x14ac:dyDescent="0.25">
      <c r="A880" t="s">
        <v>353</v>
      </c>
      <c r="B880" t="s">
        <v>4</v>
      </c>
      <c r="C880" t="s">
        <v>1308</v>
      </c>
      <c r="D880" t="s">
        <v>21</v>
      </c>
      <c r="E880" t="s">
        <v>1353</v>
      </c>
      <c r="F880" t="s">
        <v>165</v>
      </c>
      <c r="G880">
        <v>1</v>
      </c>
      <c r="H880">
        <v>1</v>
      </c>
      <c r="I880">
        <v>1</v>
      </c>
      <c r="J880">
        <v>0</v>
      </c>
      <c r="K880">
        <v>1</v>
      </c>
      <c r="L880">
        <v>1</v>
      </c>
      <c r="M880">
        <v>1</v>
      </c>
      <c r="N880">
        <f t="shared" si="13"/>
        <v>6</v>
      </c>
      <c r="O880" t="str">
        <f>IF(AND($A880=Dashboard!$B$3,$B880=Dashboard!$G$3,$D880&lt;&gt;"NO_SERVICE"),ROW(),"")</f>
        <v/>
      </c>
    </row>
    <row r="881" spans="1:15" x14ac:dyDescent="0.25">
      <c r="A881" t="s">
        <v>353</v>
      </c>
      <c r="B881" t="s">
        <v>4</v>
      </c>
      <c r="C881" t="s">
        <v>1308</v>
      </c>
      <c r="D881" t="s">
        <v>21</v>
      </c>
      <c r="E881" t="s">
        <v>1354</v>
      </c>
      <c r="F881" t="s">
        <v>390</v>
      </c>
      <c r="G881">
        <v>0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f t="shared" si="13"/>
        <v>6</v>
      </c>
      <c r="O881" t="str">
        <f>IF(AND($A881=Dashboard!$B$3,$B881=Dashboard!$G$3,$D881&lt;&gt;"NO_SERVICE"),ROW(),"")</f>
        <v/>
      </c>
    </row>
    <row r="882" spans="1:15" x14ac:dyDescent="0.25">
      <c r="A882" t="s">
        <v>353</v>
      </c>
      <c r="B882" t="s">
        <v>4</v>
      </c>
      <c r="C882" t="s">
        <v>1308</v>
      </c>
      <c r="D882" t="s">
        <v>21</v>
      </c>
      <c r="E882" t="s">
        <v>1355</v>
      </c>
      <c r="F882" t="s">
        <v>266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f t="shared" si="13"/>
        <v>1</v>
      </c>
      <c r="O882" t="str">
        <f>IF(AND($A882=Dashboard!$B$3,$B882=Dashboard!$G$3,$D882&lt;&gt;"NO_SERVICE"),ROW(),"")</f>
        <v/>
      </c>
    </row>
    <row r="883" spans="1:15" x14ac:dyDescent="0.25">
      <c r="A883" t="s">
        <v>353</v>
      </c>
      <c r="B883" t="s">
        <v>4</v>
      </c>
      <c r="C883" t="s">
        <v>1308</v>
      </c>
      <c r="D883" t="s">
        <v>21</v>
      </c>
      <c r="E883" t="s">
        <v>1356</v>
      </c>
      <c r="F883" t="s">
        <v>293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f t="shared" si="13"/>
        <v>7</v>
      </c>
      <c r="O883" t="str">
        <f>IF(AND($A883=Dashboard!$B$3,$B883=Dashboard!$G$3,$D883&lt;&gt;"NO_SERVICE"),ROW(),"")</f>
        <v/>
      </c>
    </row>
    <row r="884" spans="1:15" x14ac:dyDescent="0.25">
      <c r="A884" t="s">
        <v>353</v>
      </c>
      <c r="B884" t="s">
        <v>4</v>
      </c>
      <c r="C884" t="s">
        <v>1308</v>
      </c>
      <c r="D884" t="s">
        <v>21</v>
      </c>
      <c r="E884" t="s">
        <v>1357</v>
      </c>
      <c r="F884" t="s">
        <v>108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f t="shared" si="13"/>
        <v>1</v>
      </c>
      <c r="O884" t="str">
        <f>IF(AND($A884=Dashboard!$B$3,$B884=Dashboard!$G$3,$D884&lt;&gt;"NO_SERVICE"),ROW(),"")</f>
        <v/>
      </c>
    </row>
    <row r="885" spans="1:15" x14ac:dyDescent="0.25">
      <c r="A885" t="s">
        <v>353</v>
      </c>
      <c r="B885" t="s">
        <v>4</v>
      </c>
      <c r="C885" t="s">
        <v>1308</v>
      </c>
      <c r="D885" t="s">
        <v>21</v>
      </c>
      <c r="E885" t="s">
        <v>1358</v>
      </c>
      <c r="F885" t="s">
        <v>317</v>
      </c>
      <c r="G885">
        <v>1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0</v>
      </c>
      <c r="N885">
        <f t="shared" si="13"/>
        <v>2</v>
      </c>
      <c r="O885" t="str">
        <f>IF(AND($A885=Dashboard!$B$3,$B885=Dashboard!$G$3,$D885&lt;&gt;"NO_SERVICE"),ROW(),"")</f>
        <v/>
      </c>
    </row>
    <row r="886" spans="1:15" x14ac:dyDescent="0.25">
      <c r="A886" t="s">
        <v>353</v>
      </c>
      <c r="B886" t="s">
        <v>4</v>
      </c>
      <c r="C886" t="s">
        <v>1308</v>
      </c>
      <c r="D886" t="s">
        <v>21</v>
      </c>
      <c r="E886" t="s">
        <v>1359</v>
      </c>
      <c r="F886" t="s">
        <v>62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f t="shared" si="13"/>
        <v>7</v>
      </c>
      <c r="O886" t="str">
        <f>IF(AND($A886=Dashboard!$B$3,$B886=Dashboard!$G$3,$D886&lt;&gt;"NO_SERVICE"),ROW(),"")</f>
        <v/>
      </c>
    </row>
    <row r="887" spans="1:15" x14ac:dyDescent="0.25">
      <c r="A887" t="s">
        <v>353</v>
      </c>
      <c r="B887" t="s">
        <v>4</v>
      </c>
      <c r="C887" t="s">
        <v>1308</v>
      </c>
      <c r="D887" t="s">
        <v>21</v>
      </c>
      <c r="E887" t="s">
        <v>1360</v>
      </c>
      <c r="F887" t="s">
        <v>674</v>
      </c>
      <c r="G887">
        <v>0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f t="shared" si="13"/>
        <v>6</v>
      </c>
      <c r="O887" t="str">
        <f>IF(AND($A887=Dashboard!$B$3,$B887=Dashboard!$G$3,$D887&lt;&gt;"NO_SERVICE"),ROW(),"")</f>
        <v/>
      </c>
    </row>
    <row r="888" spans="1:15" x14ac:dyDescent="0.25">
      <c r="A888" t="s">
        <v>353</v>
      </c>
      <c r="B888" t="s">
        <v>4</v>
      </c>
      <c r="C888" t="s">
        <v>1308</v>
      </c>
      <c r="D888" t="s">
        <v>21</v>
      </c>
      <c r="E888" t="s">
        <v>1361</v>
      </c>
      <c r="F888" t="s">
        <v>272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f t="shared" si="13"/>
        <v>7</v>
      </c>
      <c r="O888" t="str">
        <f>IF(AND($A888=Dashboard!$B$3,$B888=Dashboard!$G$3,$D888&lt;&gt;"NO_SERVICE"),ROW(),"")</f>
        <v/>
      </c>
    </row>
    <row r="889" spans="1:15" x14ac:dyDescent="0.25">
      <c r="A889" t="s">
        <v>353</v>
      </c>
      <c r="B889" t="s">
        <v>4</v>
      </c>
      <c r="C889" t="s">
        <v>1308</v>
      </c>
      <c r="D889" t="s">
        <v>21</v>
      </c>
      <c r="E889" t="s">
        <v>1362</v>
      </c>
      <c r="F889" t="s">
        <v>303</v>
      </c>
      <c r="G889">
        <v>0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f t="shared" si="13"/>
        <v>6</v>
      </c>
      <c r="O889" t="str">
        <f>IF(AND($A889=Dashboard!$B$3,$B889=Dashboard!$G$3,$D889&lt;&gt;"NO_SERVICE"),ROW(),"")</f>
        <v/>
      </c>
    </row>
    <row r="890" spans="1:15" x14ac:dyDescent="0.25">
      <c r="A890" t="s">
        <v>353</v>
      </c>
      <c r="B890" t="s">
        <v>4</v>
      </c>
      <c r="C890" t="s">
        <v>1308</v>
      </c>
      <c r="D890" t="s">
        <v>21</v>
      </c>
      <c r="E890" t="s">
        <v>1363</v>
      </c>
      <c r="F890" t="s">
        <v>1207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f t="shared" si="13"/>
        <v>1</v>
      </c>
      <c r="O890" t="str">
        <f>IF(AND($A890=Dashboard!$B$3,$B890=Dashboard!$G$3,$D890&lt;&gt;"NO_SERVICE"),ROW(),"")</f>
        <v/>
      </c>
    </row>
    <row r="891" spans="1:15" x14ac:dyDescent="0.25">
      <c r="A891" t="s">
        <v>353</v>
      </c>
      <c r="B891" t="s">
        <v>4</v>
      </c>
      <c r="C891" t="s">
        <v>1308</v>
      </c>
      <c r="D891" t="s">
        <v>21</v>
      </c>
      <c r="E891" t="s">
        <v>1364</v>
      </c>
      <c r="F891" t="s">
        <v>1207</v>
      </c>
      <c r="G891">
        <v>0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f t="shared" si="13"/>
        <v>6</v>
      </c>
      <c r="O891" t="str">
        <f>IF(AND($A891=Dashboard!$B$3,$B891=Dashboard!$G$3,$D891&lt;&gt;"NO_SERVICE"),ROW(),"")</f>
        <v/>
      </c>
    </row>
    <row r="892" spans="1:15" x14ac:dyDescent="0.25">
      <c r="A892" t="s">
        <v>353</v>
      </c>
      <c r="B892" t="s">
        <v>4</v>
      </c>
      <c r="C892" t="s">
        <v>1308</v>
      </c>
      <c r="D892" t="s">
        <v>21</v>
      </c>
      <c r="E892" t="s">
        <v>1365</v>
      </c>
      <c r="F892" t="s">
        <v>1366</v>
      </c>
      <c r="G892">
        <v>0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f t="shared" si="13"/>
        <v>6</v>
      </c>
      <c r="O892" t="str">
        <f>IF(AND($A892=Dashboard!$B$3,$B892=Dashboard!$G$3,$D892&lt;&gt;"NO_SERVICE"),ROW(),"")</f>
        <v/>
      </c>
    </row>
    <row r="893" spans="1:15" x14ac:dyDescent="0.25">
      <c r="A893" t="s">
        <v>353</v>
      </c>
      <c r="B893" t="s">
        <v>4</v>
      </c>
      <c r="C893" t="s">
        <v>1308</v>
      </c>
      <c r="D893" t="s">
        <v>21</v>
      </c>
      <c r="E893" t="s">
        <v>1367</v>
      </c>
      <c r="F893" t="s">
        <v>1108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f t="shared" si="13"/>
        <v>1</v>
      </c>
      <c r="O893" t="str">
        <f>IF(AND($A893=Dashboard!$B$3,$B893=Dashboard!$G$3,$D893&lt;&gt;"NO_SERVICE"),ROW(),"")</f>
        <v/>
      </c>
    </row>
    <row r="894" spans="1:15" x14ac:dyDescent="0.25">
      <c r="A894" t="s">
        <v>353</v>
      </c>
      <c r="B894" t="s">
        <v>4</v>
      </c>
      <c r="C894" t="s">
        <v>1308</v>
      </c>
      <c r="D894" t="s">
        <v>21</v>
      </c>
      <c r="E894" t="s">
        <v>1368</v>
      </c>
      <c r="F894" t="s">
        <v>1118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f t="shared" si="13"/>
        <v>7</v>
      </c>
      <c r="O894" t="str">
        <f>IF(AND($A894=Dashboard!$B$3,$B894=Dashboard!$G$3,$D894&lt;&gt;"NO_SERVICE"),ROW(),"")</f>
        <v/>
      </c>
    </row>
    <row r="895" spans="1:15" x14ac:dyDescent="0.25">
      <c r="A895" t="s">
        <v>353</v>
      </c>
      <c r="B895" t="s">
        <v>4</v>
      </c>
      <c r="C895" t="s">
        <v>1308</v>
      </c>
      <c r="D895" t="s">
        <v>29</v>
      </c>
      <c r="E895" t="s">
        <v>1369</v>
      </c>
      <c r="F895" t="s">
        <v>1370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f t="shared" si="13"/>
        <v>7</v>
      </c>
      <c r="O895" t="str">
        <f>IF(AND($A895=Dashboard!$B$3,$B895=Dashboard!$G$3,$D895&lt;&gt;"NO_SERVICE"),ROW(),"")</f>
        <v/>
      </c>
    </row>
    <row r="896" spans="1:15" x14ac:dyDescent="0.25">
      <c r="A896" t="s">
        <v>353</v>
      </c>
      <c r="B896" t="s">
        <v>4</v>
      </c>
      <c r="C896" t="s">
        <v>1308</v>
      </c>
      <c r="D896" t="s">
        <v>29</v>
      </c>
      <c r="E896" t="s">
        <v>1371</v>
      </c>
      <c r="F896" t="s">
        <v>1197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f t="shared" si="13"/>
        <v>7</v>
      </c>
      <c r="O896" t="str">
        <f>IF(AND($A896=Dashboard!$B$3,$B896=Dashboard!$G$3,$D896&lt;&gt;"NO_SERVICE"),ROW(),"")</f>
        <v/>
      </c>
    </row>
    <row r="897" spans="1:15" x14ac:dyDescent="0.25">
      <c r="A897" t="s">
        <v>353</v>
      </c>
      <c r="B897" t="s">
        <v>4</v>
      </c>
      <c r="C897" t="s">
        <v>1308</v>
      </c>
      <c r="D897" t="s">
        <v>29</v>
      </c>
      <c r="E897" t="s">
        <v>1372</v>
      </c>
      <c r="F897" t="s">
        <v>333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f t="shared" si="13"/>
        <v>7</v>
      </c>
      <c r="O897" t="str">
        <f>IF(AND($A897=Dashboard!$B$3,$B897=Dashboard!$G$3,$D897&lt;&gt;"NO_SERVICE"),ROW(),"")</f>
        <v/>
      </c>
    </row>
    <row r="898" spans="1:15" x14ac:dyDescent="0.25">
      <c r="A898" t="s">
        <v>353</v>
      </c>
      <c r="B898" t="s">
        <v>4</v>
      </c>
      <c r="C898" t="s">
        <v>1308</v>
      </c>
      <c r="D898" t="s">
        <v>29</v>
      </c>
      <c r="E898" t="s">
        <v>1373</v>
      </c>
      <c r="F898" t="s">
        <v>49</v>
      </c>
      <c r="G898">
        <v>0</v>
      </c>
      <c r="H898">
        <v>0</v>
      </c>
      <c r="I898">
        <v>1</v>
      </c>
      <c r="J898">
        <v>1</v>
      </c>
      <c r="K898">
        <v>1</v>
      </c>
      <c r="L898">
        <v>1</v>
      </c>
      <c r="M898">
        <v>1</v>
      </c>
      <c r="N898">
        <f t="shared" ref="N898:N961" si="14">SUM(G898:M898)</f>
        <v>5</v>
      </c>
      <c r="O898" t="str">
        <f>IF(AND($A898=Dashboard!$B$3,$B898=Dashboard!$G$3,$D898&lt;&gt;"NO_SERVICE"),ROW(),"")</f>
        <v/>
      </c>
    </row>
    <row r="899" spans="1:15" x14ac:dyDescent="0.25">
      <c r="A899" t="s">
        <v>353</v>
      </c>
      <c r="B899" t="s">
        <v>4</v>
      </c>
      <c r="C899" t="s">
        <v>1308</v>
      </c>
      <c r="D899" t="s">
        <v>29</v>
      </c>
      <c r="E899" t="s">
        <v>1374</v>
      </c>
      <c r="F899" t="s">
        <v>293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f t="shared" si="14"/>
        <v>1</v>
      </c>
      <c r="O899" t="str">
        <f>IF(AND($A899=Dashboard!$B$3,$B899=Dashboard!$G$3,$D899&lt;&gt;"NO_SERVICE"),ROW(),"")</f>
        <v/>
      </c>
    </row>
    <row r="900" spans="1:15" x14ac:dyDescent="0.25">
      <c r="A900" t="s">
        <v>353</v>
      </c>
      <c r="B900" t="s">
        <v>4</v>
      </c>
      <c r="C900" t="s">
        <v>1308</v>
      </c>
      <c r="D900" t="s">
        <v>29</v>
      </c>
      <c r="E900" t="s">
        <v>1375</v>
      </c>
      <c r="F900" t="s">
        <v>1376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</v>
      </c>
      <c r="N900">
        <f t="shared" si="14"/>
        <v>1</v>
      </c>
      <c r="O900" t="str">
        <f>IF(AND($A900=Dashboard!$B$3,$B900=Dashboard!$G$3,$D900&lt;&gt;"NO_SERVICE"),ROW(),"")</f>
        <v/>
      </c>
    </row>
    <row r="901" spans="1:15" x14ac:dyDescent="0.25">
      <c r="A901" t="s">
        <v>353</v>
      </c>
      <c r="B901" t="s">
        <v>4</v>
      </c>
      <c r="C901" t="s">
        <v>1308</v>
      </c>
      <c r="D901" t="s">
        <v>29</v>
      </c>
      <c r="E901" t="s">
        <v>1377</v>
      </c>
      <c r="F901" t="s">
        <v>752</v>
      </c>
      <c r="G901">
        <v>0</v>
      </c>
      <c r="H901">
        <v>0</v>
      </c>
      <c r="I901">
        <v>1</v>
      </c>
      <c r="J901">
        <v>1</v>
      </c>
      <c r="K901">
        <v>1</v>
      </c>
      <c r="L901">
        <v>1</v>
      </c>
      <c r="M901">
        <v>1</v>
      </c>
      <c r="N901">
        <f t="shared" si="14"/>
        <v>5</v>
      </c>
      <c r="O901" t="str">
        <f>IF(AND($A901=Dashboard!$B$3,$B901=Dashboard!$G$3,$D901&lt;&gt;"NO_SERVICE"),ROW(),"")</f>
        <v/>
      </c>
    </row>
    <row r="902" spans="1:15" x14ac:dyDescent="0.25">
      <c r="A902" t="s">
        <v>353</v>
      </c>
      <c r="B902" t="s">
        <v>4</v>
      </c>
      <c r="C902" t="s">
        <v>1308</v>
      </c>
      <c r="D902" t="s">
        <v>29</v>
      </c>
      <c r="E902" t="s">
        <v>1378</v>
      </c>
      <c r="F902" t="s">
        <v>1118</v>
      </c>
      <c r="G902">
        <v>1</v>
      </c>
      <c r="H902">
        <v>0</v>
      </c>
      <c r="I902">
        <v>1</v>
      </c>
      <c r="J902">
        <v>0</v>
      </c>
      <c r="K902">
        <v>1</v>
      </c>
      <c r="L902">
        <v>0</v>
      </c>
      <c r="M902">
        <v>1</v>
      </c>
      <c r="N902">
        <f t="shared" si="14"/>
        <v>4</v>
      </c>
      <c r="O902" t="str">
        <f>IF(AND($A902=Dashboard!$B$3,$B902=Dashboard!$G$3,$D902&lt;&gt;"NO_SERVICE"),ROW(),"")</f>
        <v/>
      </c>
    </row>
    <row r="903" spans="1:15" x14ac:dyDescent="0.25">
      <c r="A903" t="s">
        <v>353</v>
      </c>
      <c r="B903" t="s">
        <v>4</v>
      </c>
      <c r="C903" t="s">
        <v>1308</v>
      </c>
      <c r="D903" t="s">
        <v>26</v>
      </c>
      <c r="E903" t="s">
        <v>1379</v>
      </c>
      <c r="F903" t="s">
        <v>637</v>
      </c>
      <c r="G903">
        <v>0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f t="shared" si="14"/>
        <v>6</v>
      </c>
      <c r="O903" t="str">
        <f>IF(AND($A903=Dashboard!$B$3,$B903=Dashboard!$G$3,$D903&lt;&gt;"NO_SERVICE"),ROW(),"")</f>
        <v/>
      </c>
    </row>
    <row r="904" spans="1:15" x14ac:dyDescent="0.25">
      <c r="A904" t="s">
        <v>353</v>
      </c>
      <c r="B904" t="s">
        <v>4</v>
      </c>
      <c r="C904" t="s">
        <v>1308</v>
      </c>
      <c r="D904" t="s">
        <v>26</v>
      </c>
      <c r="E904" t="s">
        <v>1379</v>
      </c>
      <c r="F904" t="s">
        <v>630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f t="shared" si="14"/>
        <v>1</v>
      </c>
      <c r="O904" t="str">
        <f>IF(AND($A904=Dashboard!$B$3,$B904=Dashboard!$G$3,$D904&lt;&gt;"NO_SERVICE"),ROW(),"")</f>
        <v/>
      </c>
    </row>
    <row r="905" spans="1:15" x14ac:dyDescent="0.25">
      <c r="A905" t="s">
        <v>353</v>
      </c>
      <c r="B905" t="s">
        <v>4</v>
      </c>
      <c r="C905" t="s">
        <v>1308</v>
      </c>
      <c r="D905" t="s">
        <v>26</v>
      </c>
      <c r="E905" t="s">
        <v>1380</v>
      </c>
      <c r="F905" t="s">
        <v>985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f t="shared" si="14"/>
        <v>7</v>
      </c>
      <c r="O905" t="str">
        <f>IF(AND($A905=Dashboard!$B$3,$B905=Dashboard!$G$3,$D905&lt;&gt;"NO_SERVICE"),ROW(),"")</f>
        <v/>
      </c>
    </row>
    <row r="906" spans="1:15" x14ac:dyDescent="0.25">
      <c r="A906" t="s">
        <v>353</v>
      </c>
      <c r="B906" t="s">
        <v>4</v>
      </c>
      <c r="C906" t="s">
        <v>1308</v>
      </c>
      <c r="D906" t="s">
        <v>26</v>
      </c>
      <c r="E906" t="s">
        <v>1381</v>
      </c>
      <c r="F906" t="s">
        <v>228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0</v>
      </c>
      <c r="N906">
        <f t="shared" si="14"/>
        <v>6</v>
      </c>
      <c r="O906" t="str">
        <f>IF(AND($A906=Dashboard!$B$3,$B906=Dashboard!$G$3,$D906&lt;&gt;"NO_SERVICE"),ROW(),"")</f>
        <v/>
      </c>
    </row>
    <row r="907" spans="1:15" x14ac:dyDescent="0.25">
      <c r="A907" t="s">
        <v>353</v>
      </c>
      <c r="B907" t="s">
        <v>4</v>
      </c>
      <c r="C907" t="s">
        <v>1308</v>
      </c>
      <c r="D907" t="s">
        <v>26</v>
      </c>
      <c r="E907" t="s">
        <v>1381</v>
      </c>
      <c r="F907" t="s">
        <v>726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</v>
      </c>
      <c r="N907">
        <f t="shared" si="14"/>
        <v>1</v>
      </c>
      <c r="O907" t="str">
        <f>IF(AND($A907=Dashboard!$B$3,$B907=Dashboard!$G$3,$D907&lt;&gt;"NO_SERVICE"),ROW(),"")</f>
        <v/>
      </c>
    </row>
    <row r="908" spans="1:15" x14ac:dyDescent="0.25">
      <c r="A908" t="s">
        <v>353</v>
      </c>
      <c r="B908" t="s">
        <v>4</v>
      </c>
      <c r="C908" t="s">
        <v>1308</v>
      </c>
      <c r="D908" t="s">
        <v>26</v>
      </c>
      <c r="E908" t="s">
        <v>1382</v>
      </c>
      <c r="F908" t="s">
        <v>237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f t="shared" si="14"/>
        <v>7</v>
      </c>
      <c r="O908" t="str">
        <f>IF(AND($A908=Dashboard!$B$3,$B908=Dashboard!$G$3,$D908&lt;&gt;"NO_SERVICE"),ROW(),"")</f>
        <v/>
      </c>
    </row>
    <row r="909" spans="1:15" x14ac:dyDescent="0.25">
      <c r="A909" t="s">
        <v>353</v>
      </c>
      <c r="B909" t="s">
        <v>4</v>
      </c>
      <c r="C909" t="s">
        <v>1308</v>
      </c>
      <c r="D909" t="s">
        <v>26</v>
      </c>
      <c r="E909" t="s">
        <v>1383</v>
      </c>
      <c r="F909" t="s">
        <v>1319</v>
      </c>
      <c r="G909">
        <v>0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f t="shared" si="14"/>
        <v>6</v>
      </c>
      <c r="O909" t="str">
        <f>IF(AND($A909=Dashboard!$B$3,$B909=Dashboard!$G$3,$D909&lt;&gt;"NO_SERVICE"),ROW(),"")</f>
        <v/>
      </c>
    </row>
    <row r="910" spans="1:15" x14ac:dyDescent="0.25">
      <c r="A910" t="s">
        <v>353</v>
      </c>
      <c r="B910" t="s">
        <v>4</v>
      </c>
      <c r="C910" t="s">
        <v>1308</v>
      </c>
      <c r="D910" t="s">
        <v>26</v>
      </c>
      <c r="E910" t="s">
        <v>1383</v>
      </c>
      <c r="F910" t="s">
        <v>289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f t="shared" si="14"/>
        <v>1</v>
      </c>
      <c r="O910" t="str">
        <f>IF(AND($A910=Dashboard!$B$3,$B910=Dashboard!$G$3,$D910&lt;&gt;"NO_SERVICE"),ROW(),"")</f>
        <v/>
      </c>
    </row>
    <row r="911" spans="1:15" x14ac:dyDescent="0.25">
      <c r="A911" t="s">
        <v>353</v>
      </c>
      <c r="B911" t="s">
        <v>4</v>
      </c>
      <c r="C911" t="s">
        <v>1308</v>
      </c>
      <c r="D911" t="s">
        <v>26</v>
      </c>
      <c r="E911" t="s">
        <v>1384</v>
      </c>
      <c r="F911" t="s">
        <v>678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f t="shared" si="14"/>
        <v>7</v>
      </c>
      <c r="O911" t="str">
        <f>IF(AND($A911=Dashboard!$B$3,$B911=Dashboard!$G$3,$D911&lt;&gt;"NO_SERVICE"),ROW(),"")</f>
        <v/>
      </c>
    </row>
    <row r="912" spans="1:15" x14ac:dyDescent="0.25">
      <c r="A912" t="s">
        <v>353</v>
      </c>
      <c r="B912" t="s">
        <v>4</v>
      </c>
      <c r="C912" t="s">
        <v>1308</v>
      </c>
      <c r="D912" t="s">
        <v>26</v>
      </c>
      <c r="E912" t="s">
        <v>1385</v>
      </c>
      <c r="F912" t="s">
        <v>530</v>
      </c>
      <c r="G912">
        <v>0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f t="shared" si="14"/>
        <v>6</v>
      </c>
      <c r="O912" t="str">
        <f>IF(AND($A912=Dashboard!$B$3,$B912=Dashboard!$G$3,$D912&lt;&gt;"NO_SERVICE"),ROW(),"")</f>
        <v/>
      </c>
    </row>
    <row r="913" spans="1:15" x14ac:dyDescent="0.25">
      <c r="A913" t="s">
        <v>353</v>
      </c>
      <c r="B913" t="s">
        <v>4</v>
      </c>
      <c r="C913" t="s">
        <v>1308</v>
      </c>
      <c r="D913" t="s">
        <v>26</v>
      </c>
      <c r="E913" t="s">
        <v>1385</v>
      </c>
      <c r="F913" t="s">
        <v>262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f t="shared" si="14"/>
        <v>1</v>
      </c>
      <c r="O913" t="str">
        <f>IF(AND($A913=Dashboard!$B$3,$B913=Dashboard!$G$3,$D913&lt;&gt;"NO_SERVICE"),ROW(),"")</f>
        <v/>
      </c>
    </row>
    <row r="914" spans="1:15" x14ac:dyDescent="0.25">
      <c r="A914" t="s">
        <v>353</v>
      </c>
      <c r="B914" t="s">
        <v>4</v>
      </c>
      <c r="C914" t="s">
        <v>1308</v>
      </c>
      <c r="D914" t="s">
        <v>26</v>
      </c>
      <c r="E914" t="s">
        <v>1386</v>
      </c>
      <c r="F914" t="s">
        <v>262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f t="shared" si="14"/>
        <v>1</v>
      </c>
      <c r="O914" t="str">
        <f>IF(AND($A914=Dashboard!$B$3,$B914=Dashboard!$G$3,$D914&lt;&gt;"NO_SERVICE"),ROW(),"")</f>
        <v/>
      </c>
    </row>
    <row r="915" spans="1:15" x14ac:dyDescent="0.25">
      <c r="A915" t="s">
        <v>353</v>
      </c>
      <c r="B915" t="s">
        <v>4</v>
      </c>
      <c r="C915" t="s">
        <v>1308</v>
      </c>
      <c r="D915" t="s">
        <v>26</v>
      </c>
      <c r="E915" t="s">
        <v>1387</v>
      </c>
      <c r="F915" t="s">
        <v>317</v>
      </c>
      <c r="G915">
        <v>0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f t="shared" si="14"/>
        <v>6</v>
      </c>
      <c r="O915" t="str">
        <f>IF(AND($A915=Dashboard!$B$3,$B915=Dashboard!$G$3,$D915&lt;&gt;"NO_SERVICE"),ROW(),"")</f>
        <v/>
      </c>
    </row>
    <row r="916" spans="1:15" x14ac:dyDescent="0.25">
      <c r="A916" t="s">
        <v>353</v>
      </c>
      <c r="B916" t="s">
        <v>4</v>
      </c>
      <c r="C916" t="s">
        <v>1308</v>
      </c>
      <c r="D916" t="s">
        <v>26</v>
      </c>
      <c r="E916" t="s">
        <v>1387</v>
      </c>
      <c r="F916" t="s">
        <v>478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f t="shared" si="14"/>
        <v>1</v>
      </c>
      <c r="O916" t="str">
        <f>IF(AND($A916=Dashboard!$B$3,$B916=Dashboard!$G$3,$D916&lt;&gt;"NO_SERVICE"),ROW(),"")</f>
        <v/>
      </c>
    </row>
    <row r="917" spans="1:15" x14ac:dyDescent="0.25">
      <c r="A917" t="s">
        <v>353</v>
      </c>
      <c r="B917" t="s">
        <v>4</v>
      </c>
      <c r="C917" t="s">
        <v>1308</v>
      </c>
      <c r="D917" t="s">
        <v>21</v>
      </c>
      <c r="E917" t="s">
        <v>1388</v>
      </c>
      <c r="F917" t="s">
        <v>330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f t="shared" si="14"/>
        <v>1</v>
      </c>
      <c r="O917" t="str">
        <f>IF(AND($A917=Dashboard!$B$3,$B917=Dashboard!$G$3,$D917&lt;&gt;"NO_SERVICE"),ROW(),"")</f>
        <v/>
      </c>
    </row>
    <row r="918" spans="1:15" x14ac:dyDescent="0.25">
      <c r="A918" t="s">
        <v>353</v>
      </c>
      <c r="B918" t="s">
        <v>4</v>
      </c>
      <c r="C918" t="s">
        <v>1308</v>
      </c>
      <c r="D918" t="s">
        <v>21</v>
      </c>
      <c r="E918" t="s">
        <v>1389</v>
      </c>
      <c r="F918" t="s">
        <v>147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f t="shared" si="14"/>
        <v>7</v>
      </c>
      <c r="O918" t="str">
        <f>IF(AND($A918=Dashboard!$B$3,$B918=Dashboard!$G$3,$D918&lt;&gt;"NO_SERVICE"),ROW(),"")</f>
        <v/>
      </c>
    </row>
    <row r="919" spans="1:15" x14ac:dyDescent="0.25">
      <c r="A919" t="s">
        <v>353</v>
      </c>
      <c r="B919" t="s">
        <v>4</v>
      </c>
      <c r="C919" t="s">
        <v>1308</v>
      </c>
      <c r="D919" t="s">
        <v>21</v>
      </c>
      <c r="E919" t="s">
        <v>1390</v>
      </c>
      <c r="F919" t="s">
        <v>250</v>
      </c>
      <c r="G919">
        <v>0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f t="shared" si="14"/>
        <v>6</v>
      </c>
      <c r="O919" t="str">
        <f>IF(AND($A919=Dashboard!$B$3,$B919=Dashboard!$G$3,$D919&lt;&gt;"NO_SERVICE"),ROW(),"")</f>
        <v/>
      </c>
    </row>
    <row r="920" spans="1:15" x14ac:dyDescent="0.25">
      <c r="A920" t="s">
        <v>353</v>
      </c>
      <c r="B920" t="s">
        <v>904</v>
      </c>
      <c r="C920" t="s">
        <v>1391</v>
      </c>
      <c r="D920" t="s">
        <v>24</v>
      </c>
      <c r="E920" t="s">
        <v>1392</v>
      </c>
      <c r="F920" t="s">
        <v>1393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f t="shared" si="14"/>
        <v>7</v>
      </c>
      <c r="O920" t="str">
        <f>IF(AND($A920=Dashboard!$B$3,$B920=Dashboard!$G$3,$D920&lt;&gt;"NO_SERVICE"),ROW(),"")</f>
        <v/>
      </c>
    </row>
    <row r="921" spans="1:15" x14ac:dyDescent="0.25">
      <c r="A921" t="s">
        <v>353</v>
      </c>
      <c r="B921" t="s">
        <v>904</v>
      </c>
      <c r="C921" t="s">
        <v>1391</v>
      </c>
      <c r="D921" t="s">
        <v>24</v>
      </c>
      <c r="E921" t="s">
        <v>1394</v>
      </c>
      <c r="F921" t="s">
        <v>464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f t="shared" si="14"/>
        <v>7</v>
      </c>
      <c r="O921" t="str">
        <f>IF(AND($A921=Dashboard!$B$3,$B921=Dashboard!$G$3,$D921&lt;&gt;"NO_SERVICE"),ROW(),"")</f>
        <v/>
      </c>
    </row>
    <row r="922" spans="1:15" x14ac:dyDescent="0.25">
      <c r="A922" t="s">
        <v>353</v>
      </c>
      <c r="B922" t="s">
        <v>904</v>
      </c>
      <c r="C922" t="s">
        <v>1391</v>
      </c>
      <c r="D922" t="s">
        <v>24</v>
      </c>
      <c r="E922" t="s">
        <v>1395</v>
      </c>
      <c r="F922" t="s">
        <v>488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f t="shared" si="14"/>
        <v>7</v>
      </c>
      <c r="O922" t="str">
        <f>IF(AND($A922=Dashboard!$B$3,$B922=Dashboard!$G$3,$D922&lt;&gt;"NO_SERVICE"),ROW(),"")</f>
        <v/>
      </c>
    </row>
    <row r="923" spans="1:15" x14ac:dyDescent="0.25">
      <c r="A923" t="s">
        <v>353</v>
      </c>
      <c r="B923" t="s">
        <v>904</v>
      </c>
      <c r="C923" t="s">
        <v>1391</v>
      </c>
      <c r="D923" t="s">
        <v>24</v>
      </c>
      <c r="E923" t="s">
        <v>1396</v>
      </c>
      <c r="F923" t="s">
        <v>836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f t="shared" si="14"/>
        <v>7</v>
      </c>
      <c r="O923" t="str">
        <f>IF(AND($A923=Dashboard!$B$3,$B923=Dashboard!$G$3,$D923&lt;&gt;"NO_SERVICE"),ROW(),"")</f>
        <v/>
      </c>
    </row>
    <row r="924" spans="1:15" x14ac:dyDescent="0.25">
      <c r="A924" t="s">
        <v>353</v>
      </c>
      <c r="B924" t="s">
        <v>904</v>
      </c>
      <c r="C924" t="s">
        <v>1391</v>
      </c>
      <c r="D924" t="s">
        <v>24</v>
      </c>
      <c r="E924" t="s">
        <v>1397</v>
      </c>
      <c r="F924" t="s">
        <v>235</v>
      </c>
      <c r="G924">
        <v>1</v>
      </c>
      <c r="H924">
        <v>0</v>
      </c>
      <c r="I924">
        <v>1</v>
      </c>
      <c r="J924">
        <v>1</v>
      </c>
      <c r="K924">
        <v>1</v>
      </c>
      <c r="L924">
        <v>0</v>
      </c>
      <c r="M924">
        <v>1</v>
      </c>
      <c r="N924">
        <f t="shared" si="14"/>
        <v>5</v>
      </c>
      <c r="O924" t="str">
        <f>IF(AND($A924=Dashboard!$B$3,$B924=Dashboard!$G$3,$D924&lt;&gt;"NO_SERVICE"),ROW(),"")</f>
        <v/>
      </c>
    </row>
    <row r="925" spans="1:15" x14ac:dyDescent="0.25">
      <c r="A925" t="s">
        <v>353</v>
      </c>
      <c r="B925" t="s">
        <v>904</v>
      </c>
      <c r="C925" t="s">
        <v>1391</v>
      </c>
      <c r="D925" t="s">
        <v>24</v>
      </c>
      <c r="E925" t="s">
        <v>1397</v>
      </c>
      <c r="F925" t="s">
        <v>159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1</v>
      </c>
      <c r="M925">
        <v>0</v>
      </c>
      <c r="N925">
        <f t="shared" si="14"/>
        <v>2</v>
      </c>
      <c r="O925" t="str">
        <f>IF(AND($A925=Dashboard!$B$3,$B925=Dashboard!$G$3,$D925&lt;&gt;"NO_SERVICE"),ROW(),"")</f>
        <v/>
      </c>
    </row>
    <row r="926" spans="1:15" x14ac:dyDescent="0.25">
      <c r="A926" t="s">
        <v>353</v>
      </c>
      <c r="B926" t="s">
        <v>904</v>
      </c>
      <c r="C926" t="s">
        <v>1391</v>
      </c>
      <c r="D926" t="s">
        <v>24</v>
      </c>
      <c r="E926" t="s">
        <v>1398</v>
      </c>
      <c r="F926" t="s">
        <v>513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f t="shared" si="14"/>
        <v>7</v>
      </c>
      <c r="O926" t="str">
        <f>IF(AND($A926=Dashboard!$B$3,$B926=Dashboard!$G$3,$D926&lt;&gt;"NO_SERVICE"),ROW(),"")</f>
        <v/>
      </c>
    </row>
    <row r="927" spans="1:15" x14ac:dyDescent="0.25">
      <c r="A927" t="s">
        <v>353</v>
      </c>
      <c r="B927" t="s">
        <v>904</v>
      </c>
      <c r="C927" t="s">
        <v>1391</v>
      </c>
      <c r="D927" t="s">
        <v>24</v>
      </c>
      <c r="E927" t="s">
        <v>1399</v>
      </c>
      <c r="F927" t="s">
        <v>250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f t="shared" si="14"/>
        <v>7</v>
      </c>
      <c r="O927" t="str">
        <f>IF(AND($A927=Dashboard!$B$3,$B927=Dashboard!$G$3,$D927&lt;&gt;"NO_SERVICE"),ROW(),"")</f>
        <v/>
      </c>
    </row>
    <row r="928" spans="1:15" x14ac:dyDescent="0.25">
      <c r="A928" t="s">
        <v>353</v>
      </c>
      <c r="B928" t="s">
        <v>904</v>
      </c>
      <c r="C928" t="s">
        <v>1391</v>
      </c>
      <c r="D928" t="s">
        <v>24</v>
      </c>
      <c r="E928" t="s">
        <v>1400</v>
      </c>
      <c r="F928" t="s">
        <v>693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f t="shared" si="14"/>
        <v>7</v>
      </c>
      <c r="O928" t="str">
        <f>IF(AND($A928=Dashboard!$B$3,$B928=Dashboard!$G$3,$D928&lt;&gt;"NO_SERVICE"),ROW(),"")</f>
        <v/>
      </c>
    </row>
    <row r="929" spans="1:15" x14ac:dyDescent="0.25">
      <c r="A929" t="s">
        <v>353</v>
      </c>
      <c r="B929" t="s">
        <v>904</v>
      </c>
      <c r="C929" t="s">
        <v>1391</v>
      </c>
      <c r="D929" t="s">
        <v>24</v>
      </c>
      <c r="E929" t="s">
        <v>1401</v>
      </c>
      <c r="F929" t="s">
        <v>760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f t="shared" si="14"/>
        <v>7</v>
      </c>
      <c r="O929" t="str">
        <f>IF(AND($A929=Dashboard!$B$3,$B929=Dashboard!$G$3,$D929&lt;&gt;"NO_SERVICE"),ROW(),"")</f>
        <v/>
      </c>
    </row>
    <row r="930" spans="1:15" x14ac:dyDescent="0.25">
      <c r="A930" t="s">
        <v>353</v>
      </c>
      <c r="B930" t="s">
        <v>904</v>
      </c>
      <c r="C930" t="s">
        <v>1391</v>
      </c>
      <c r="D930" t="s">
        <v>24</v>
      </c>
      <c r="E930" t="s">
        <v>1402</v>
      </c>
      <c r="F930" t="s">
        <v>352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f t="shared" si="14"/>
        <v>7</v>
      </c>
      <c r="O930" t="str">
        <f>IF(AND($A930=Dashboard!$B$3,$B930=Dashboard!$G$3,$D930&lt;&gt;"NO_SERVICE"),ROW(),"")</f>
        <v/>
      </c>
    </row>
    <row r="931" spans="1:15" x14ac:dyDescent="0.25">
      <c r="A931" t="s">
        <v>353</v>
      </c>
      <c r="B931" t="s">
        <v>904</v>
      </c>
      <c r="C931" t="s">
        <v>1391</v>
      </c>
      <c r="D931" t="s">
        <v>21</v>
      </c>
      <c r="E931" t="s">
        <v>1403</v>
      </c>
      <c r="F931" t="s">
        <v>746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f t="shared" si="14"/>
        <v>7</v>
      </c>
      <c r="O931" t="str">
        <f>IF(AND($A931=Dashboard!$B$3,$B931=Dashboard!$G$3,$D931&lt;&gt;"NO_SERVICE"),ROW(),"")</f>
        <v/>
      </c>
    </row>
    <row r="932" spans="1:15" x14ac:dyDescent="0.25">
      <c r="A932" t="s">
        <v>353</v>
      </c>
      <c r="B932" t="s">
        <v>904</v>
      </c>
      <c r="C932" t="s">
        <v>1391</v>
      </c>
      <c r="D932" t="s">
        <v>21</v>
      </c>
      <c r="E932" t="s">
        <v>1404</v>
      </c>
      <c r="F932" t="s">
        <v>1405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f t="shared" si="14"/>
        <v>7</v>
      </c>
      <c r="O932" t="str">
        <f>IF(AND($A932=Dashboard!$B$3,$B932=Dashboard!$G$3,$D932&lt;&gt;"NO_SERVICE"),ROW(),"")</f>
        <v/>
      </c>
    </row>
    <row r="933" spans="1:15" x14ac:dyDescent="0.25">
      <c r="A933" t="s">
        <v>353</v>
      </c>
      <c r="B933" t="s">
        <v>904</v>
      </c>
      <c r="C933" t="s">
        <v>1391</v>
      </c>
      <c r="D933" t="s">
        <v>21</v>
      </c>
      <c r="E933" t="s">
        <v>1406</v>
      </c>
      <c r="F933" t="s">
        <v>443</v>
      </c>
      <c r="G933">
        <v>0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f t="shared" si="14"/>
        <v>6</v>
      </c>
      <c r="O933" t="str">
        <f>IF(AND($A933=Dashboard!$B$3,$B933=Dashboard!$G$3,$D933&lt;&gt;"NO_SERVICE"),ROW(),"")</f>
        <v/>
      </c>
    </row>
    <row r="934" spans="1:15" x14ac:dyDescent="0.25">
      <c r="A934" t="s">
        <v>353</v>
      </c>
      <c r="B934" t="s">
        <v>904</v>
      </c>
      <c r="C934" t="s">
        <v>1391</v>
      </c>
      <c r="D934" t="s">
        <v>21</v>
      </c>
      <c r="E934" t="s">
        <v>1407</v>
      </c>
      <c r="F934" t="s">
        <v>872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f t="shared" si="14"/>
        <v>7</v>
      </c>
      <c r="O934" t="str">
        <f>IF(AND($A934=Dashboard!$B$3,$B934=Dashboard!$G$3,$D934&lt;&gt;"NO_SERVICE"),ROW(),"")</f>
        <v/>
      </c>
    </row>
    <row r="935" spans="1:15" x14ac:dyDescent="0.25">
      <c r="A935" t="s">
        <v>353</v>
      </c>
      <c r="B935" t="s">
        <v>904</v>
      </c>
      <c r="C935" t="s">
        <v>1391</v>
      </c>
      <c r="D935" t="s">
        <v>21</v>
      </c>
      <c r="E935" t="s">
        <v>1408</v>
      </c>
      <c r="F935" t="s">
        <v>293</v>
      </c>
      <c r="G935">
        <v>0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f t="shared" si="14"/>
        <v>6</v>
      </c>
      <c r="O935" t="str">
        <f>IF(AND($A935=Dashboard!$B$3,$B935=Dashboard!$G$3,$D935&lt;&gt;"NO_SERVICE"),ROW(),"")</f>
        <v/>
      </c>
    </row>
    <row r="936" spans="1:15" x14ac:dyDescent="0.25">
      <c r="A936" t="s">
        <v>353</v>
      </c>
      <c r="B936" t="s">
        <v>904</v>
      </c>
      <c r="C936" t="s">
        <v>1391</v>
      </c>
      <c r="D936" t="s">
        <v>21</v>
      </c>
      <c r="E936" t="s">
        <v>1409</v>
      </c>
      <c r="F936" t="s">
        <v>1164</v>
      </c>
      <c r="G936">
        <v>0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f t="shared" si="14"/>
        <v>6</v>
      </c>
      <c r="O936" t="str">
        <f>IF(AND($A936=Dashboard!$B$3,$B936=Dashboard!$G$3,$D936&lt;&gt;"NO_SERVICE"),ROW(),"")</f>
        <v/>
      </c>
    </row>
    <row r="937" spans="1:15" x14ac:dyDescent="0.25">
      <c r="A937" t="s">
        <v>353</v>
      </c>
      <c r="B937" t="s">
        <v>904</v>
      </c>
      <c r="C937" t="s">
        <v>1391</v>
      </c>
      <c r="D937" t="s">
        <v>21</v>
      </c>
      <c r="E937" t="s">
        <v>1409</v>
      </c>
      <c r="F937" t="s">
        <v>232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f t="shared" si="14"/>
        <v>1</v>
      </c>
      <c r="O937" t="str">
        <f>IF(AND($A937=Dashboard!$B$3,$B937=Dashboard!$G$3,$D937&lt;&gt;"NO_SERVICE"),ROW(),"")</f>
        <v/>
      </c>
    </row>
    <row r="938" spans="1:15" x14ac:dyDescent="0.25">
      <c r="A938" t="s">
        <v>353</v>
      </c>
      <c r="B938" t="s">
        <v>904</v>
      </c>
      <c r="C938" t="s">
        <v>1391</v>
      </c>
      <c r="D938" t="s">
        <v>21</v>
      </c>
      <c r="E938" t="s">
        <v>1410</v>
      </c>
      <c r="F938" t="s">
        <v>295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f t="shared" si="14"/>
        <v>1</v>
      </c>
      <c r="O938" t="str">
        <f>IF(AND($A938=Dashboard!$B$3,$B938=Dashboard!$G$3,$D938&lt;&gt;"NO_SERVICE"),ROW(),"")</f>
        <v/>
      </c>
    </row>
    <row r="939" spans="1:15" x14ac:dyDescent="0.25">
      <c r="A939" t="s">
        <v>353</v>
      </c>
      <c r="B939" t="s">
        <v>904</v>
      </c>
      <c r="C939" t="s">
        <v>1391</v>
      </c>
      <c r="D939" t="s">
        <v>21</v>
      </c>
      <c r="E939" t="s">
        <v>1411</v>
      </c>
      <c r="F939" t="s">
        <v>744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f t="shared" si="14"/>
        <v>7</v>
      </c>
      <c r="O939" t="str">
        <f>IF(AND($A939=Dashboard!$B$3,$B939=Dashboard!$G$3,$D939&lt;&gt;"NO_SERVICE"),ROW(),"")</f>
        <v/>
      </c>
    </row>
    <row r="940" spans="1:15" x14ac:dyDescent="0.25">
      <c r="A940" t="s">
        <v>353</v>
      </c>
      <c r="B940" t="s">
        <v>1004</v>
      </c>
      <c r="C940" t="s">
        <v>1412</v>
      </c>
      <c r="D940" t="s">
        <v>24</v>
      </c>
      <c r="E940" t="s">
        <v>1413</v>
      </c>
      <c r="F940" t="s">
        <v>1414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f t="shared" si="14"/>
        <v>7</v>
      </c>
      <c r="O940" t="str">
        <f>IF(AND($A940=Dashboard!$B$3,$B940=Dashboard!$G$3,$D940&lt;&gt;"NO_SERVICE"),ROW(),"")</f>
        <v/>
      </c>
    </row>
    <row r="941" spans="1:15" x14ac:dyDescent="0.25">
      <c r="A941" t="s">
        <v>353</v>
      </c>
      <c r="B941" t="s">
        <v>1004</v>
      </c>
      <c r="C941" t="s">
        <v>1412</v>
      </c>
      <c r="D941" t="s">
        <v>24</v>
      </c>
      <c r="E941" t="s">
        <v>1415</v>
      </c>
      <c r="F941" t="s">
        <v>86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f t="shared" si="14"/>
        <v>7</v>
      </c>
      <c r="O941" t="str">
        <f>IF(AND($A941=Dashboard!$B$3,$B941=Dashboard!$G$3,$D941&lt;&gt;"NO_SERVICE"),ROW(),"")</f>
        <v/>
      </c>
    </row>
    <row r="942" spans="1:15" x14ac:dyDescent="0.25">
      <c r="A942" t="s">
        <v>353</v>
      </c>
      <c r="B942" t="s">
        <v>1004</v>
      </c>
      <c r="C942" t="s">
        <v>1412</v>
      </c>
      <c r="D942" t="s">
        <v>24</v>
      </c>
      <c r="E942" t="s">
        <v>1416</v>
      </c>
      <c r="F942" t="s">
        <v>94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f t="shared" si="14"/>
        <v>2</v>
      </c>
      <c r="O942" t="str">
        <f>IF(AND($A942=Dashboard!$B$3,$B942=Dashboard!$G$3,$D942&lt;&gt;"NO_SERVICE"),ROW(),"")</f>
        <v/>
      </c>
    </row>
    <row r="943" spans="1:15" x14ac:dyDescent="0.25">
      <c r="A943" t="s">
        <v>353</v>
      </c>
      <c r="B943" t="s">
        <v>1004</v>
      </c>
      <c r="C943" t="s">
        <v>1412</v>
      </c>
      <c r="D943" t="s">
        <v>24</v>
      </c>
      <c r="E943" t="s">
        <v>1417</v>
      </c>
      <c r="F943" t="s">
        <v>252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f t="shared" si="14"/>
        <v>7</v>
      </c>
      <c r="O943" t="str">
        <f>IF(AND($A943=Dashboard!$B$3,$B943=Dashboard!$G$3,$D943&lt;&gt;"NO_SERVICE"),ROW(),"")</f>
        <v/>
      </c>
    </row>
    <row r="944" spans="1:15" x14ac:dyDescent="0.25">
      <c r="A944" t="s">
        <v>353</v>
      </c>
      <c r="B944" t="s">
        <v>1004</v>
      </c>
      <c r="C944" t="s">
        <v>1412</v>
      </c>
      <c r="D944" t="s">
        <v>24</v>
      </c>
      <c r="E944" t="s">
        <v>1418</v>
      </c>
      <c r="F944" t="s">
        <v>159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f t="shared" si="14"/>
        <v>7</v>
      </c>
      <c r="O944" t="str">
        <f>IF(AND($A944=Dashboard!$B$3,$B944=Dashboard!$G$3,$D944&lt;&gt;"NO_SERVICE"),ROW(),"")</f>
        <v/>
      </c>
    </row>
    <row r="945" spans="1:15" x14ac:dyDescent="0.25">
      <c r="A945" t="s">
        <v>353</v>
      </c>
      <c r="B945" t="s">
        <v>1004</v>
      </c>
      <c r="C945" t="s">
        <v>1412</v>
      </c>
      <c r="D945" t="s">
        <v>24</v>
      </c>
      <c r="E945" t="s">
        <v>1419</v>
      </c>
      <c r="F945" t="s">
        <v>300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f t="shared" si="14"/>
        <v>7</v>
      </c>
      <c r="O945" t="str">
        <f>IF(AND($A945=Dashboard!$B$3,$B945=Dashboard!$G$3,$D945&lt;&gt;"NO_SERVICE"),ROW(),"")</f>
        <v/>
      </c>
    </row>
    <row r="946" spans="1:15" x14ac:dyDescent="0.25">
      <c r="A946" t="s">
        <v>353</v>
      </c>
      <c r="B946" t="s">
        <v>1004</v>
      </c>
      <c r="C946" t="s">
        <v>1412</v>
      </c>
      <c r="D946" t="s">
        <v>24</v>
      </c>
      <c r="E946" t="s">
        <v>1420</v>
      </c>
      <c r="F946" t="s">
        <v>335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f t="shared" si="14"/>
        <v>7</v>
      </c>
      <c r="O946" t="str">
        <f>IF(AND($A946=Dashboard!$B$3,$B946=Dashboard!$G$3,$D946&lt;&gt;"NO_SERVICE"),ROW(),"")</f>
        <v/>
      </c>
    </row>
    <row r="947" spans="1:15" x14ac:dyDescent="0.25">
      <c r="A947" t="s">
        <v>353</v>
      </c>
      <c r="B947" t="s">
        <v>1004</v>
      </c>
      <c r="C947" t="s">
        <v>1412</v>
      </c>
      <c r="D947" t="s">
        <v>24</v>
      </c>
      <c r="E947" t="s">
        <v>1421</v>
      </c>
      <c r="F947" t="s">
        <v>981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f t="shared" si="14"/>
        <v>7</v>
      </c>
      <c r="O947" t="str">
        <f>IF(AND($A947=Dashboard!$B$3,$B947=Dashboard!$G$3,$D947&lt;&gt;"NO_SERVICE"),ROW(),"")</f>
        <v/>
      </c>
    </row>
    <row r="948" spans="1:15" x14ac:dyDescent="0.25">
      <c r="A948" t="s">
        <v>353</v>
      </c>
      <c r="B948" t="s">
        <v>1004</v>
      </c>
      <c r="C948" t="s">
        <v>1412</v>
      </c>
      <c r="D948" t="s">
        <v>24</v>
      </c>
      <c r="E948" t="s">
        <v>1422</v>
      </c>
      <c r="F948" t="s">
        <v>349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f t="shared" si="14"/>
        <v>7</v>
      </c>
      <c r="O948" t="str">
        <f>IF(AND($A948=Dashboard!$B$3,$B948=Dashboard!$G$3,$D948&lt;&gt;"NO_SERVICE"),ROW(),"")</f>
        <v/>
      </c>
    </row>
    <row r="949" spans="1:15" x14ac:dyDescent="0.25">
      <c r="A949" t="s">
        <v>353</v>
      </c>
      <c r="B949" t="s">
        <v>1004</v>
      </c>
      <c r="C949" t="s">
        <v>1412</v>
      </c>
      <c r="D949" t="s">
        <v>24</v>
      </c>
      <c r="E949" t="s">
        <v>1423</v>
      </c>
      <c r="F949" t="s">
        <v>303</v>
      </c>
      <c r="G949">
        <v>0</v>
      </c>
      <c r="H949">
        <v>1</v>
      </c>
      <c r="I949">
        <v>1</v>
      </c>
      <c r="J949">
        <v>1</v>
      </c>
      <c r="K949">
        <v>1</v>
      </c>
      <c r="L949">
        <v>0</v>
      </c>
      <c r="M949">
        <v>1</v>
      </c>
      <c r="N949">
        <f t="shared" si="14"/>
        <v>5</v>
      </c>
      <c r="O949" t="str">
        <f>IF(AND($A949=Dashboard!$B$3,$B949=Dashboard!$G$3,$D949&lt;&gt;"NO_SERVICE"),ROW(),"")</f>
        <v/>
      </c>
    </row>
    <row r="950" spans="1:15" x14ac:dyDescent="0.25">
      <c r="A950" t="s">
        <v>353</v>
      </c>
      <c r="B950" t="s">
        <v>1004</v>
      </c>
      <c r="C950" t="s">
        <v>1412</v>
      </c>
      <c r="D950" t="s">
        <v>24</v>
      </c>
      <c r="E950" t="s">
        <v>1424</v>
      </c>
      <c r="F950" t="s">
        <v>352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f t="shared" si="14"/>
        <v>7</v>
      </c>
      <c r="O950" t="str">
        <f>IF(AND($A950=Dashboard!$B$3,$B950=Dashboard!$G$3,$D950&lt;&gt;"NO_SERVICE"),ROW(),"")</f>
        <v/>
      </c>
    </row>
    <row r="951" spans="1:15" x14ac:dyDescent="0.25">
      <c r="A951" t="s">
        <v>353</v>
      </c>
      <c r="B951" t="s">
        <v>1004</v>
      </c>
      <c r="C951" t="s">
        <v>1412</v>
      </c>
      <c r="D951" t="s">
        <v>21</v>
      </c>
      <c r="E951" t="s">
        <v>1425</v>
      </c>
      <c r="F951" t="s">
        <v>319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f t="shared" si="14"/>
        <v>1</v>
      </c>
      <c r="O951" t="str">
        <f>IF(AND($A951=Dashboard!$B$3,$B951=Dashboard!$G$3,$D951&lt;&gt;"NO_SERVICE"),ROW(),"")</f>
        <v/>
      </c>
    </row>
    <row r="952" spans="1:15" x14ac:dyDescent="0.25">
      <c r="A952" t="s">
        <v>353</v>
      </c>
      <c r="B952" t="s">
        <v>1004</v>
      </c>
      <c r="C952" t="s">
        <v>1412</v>
      </c>
      <c r="D952" t="s">
        <v>21</v>
      </c>
      <c r="E952" t="s">
        <v>1426</v>
      </c>
      <c r="F952" t="s">
        <v>676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f t="shared" si="14"/>
        <v>7</v>
      </c>
      <c r="O952" t="str">
        <f>IF(AND($A952=Dashboard!$B$3,$B952=Dashboard!$G$3,$D952&lt;&gt;"NO_SERVICE"),ROW(),"")</f>
        <v/>
      </c>
    </row>
    <row r="953" spans="1:15" x14ac:dyDescent="0.25">
      <c r="A953" t="s">
        <v>353</v>
      </c>
      <c r="B953" t="s">
        <v>1004</v>
      </c>
      <c r="C953" t="s">
        <v>1412</v>
      </c>
      <c r="D953" t="s">
        <v>21</v>
      </c>
      <c r="E953" t="s">
        <v>1038</v>
      </c>
      <c r="F953" t="s">
        <v>131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f t="shared" si="14"/>
        <v>7</v>
      </c>
      <c r="O953" t="str">
        <f>IF(AND($A953=Dashboard!$B$3,$B953=Dashboard!$G$3,$D953&lt;&gt;"NO_SERVICE"),ROW(),"")</f>
        <v/>
      </c>
    </row>
    <row r="954" spans="1:15" x14ac:dyDescent="0.25">
      <c r="A954" t="s">
        <v>353</v>
      </c>
      <c r="B954" t="s">
        <v>1004</v>
      </c>
      <c r="C954" t="s">
        <v>1412</v>
      </c>
      <c r="D954" t="s">
        <v>21</v>
      </c>
      <c r="E954" t="s">
        <v>1427</v>
      </c>
      <c r="F954" t="s">
        <v>801</v>
      </c>
      <c r="G954">
        <v>0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f t="shared" si="14"/>
        <v>6</v>
      </c>
      <c r="O954" t="str">
        <f>IF(AND($A954=Dashboard!$B$3,$B954=Dashboard!$G$3,$D954&lt;&gt;"NO_SERVICE"),ROW(),"")</f>
        <v/>
      </c>
    </row>
    <row r="955" spans="1:15" x14ac:dyDescent="0.25">
      <c r="A955" t="s">
        <v>353</v>
      </c>
      <c r="B955" t="s">
        <v>1004</v>
      </c>
      <c r="C955" t="s">
        <v>1412</v>
      </c>
      <c r="D955" t="s">
        <v>21</v>
      </c>
      <c r="E955" t="s">
        <v>1427</v>
      </c>
      <c r="F955" t="s">
        <v>368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f t="shared" si="14"/>
        <v>1</v>
      </c>
      <c r="O955" t="str">
        <f>IF(AND($A955=Dashboard!$B$3,$B955=Dashboard!$G$3,$D955&lt;&gt;"NO_SERVICE"),ROW(),"")</f>
        <v/>
      </c>
    </row>
    <row r="956" spans="1:15" x14ac:dyDescent="0.25">
      <c r="A956" t="s">
        <v>353</v>
      </c>
      <c r="B956" t="s">
        <v>1004</v>
      </c>
      <c r="C956" t="s">
        <v>1412</v>
      </c>
      <c r="D956" t="s">
        <v>21</v>
      </c>
      <c r="E956" t="s">
        <v>1428</v>
      </c>
      <c r="F956" t="s">
        <v>685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f t="shared" si="14"/>
        <v>7</v>
      </c>
      <c r="O956" t="str">
        <f>IF(AND($A956=Dashboard!$B$3,$B956=Dashboard!$G$3,$D956&lt;&gt;"NO_SERVICE"),ROW(),"")</f>
        <v/>
      </c>
    </row>
    <row r="957" spans="1:15" x14ac:dyDescent="0.25">
      <c r="A957" t="s">
        <v>353</v>
      </c>
      <c r="B957" t="s">
        <v>1004</v>
      </c>
      <c r="C957" t="s">
        <v>1412</v>
      </c>
      <c r="D957" t="s">
        <v>21</v>
      </c>
      <c r="E957" t="s">
        <v>1429</v>
      </c>
      <c r="F957" t="s">
        <v>272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f t="shared" si="14"/>
        <v>7</v>
      </c>
      <c r="O957" t="str">
        <f>IF(AND($A957=Dashboard!$B$3,$B957=Dashboard!$G$3,$D957&lt;&gt;"NO_SERVICE"),ROW(),"")</f>
        <v/>
      </c>
    </row>
    <row r="958" spans="1:15" x14ac:dyDescent="0.25">
      <c r="A958" t="s">
        <v>353</v>
      </c>
      <c r="B958" t="s">
        <v>1004</v>
      </c>
      <c r="C958" t="s">
        <v>1412</v>
      </c>
      <c r="D958" t="s">
        <v>21</v>
      </c>
      <c r="E958" t="s">
        <v>1430</v>
      </c>
      <c r="F958" t="s">
        <v>855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f t="shared" si="14"/>
        <v>7</v>
      </c>
      <c r="O958" t="str">
        <f>IF(AND($A958=Dashboard!$B$3,$B958=Dashboard!$G$3,$D958&lt;&gt;"NO_SERVICE"),ROW(),"")</f>
        <v/>
      </c>
    </row>
    <row r="959" spans="1:15" x14ac:dyDescent="0.25">
      <c r="A959" t="s">
        <v>353</v>
      </c>
      <c r="B959" t="s">
        <v>1004</v>
      </c>
      <c r="C959" t="s">
        <v>1412</v>
      </c>
      <c r="D959" t="s">
        <v>26</v>
      </c>
      <c r="E959" t="s">
        <v>1041</v>
      </c>
      <c r="F959" t="s">
        <v>395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f t="shared" si="14"/>
        <v>1</v>
      </c>
      <c r="O959" t="str">
        <f>IF(AND($A959=Dashboard!$B$3,$B959=Dashboard!$G$3,$D959&lt;&gt;"NO_SERVICE"),ROW(),"")</f>
        <v/>
      </c>
    </row>
    <row r="960" spans="1:15" x14ac:dyDescent="0.25">
      <c r="A960" t="s">
        <v>353</v>
      </c>
      <c r="B960" t="s">
        <v>1004</v>
      </c>
      <c r="C960" t="s">
        <v>1412</v>
      </c>
      <c r="D960" t="s">
        <v>26</v>
      </c>
      <c r="E960" t="s">
        <v>1041</v>
      </c>
      <c r="F960" t="s">
        <v>716</v>
      </c>
      <c r="G960">
        <v>0</v>
      </c>
      <c r="H960">
        <v>0</v>
      </c>
      <c r="I960">
        <v>1</v>
      </c>
      <c r="J960">
        <v>0</v>
      </c>
      <c r="K960">
        <v>1</v>
      </c>
      <c r="L960">
        <v>0</v>
      </c>
      <c r="M960">
        <v>1</v>
      </c>
      <c r="N960">
        <f t="shared" si="14"/>
        <v>3</v>
      </c>
      <c r="O960" t="str">
        <f>IF(AND($A960=Dashboard!$B$3,$B960=Dashboard!$G$3,$D960&lt;&gt;"NO_SERVICE"),ROW(),"")</f>
        <v/>
      </c>
    </row>
    <row r="961" spans="1:15" x14ac:dyDescent="0.25">
      <c r="A961" t="s">
        <v>154</v>
      </c>
      <c r="B961" t="s">
        <v>2</v>
      </c>
      <c r="C961" t="s">
        <v>1431</v>
      </c>
      <c r="D961" t="s">
        <v>24</v>
      </c>
      <c r="E961" t="s">
        <v>1432</v>
      </c>
      <c r="F961" t="s">
        <v>637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f t="shared" si="14"/>
        <v>7</v>
      </c>
      <c r="O961" t="str">
        <f>IF(AND($A961=Dashboard!$B$3,$B961=Dashboard!$G$3,$D961&lt;&gt;"NO_SERVICE"),ROW(),"")</f>
        <v/>
      </c>
    </row>
    <row r="962" spans="1:15" x14ac:dyDescent="0.25">
      <c r="A962" t="s">
        <v>154</v>
      </c>
      <c r="B962" t="s">
        <v>2</v>
      </c>
      <c r="C962" t="s">
        <v>1431</v>
      </c>
      <c r="D962" t="s">
        <v>24</v>
      </c>
      <c r="E962" t="s">
        <v>1433</v>
      </c>
      <c r="F962" t="s">
        <v>398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f t="shared" ref="N962:N1025" si="15">SUM(G962:M962)</f>
        <v>7</v>
      </c>
      <c r="O962" t="str">
        <f>IF(AND($A962=Dashboard!$B$3,$B962=Dashboard!$G$3,$D962&lt;&gt;"NO_SERVICE"),ROW(),"")</f>
        <v/>
      </c>
    </row>
    <row r="963" spans="1:15" x14ac:dyDescent="0.25">
      <c r="A963" t="s">
        <v>154</v>
      </c>
      <c r="B963" t="s">
        <v>2</v>
      </c>
      <c r="C963" t="s">
        <v>1431</v>
      </c>
      <c r="D963" t="s">
        <v>24</v>
      </c>
      <c r="E963" t="s">
        <v>1434</v>
      </c>
      <c r="F963" t="s">
        <v>262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f t="shared" si="15"/>
        <v>7</v>
      </c>
      <c r="O963" t="str">
        <f>IF(AND($A963=Dashboard!$B$3,$B963=Dashboard!$G$3,$D963&lt;&gt;"NO_SERVICE"),ROW(),"")</f>
        <v/>
      </c>
    </row>
    <row r="964" spans="1:15" x14ac:dyDescent="0.25">
      <c r="A964" t="s">
        <v>154</v>
      </c>
      <c r="B964" t="s">
        <v>2</v>
      </c>
      <c r="C964" t="s">
        <v>1431</v>
      </c>
      <c r="D964" t="s">
        <v>24</v>
      </c>
      <c r="E964" t="s">
        <v>1435</v>
      </c>
      <c r="F964" t="s">
        <v>674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f t="shared" si="15"/>
        <v>7</v>
      </c>
      <c r="O964" t="str">
        <f>IF(AND($A964=Dashboard!$B$3,$B964=Dashboard!$G$3,$D964&lt;&gt;"NO_SERVICE"),ROW(),"")</f>
        <v/>
      </c>
    </row>
    <row r="965" spans="1:15" x14ac:dyDescent="0.25">
      <c r="A965" t="s">
        <v>154</v>
      </c>
      <c r="B965" t="s">
        <v>2</v>
      </c>
      <c r="C965" t="s">
        <v>1431</v>
      </c>
      <c r="D965" t="s">
        <v>26</v>
      </c>
      <c r="E965" t="s">
        <v>1436</v>
      </c>
      <c r="F965" t="s">
        <v>1021</v>
      </c>
      <c r="G965">
        <v>1</v>
      </c>
      <c r="H965">
        <v>1</v>
      </c>
      <c r="I965">
        <v>0</v>
      </c>
      <c r="J965">
        <v>1</v>
      </c>
      <c r="K965">
        <v>1</v>
      </c>
      <c r="L965">
        <v>1</v>
      </c>
      <c r="M965">
        <v>1</v>
      </c>
      <c r="N965">
        <f t="shared" si="15"/>
        <v>6</v>
      </c>
      <c r="O965" t="str">
        <f>IF(AND($A965=Dashboard!$B$3,$B965=Dashboard!$G$3,$D965&lt;&gt;"NO_SERVICE"),ROW(),"")</f>
        <v/>
      </c>
    </row>
    <row r="966" spans="1:15" x14ac:dyDescent="0.25">
      <c r="A966" t="s">
        <v>154</v>
      </c>
      <c r="B966" t="s">
        <v>2</v>
      </c>
      <c r="C966" t="s">
        <v>1431</v>
      </c>
      <c r="D966" t="s">
        <v>26</v>
      </c>
      <c r="E966" t="s">
        <v>1436</v>
      </c>
      <c r="F966" t="s">
        <v>1245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f t="shared" si="15"/>
        <v>1</v>
      </c>
      <c r="O966" t="str">
        <f>IF(AND($A966=Dashboard!$B$3,$B966=Dashboard!$G$3,$D966&lt;&gt;"NO_SERVICE"),ROW(),"")</f>
        <v/>
      </c>
    </row>
    <row r="967" spans="1:15" x14ac:dyDescent="0.25">
      <c r="A967" t="s">
        <v>154</v>
      </c>
      <c r="B967" t="s">
        <v>2</v>
      </c>
      <c r="C967" t="s">
        <v>1431</v>
      </c>
      <c r="D967" t="s">
        <v>21</v>
      </c>
      <c r="E967" t="s">
        <v>1437</v>
      </c>
      <c r="F967" t="s">
        <v>832</v>
      </c>
      <c r="G967">
        <v>1</v>
      </c>
      <c r="H967">
        <v>1</v>
      </c>
      <c r="I967">
        <v>0</v>
      </c>
      <c r="J967">
        <v>1</v>
      </c>
      <c r="K967">
        <v>1</v>
      </c>
      <c r="L967">
        <v>1</v>
      </c>
      <c r="M967">
        <v>1</v>
      </c>
      <c r="N967">
        <f t="shared" si="15"/>
        <v>6</v>
      </c>
      <c r="O967" t="str">
        <f>IF(AND($A967=Dashboard!$B$3,$B967=Dashboard!$G$3,$D967&lt;&gt;"NO_SERVICE"),ROW(),"")</f>
        <v/>
      </c>
    </row>
    <row r="968" spans="1:15" x14ac:dyDescent="0.25">
      <c r="A968" t="s">
        <v>154</v>
      </c>
      <c r="B968" t="s">
        <v>2</v>
      </c>
      <c r="C968" t="s">
        <v>1431</v>
      </c>
      <c r="D968" t="s">
        <v>21</v>
      </c>
      <c r="E968" t="s">
        <v>1437</v>
      </c>
      <c r="F968" t="s">
        <v>131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f t="shared" si="15"/>
        <v>1</v>
      </c>
      <c r="O968" t="str">
        <f>IF(AND($A968=Dashboard!$B$3,$B968=Dashboard!$G$3,$D968&lt;&gt;"NO_SERVICE"),ROW(),"")</f>
        <v/>
      </c>
    </row>
    <row r="969" spans="1:15" x14ac:dyDescent="0.25">
      <c r="A969" t="s">
        <v>154</v>
      </c>
      <c r="B969" t="s">
        <v>353</v>
      </c>
      <c r="C969" t="s">
        <v>1438</v>
      </c>
      <c r="D969" t="s">
        <v>24</v>
      </c>
      <c r="E969" t="s">
        <v>1439</v>
      </c>
      <c r="F969" t="s">
        <v>1140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f t="shared" si="15"/>
        <v>7</v>
      </c>
      <c r="O969" t="str">
        <f>IF(AND($A969=Dashboard!$B$3,$B969=Dashboard!$G$3,$D969&lt;&gt;"NO_SERVICE"),ROW(),"")</f>
        <v/>
      </c>
    </row>
    <row r="970" spans="1:15" x14ac:dyDescent="0.25">
      <c r="A970" t="s">
        <v>154</v>
      </c>
      <c r="B970" t="s">
        <v>353</v>
      </c>
      <c r="C970" t="s">
        <v>1438</v>
      </c>
      <c r="D970" t="s">
        <v>24</v>
      </c>
      <c r="E970" t="s">
        <v>1440</v>
      </c>
      <c r="F970" t="s">
        <v>1131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f t="shared" si="15"/>
        <v>7</v>
      </c>
      <c r="O970" t="str">
        <f>IF(AND($A970=Dashboard!$B$3,$B970=Dashboard!$G$3,$D970&lt;&gt;"NO_SERVICE"),ROW(),"")</f>
        <v/>
      </c>
    </row>
    <row r="971" spans="1:15" x14ac:dyDescent="0.25">
      <c r="A971" t="s">
        <v>154</v>
      </c>
      <c r="B971" t="s">
        <v>353</v>
      </c>
      <c r="C971" t="s">
        <v>1438</v>
      </c>
      <c r="D971" t="s">
        <v>24</v>
      </c>
      <c r="E971" t="s">
        <v>1441</v>
      </c>
      <c r="F971" t="s">
        <v>199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f t="shared" si="15"/>
        <v>7</v>
      </c>
      <c r="O971" t="str">
        <f>IF(AND($A971=Dashboard!$B$3,$B971=Dashboard!$G$3,$D971&lt;&gt;"NO_SERVICE"),ROW(),"")</f>
        <v/>
      </c>
    </row>
    <row r="972" spans="1:15" x14ac:dyDescent="0.25">
      <c r="A972" t="s">
        <v>154</v>
      </c>
      <c r="B972" t="s">
        <v>353</v>
      </c>
      <c r="C972" t="s">
        <v>1438</v>
      </c>
      <c r="D972" t="s">
        <v>24</v>
      </c>
      <c r="E972" t="s">
        <v>1442</v>
      </c>
      <c r="F972" t="s">
        <v>422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f t="shared" si="15"/>
        <v>7</v>
      </c>
      <c r="O972" t="str">
        <f>IF(AND($A972=Dashboard!$B$3,$B972=Dashboard!$G$3,$D972&lt;&gt;"NO_SERVICE"),ROW(),"")</f>
        <v/>
      </c>
    </row>
    <row r="973" spans="1:15" x14ac:dyDescent="0.25">
      <c r="A973" t="s">
        <v>154</v>
      </c>
      <c r="B973" t="s">
        <v>353</v>
      </c>
      <c r="C973" t="s">
        <v>1438</v>
      </c>
      <c r="D973" t="s">
        <v>24</v>
      </c>
      <c r="E973" t="s">
        <v>1443</v>
      </c>
      <c r="F973" t="s">
        <v>953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f t="shared" si="15"/>
        <v>7</v>
      </c>
      <c r="O973" t="str">
        <f>IF(AND($A973=Dashboard!$B$3,$B973=Dashboard!$G$3,$D973&lt;&gt;"NO_SERVICE"),ROW(),"")</f>
        <v/>
      </c>
    </row>
    <row r="974" spans="1:15" x14ac:dyDescent="0.25">
      <c r="A974" t="s">
        <v>154</v>
      </c>
      <c r="B974" t="s">
        <v>353</v>
      </c>
      <c r="C974" t="s">
        <v>1438</v>
      </c>
      <c r="D974" t="s">
        <v>24</v>
      </c>
      <c r="E974" t="s">
        <v>1444</v>
      </c>
      <c r="F974" t="s">
        <v>836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f t="shared" si="15"/>
        <v>7</v>
      </c>
      <c r="O974" t="str">
        <f>IF(AND($A974=Dashboard!$B$3,$B974=Dashboard!$G$3,$D974&lt;&gt;"NO_SERVICE"),ROW(),"")</f>
        <v/>
      </c>
    </row>
    <row r="975" spans="1:15" x14ac:dyDescent="0.25">
      <c r="A975" t="s">
        <v>154</v>
      </c>
      <c r="B975" t="s">
        <v>353</v>
      </c>
      <c r="C975" t="s">
        <v>1438</v>
      </c>
      <c r="D975" t="s">
        <v>24</v>
      </c>
      <c r="E975" t="s">
        <v>1445</v>
      </c>
      <c r="F975" t="s">
        <v>76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f t="shared" si="15"/>
        <v>7</v>
      </c>
      <c r="O975" t="str">
        <f>IF(AND($A975=Dashboard!$B$3,$B975=Dashboard!$G$3,$D975&lt;&gt;"NO_SERVICE"),ROW(),"")</f>
        <v/>
      </c>
    </row>
    <row r="976" spans="1:15" x14ac:dyDescent="0.25">
      <c r="A976" t="s">
        <v>154</v>
      </c>
      <c r="B976" t="s">
        <v>353</v>
      </c>
      <c r="C976" t="s">
        <v>1438</v>
      </c>
      <c r="D976" t="s">
        <v>24</v>
      </c>
      <c r="E976" t="s">
        <v>1446</v>
      </c>
      <c r="F976" t="s">
        <v>1319</v>
      </c>
      <c r="G976">
        <v>0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f t="shared" si="15"/>
        <v>6</v>
      </c>
      <c r="O976" t="str">
        <f>IF(AND($A976=Dashboard!$B$3,$B976=Dashboard!$G$3,$D976&lt;&gt;"NO_SERVICE"),ROW(),"")</f>
        <v/>
      </c>
    </row>
    <row r="977" spans="1:15" x14ac:dyDescent="0.25">
      <c r="A977" t="s">
        <v>154</v>
      </c>
      <c r="B977" t="s">
        <v>353</v>
      </c>
      <c r="C977" t="s">
        <v>1438</v>
      </c>
      <c r="D977" t="s">
        <v>24</v>
      </c>
      <c r="E977" t="s">
        <v>1447</v>
      </c>
      <c r="F977" t="s">
        <v>931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f t="shared" si="15"/>
        <v>7</v>
      </c>
      <c r="O977" t="str">
        <f>IF(AND($A977=Dashboard!$B$3,$B977=Dashboard!$G$3,$D977&lt;&gt;"NO_SERVICE"),ROW(),"")</f>
        <v/>
      </c>
    </row>
    <row r="978" spans="1:15" x14ac:dyDescent="0.25">
      <c r="A978" t="s">
        <v>154</v>
      </c>
      <c r="B978" t="s">
        <v>353</v>
      </c>
      <c r="C978" t="s">
        <v>1438</v>
      </c>
      <c r="D978" t="s">
        <v>24</v>
      </c>
      <c r="E978" t="s">
        <v>1448</v>
      </c>
      <c r="F978" t="s">
        <v>219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f t="shared" si="15"/>
        <v>7</v>
      </c>
      <c r="O978" t="str">
        <f>IF(AND($A978=Dashboard!$B$3,$B978=Dashboard!$G$3,$D978&lt;&gt;"NO_SERVICE"),ROW(),"")</f>
        <v/>
      </c>
    </row>
    <row r="979" spans="1:15" x14ac:dyDescent="0.25">
      <c r="A979" t="s">
        <v>154</v>
      </c>
      <c r="B979" t="s">
        <v>353</v>
      </c>
      <c r="C979" t="s">
        <v>1438</v>
      </c>
      <c r="D979" t="s">
        <v>24</v>
      </c>
      <c r="E979" t="s">
        <v>1449</v>
      </c>
      <c r="F979" t="s">
        <v>981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f t="shared" si="15"/>
        <v>7</v>
      </c>
      <c r="O979" t="str">
        <f>IF(AND($A979=Dashboard!$B$3,$B979=Dashboard!$G$3,$D979&lt;&gt;"NO_SERVICE"),ROW(),"")</f>
        <v/>
      </c>
    </row>
    <row r="980" spans="1:15" x14ac:dyDescent="0.25">
      <c r="A980" t="s">
        <v>154</v>
      </c>
      <c r="B980" t="s">
        <v>353</v>
      </c>
      <c r="C980" t="s">
        <v>1438</v>
      </c>
      <c r="D980" t="s">
        <v>24</v>
      </c>
      <c r="E980" t="s">
        <v>1450</v>
      </c>
      <c r="F980" t="s">
        <v>655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f t="shared" si="15"/>
        <v>7</v>
      </c>
      <c r="O980" t="str">
        <f>IF(AND($A980=Dashboard!$B$3,$B980=Dashboard!$G$3,$D980&lt;&gt;"NO_SERVICE"),ROW(),"")</f>
        <v/>
      </c>
    </row>
    <row r="981" spans="1:15" x14ac:dyDescent="0.25">
      <c r="A981" t="s">
        <v>154</v>
      </c>
      <c r="B981" t="s">
        <v>353</v>
      </c>
      <c r="C981" t="s">
        <v>1438</v>
      </c>
      <c r="D981" t="s">
        <v>24</v>
      </c>
      <c r="E981" t="s">
        <v>1451</v>
      </c>
      <c r="F981" t="s">
        <v>494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f t="shared" si="15"/>
        <v>7</v>
      </c>
      <c r="O981" t="str">
        <f>IF(AND($A981=Dashboard!$B$3,$B981=Dashboard!$G$3,$D981&lt;&gt;"NO_SERVICE"),ROW(),"")</f>
        <v/>
      </c>
    </row>
    <row r="982" spans="1:15" x14ac:dyDescent="0.25">
      <c r="A982" t="s">
        <v>154</v>
      </c>
      <c r="B982" t="s">
        <v>353</v>
      </c>
      <c r="C982" t="s">
        <v>1438</v>
      </c>
      <c r="D982" t="s">
        <v>24</v>
      </c>
      <c r="E982" t="s">
        <v>1452</v>
      </c>
      <c r="F982" t="s">
        <v>1265</v>
      </c>
      <c r="G982">
        <v>0</v>
      </c>
      <c r="H982">
        <v>0</v>
      </c>
      <c r="I982">
        <v>1</v>
      </c>
      <c r="J982">
        <v>1</v>
      </c>
      <c r="K982">
        <v>1</v>
      </c>
      <c r="L982">
        <v>0</v>
      </c>
      <c r="M982">
        <v>1</v>
      </c>
      <c r="N982">
        <f t="shared" si="15"/>
        <v>4</v>
      </c>
      <c r="O982" t="str">
        <f>IF(AND($A982=Dashboard!$B$3,$B982=Dashboard!$G$3,$D982&lt;&gt;"NO_SERVICE"),ROW(),"")</f>
        <v/>
      </c>
    </row>
    <row r="983" spans="1:15" x14ac:dyDescent="0.25">
      <c r="A983" t="s">
        <v>154</v>
      </c>
      <c r="B983" t="s">
        <v>353</v>
      </c>
      <c r="C983" t="s">
        <v>1438</v>
      </c>
      <c r="D983" t="s">
        <v>24</v>
      </c>
      <c r="E983" t="s">
        <v>1453</v>
      </c>
      <c r="F983" t="s">
        <v>1108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1</v>
      </c>
      <c r="N983">
        <f t="shared" si="15"/>
        <v>2</v>
      </c>
      <c r="O983" t="str">
        <f>IF(AND($A983=Dashboard!$B$3,$B983=Dashboard!$G$3,$D983&lt;&gt;"NO_SERVICE"),ROW(),"")</f>
        <v/>
      </c>
    </row>
    <row r="984" spans="1:15" x14ac:dyDescent="0.25">
      <c r="A984" t="s">
        <v>154</v>
      </c>
      <c r="B984" t="s">
        <v>353</v>
      </c>
      <c r="C984" t="s">
        <v>1438</v>
      </c>
      <c r="D984" t="s">
        <v>21</v>
      </c>
      <c r="E984" t="s">
        <v>1454</v>
      </c>
      <c r="F984" t="s">
        <v>1455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f t="shared" si="15"/>
        <v>7</v>
      </c>
      <c r="O984" t="str">
        <f>IF(AND($A984=Dashboard!$B$3,$B984=Dashboard!$G$3,$D984&lt;&gt;"NO_SERVICE"),ROW(),"")</f>
        <v/>
      </c>
    </row>
    <row r="985" spans="1:15" x14ac:dyDescent="0.25">
      <c r="A985" t="s">
        <v>154</v>
      </c>
      <c r="B985" t="s">
        <v>353</v>
      </c>
      <c r="C985" t="s">
        <v>1438</v>
      </c>
      <c r="D985" t="s">
        <v>21</v>
      </c>
      <c r="E985" t="s">
        <v>1456</v>
      </c>
      <c r="F985" t="s">
        <v>258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f t="shared" si="15"/>
        <v>7</v>
      </c>
      <c r="O985" t="str">
        <f>IF(AND($A985=Dashboard!$B$3,$B985=Dashboard!$G$3,$D985&lt;&gt;"NO_SERVICE"),ROW(),"")</f>
        <v/>
      </c>
    </row>
    <row r="986" spans="1:15" x14ac:dyDescent="0.25">
      <c r="A986" t="s">
        <v>154</v>
      </c>
      <c r="B986" t="s">
        <v>353</v>
      </c>
      <c r="C986" t="s">
        <v>1438</v>
      </c>
      <c r="D986" t="s">
        <v>21</v>
      </c>
      <c r="E986" t="s">
        <v>1457</v>
      </c>
      <c r="F986" t="s">
        <v>285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f t="shared" si="15"/>
        <v>7</v>
      </c>
      <c r="O986" t="str">
        <f>IF(AND($A986=Dashboard!$B$3,$B986=Dashboard!$G$3,$D986&lt;&gt;"NO_SERVICE"),ROW(),"")</f>
        <v/>
      </c>
    </row>
    <row r="987" spans="1:15" x14ac:dyDescent="0.25">
      <c r="A987" t="s">
        <v>154</v>
      </c>
      <c r="B987" t="s">
        <v>353</v>
      </c>
      <c r="C987" t="s">
        <v>1438</v>
      </c>
      <c r="D987" t="s">
        <v>21</v>
      </c>
      <c r="E987" t="s">
        <v>1458</v>
      </c>
      <c r="F987" t="s">
        <v>476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f t="shared" si="15"/>
        <v>7</v>
      </c>
      <c r="O987" t="str">
        <f>IF(AND($A987=Dashboard!$B$3,$B987=Dashboard!$G$3,$D987&lt;&gt;"NO_SERVICE"),ROW(),"")</f>
        <v/>
      </c>
    </row>
    <row r="988" spans="1:15" x14ac:dyDescent="0.25">
      <c r="A988" t="s">
        <v>154</v>
      </c>
      <c r="B988" t="s">
        <v>353</v>
      </c>
      <c r="C988" t="s">
        <v>1438</v>
      </c>
      <c r="D988" t="s">
        <v>21</v>
      </c>
      <c r="E988" t="s">
        <v>1459</v>
      </c>
      <c r="F988" t="s">
        <v>309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f t="shared" si="15"/>
        <v>7</v>
      </c>
      <c r="O988" t="str">
        <f>IF(AND($A988=Dashboard!$B$3,$B988=Dashboard!$G$3,$D988&lt;&gt;"NO_SERVICE"),ROW(),"")</f>
        <v/>
      </c>
    </row>
    <row r="989" spans="1:15" x14ac:dyDescent="0.25">
      <c r="A989" t="s">
        <v>154</v>
      </c>
      <c r="B989" t="s">
        <v>353</v>
      </c>
      <c r="C989" t="s">
        <v>1438</v>
      </c>
      <c r="D989" t="s">
        <v>21</v>
      </c>
      <c r="E989" t="s">
        <v>1460</v>
      </c>
      <c r="F989" t="s">
        <v>400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f t="shared" si="15"/>
        <v>7</v>
      </c>
      <c r="O989" t="str">
        <f>IF(AND($A989=Dashboard!$B$3,$B989=Dashboard!$G$3,$D989&lt;&gt;"NO_SERVICE"),ROW(),"")</f>
        <v/>
      </c>
    </row>
    <row r="990" spans="1:15" x14ac:dyDescent="0.25">
      <c r="A990" t="s">
        <v>154</v>
      </c>
      <c r="B990" t="s">
        <v>353</v>
      </c>
      <c r="C990" t="s">
        <v>1438</v>
      </c>
      <c r="D990" t="s">
        <v>21</v>
      </c>
      <c r="E990" t="s">
        <v>1461</v>
      </c>
      <c r="F990" t="s">
        <v>317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f t="shared" si="15"/>
        <v>7</v>
      </c>
      <c r="O990" t="str">
        <f>IF(AND($A990=Dashboard!$B$3,$B990=Dashboard!$G$3,$D990&lt;&gt;"NO_SERVICE"),ROW(),"")</f>
        <v/>
      </c>
    </row>
    <row r="991" spans="1:15" x14ac:dyDescent="0.25">
      <c r="A991" t="s">
        <v>154</v>
      </c>
      <c r="B991" t="s">
        <v>353</v>
      </c>
      <c r="C991" t="s">
        <v>1438</v>
      </c>
      <c r="D991" t="s">
        <v>21</v>
      </c>
      <c r="E991" t="s">
        <v>1462</v>
      </c>
      <c r="F991" t="s">
        <v>272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f t="shared" si="15"/>
        <v>7</v>
      </c>
      <c r="O991" t="str">
        <f>IF(AND($A991=Dashboard!$B$3,$B991=Dashboard!$G$3,$D991&lt;&gt;"NO_SERVICE"),ROW(),"")</f>
        <v/>
      </c>
    </row>
    <row r="992" spans="1:15" x14ac:dyDescent="0.25">
      <c r="A992" t="s">
        <v>154</v>
      </c>
      <c r="B992" t="s">
        <v>353</v>
      </c>
      <c r="C992" t="s">
        <v>1438</v>
      </c>
      <c r="D992" t="s">
        <v>21</v>
      </c>
      <c r="E992" t="s">
        <v>1463</v>
      </c>
      <c r="F992" t="s">
        <v>1207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f t="shared" si="15"/>
        <v>7</v>
      </c>
      <c r="O992" t="str">
        <f>IF(AND($A992=Dashboard!$B$3,$B992=Dashboard!$G$3,$D992&lt;&gt;"NO_SERVICE"),ROW(),"")</f>
        <v/>
      </c>
    </row>
    <row r="993" spans="1:15" x14ac:dyDescent="0.25">
      <c r="A993" t="s">
        <v>154</v>
      </c>
      <c r="B993" t="s">
        <v>353</v>
      </c>
      <c r="C993" t="s">
        <v>1438</v>
      </c>
      <c r="D993" t="s">
        <v>21</v>
      </c>
      <c r="E993" t="s">
        <v>1464</v>
      </c>
      <c r="F993" t="s">
        <v>1121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f t="shared" si="15"/>
        <v>7</v>
      </c>
      <c r="O993" t="str">
        <f>IF(AND($A993=Dashboard!$B$3,$B993=Dashboard!$G$3,$D993&lt;&gt;"NO_SERVICE"),ROW(),"")</f>
        <v/>
      </c>
    </row>
    <row r="994" spans="1:15" x14ac:dyDescent="0.25">
      <c r="A994" t="s">
        <v>154</v>
      </c>
      <c r="B994" t="s">
        <v>353</v>
      </c>
      <c r="C994" t="s">
        <v>1438</v>
      </c>
      <c r="D994" t="s">
        <v>29</v>
      </c>
      <c r="E994" t="s">
        <v>1465</v>
      </c>
      <c r="F994" t="s">
        <v>1455</v>
      </c>
      <c r="G994">
        <v>0</v>
      </c>
      <c r="H994">
        <v>1</v>
      </c>
      <c r="I994">
        <v>1</v>
      </c>
      <c r="J994">
        <v>0</v>
      </c>
      <c r="K994">
        <v>1</v>
      </c>
      <c r="L994">
        <v>1</v>
      </c>
      <c r="M994">
        <v>1</v>
      </c>
      <c r="N994">
        <f t="shared" si="15"/>
        <v>5</v>
      </c>
      <c r="O994" t="str">
        <f>IF(AND($A994=Dashboard!$B$3,$B994=Dashboard!$G$3,$D994&lt;&gt;"NO_SERVICE"),ROW(),"")</f>
        <v/>
      </c>
    </row>
    <row r="995" spans="1:15" x14ac:dyDescent="0.25">
      <c r="A995" t="s">
        <v>154</v>
      </c>
      <c r="B995" t="s">
        <v>353</v>
      </c>
      <c r="C995" t="s">
        <v>1438</v>
      </c>
      <c r="D995" t="s">
        <v>29</v>
      </c>
      <c r="E995" t="s">
        <v>1466</v>
      </c>
      <c r="F995" t="s">
        <v>689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f t="shared" si="15"/>
        <v>7</v>
      </c>
      <c r="O995" t="str">
        <f>IF(AND($A995=Dashboard!$B$3,$B995=Dashboard!$G$3,$D995&lt;&gt;"NO_SERVICE"),ROW(),"")</f>
        <v/>
      </c>
    </row>
    <row r="996" spans="1:15" x14ac:dyDescent="0.25">
      <c r="A996" t="s">
        <v>154</v>
      </c>
      <c r="B996" t="s">
        <v>353</v>
      </c>
      <c r="C996" t="s">
        <v>1438</v>
      </c>
      <c r="D996" t="s">
        <v>26</v>
      </c>
      <c r="E996" t="s">
        <v>1467</v>
      </c>
      <c r="F996" t="s">
        <v>269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f t="shared" si="15"/>
        <v>7</v>
      </c>
      <c r="O996" t="str">
        <f>IF(AND($A996=Dashboard!$B$3,$B996=Dashboard!$G$3,$D996&lt;&gt;"NO_SERVICE"),ROW(),"")</f>
        <v/>
      </c>
    </row>
    <row r="997" spans="1:15" x14ac:dyDescent="0.25">
      <c r="A997" t="s">
        <v>154</v>
      </c>
      <c r="B997" t="s">
        <v>353</v>
      </c>
      <c r="C997" t="s">
        <v>1438</v>
      </c>
      <c r="D997" t="s">
        <v>26</v>
      </c>
      <c r="E997" t="s">
        <v>1468</v>
      </c>
      <c r="F997" t="s">
        <v>630</v>
      </c>
      <c r="G997">
        <v>0</v>
      </c>
      <c r="H997">
        <v>1</v>
      </c>
      <c r="I997">
        <v>0</v>
      </c>
      <c r="J997">
        <v>1</v>
      </c>
      <c r="K997">
        <v>0</v>
      </c>
      <c r="L997">
        <v>1</v>
      </c>
      <c r="M997">
        <v>0</v>
      </c>
      <c r="N997">
        <f t="shared" si="15"/>
        <v>3</v>
      </c>
      <c r="O997" t="str">
        <f>IF(AND($A997=Dashboard!$B$3,$B997=Dashboard!$G$3,$D997&lt;&gt;"NO_SERVICE"),ROW(),"")</f>
        <v/>
      </c>
    </row>
    <row r="998" spans="1:15" x14ac:dyDescent="0.25">
      <c r="A998" t="s">
        <v>154</v>
      </c>
      <c r="B998" t="s">
        <v>353</v>
      </c>
      <c r="C998" t="s">
        <v>1438</v>
      </c>
      <c r="D998" t="s">
        <v>26</v>
      </c>
      <c r="E998" t="s">
        <v>1469</v>
      </c>
      <c r="F998" t="s">
        <v>326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f t="shared" si="15"/>
        <v>7</v>
      </c>
      <c r="O998" t="str">
        <f>IF(AND($A998=Dashboard!$B$3,$B998=Dashboard!$G$3,$D998&lt;&gt;"NO_SERVICE"),ROW(),"")</f>
        <v/>
      </c>
    </row>
    <row r="999" spans="1:15" x14ac:dyDescent="0.25">
      <c r="A999" t="s">
        <v>154</v>
      </c>
      <c r="B999" t="s">
        <v>353</v>
      </c>
      <c r="C999" t="s">
        <v>1438</v>
      </c>
      <c r="D999" t="s">
        <v>26</v>
      </c>
      <c r="E999" t="s">
        <v>1470</v>
      </c>
      <c r="F999" t="s">
        <v>119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f t="shared" si="15"/>
        <v>7</v>
      </c>
      <c r="O999" t="str">
        <f>IF(AND($A999=Dashboard!$B$3,$B999=Dashboard!$G$3,$D999&lt;&gt;"NO_SERVICE"),ROW(),"")</f>
        <v/>
      </c>
    </row>
    <row r="1000" spans="1:15" x14ac:dyDescent="0.25">
      <c r="A1000" t="s">
        <v>154</v>
      </c>
      <c r="B1000" t="s">
        <v>353</v>
      </c>
      <c r="C1000" t="s">
        <v>1438</v>
      </c>
      <c r="D1000" t="s">
        <v>26</v>
      </c>
      <c r="E1000" t="s">
        <v>1471</v>
      </c>
      <c r="F1000" t="s">
        <v>726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f t="shared" si="15"/>
        <v>7</v>
      </c>
      <c r="O1000" t="str">
        <f>IF(AND($A1000=Dashboard!$B$3,$B1000=Dashboard!$G$3,$D1000&lt;&gt;"NO_SERVICE"),ROW(),"")</f>
        <v/>
      </c>
    </row>
    <row r="1001" spans="1:15" x14ac:dyDescent="0.25">
      <c r="A1001" t="s">
        <v>154</v>
      </c>
      <c r="B1001" t="s">
        <v>353</v>
      </c>
      <c r="C1001" t="s">
        <v>1438</v>
      </c>
      <c r="D1001" t="s">
        <v>26</v>
      </c>
      <c r="E1001" t="s">
        <v>1472</v>
      </c>
      <c r="F1001" t="s">
        <v>396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f t="shared" si="15"/>
        <v>1</v>
      </c>
      <c r="O1001" t="str">
        <f>IF(AND($A1001=Dashboard!$B$3,$B1001=Dashboard!$G$3,$D1001&lt;&gt;"NO_SERVICE"),ROW(),"")</f>
        <v/>
      </c>
    </row>
    <row r="1002" spans="1:15" x14ac:dyDescent="0.25">
      <c r="A1002" t="s">
        <v>154</v>
      </c>
      <c r="B1002" t="s">
        <v>353</v>
      </c>
      <c r="C1002" t="s">
        <v>1438</v>
      </c>
      <c r="D1002" t="s">
        <v>26</v>
      </c>
      <c r="E1002" t="s">
        <v>1473</v>
      </c>
      <c r="F1002" t="s">
        <v>1474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f t="shared" si="15"/>
        <v>1</v>
      </c>
      <c r="O1002" t="str">
        <f>IF(AND($A1002=Dashboard!$B$3,$B1002=Dashboard!$G$3,$D1002&lt;&gt;"NO_SERVICE"),ROW(),"")</f>
        <v/>
      </c>
    </row>
    <row r="1003" spans="1:15" x14ac:dyDescent="0.25">
      <c r="A1003" t="s">
        <v>154</v>
      </c>
      <c r="B1003" t="s">
        <v>353</v>
      </c>
      <c r="C1003" t="s">
        <v>1438</v>
      </c>
      <c r="D1003" t="s">
        <v>26</v>
      </c>
      <c r="E1003" t="s">
        <v>1475</v>
      </c>
      <c r="F1003" t="s">
        <v>256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f t="shared" si="15"/>
        <v>1</v>
      </c>
      <c r="O1003" t="str">
        <f>IF(AND($A1003=Dashboard!$B$3,$B1003=Dashboard!$G$3,$D1003&lt;&gt;"NO_SERVICE"),ROW(),"")</f>
        <v/>
      </c>
    </row>
    <row r="1004" spans="1:15" x14ac:dyDescent="0.25">
      <c r="A1004" t="s">
        <v>154</v>
      </c>
      <c r="B1004" t="s">
        <v>353</v>
      </c>
      <c r="C1004" t="s">
        <v>1438</v>
      </c>
      <c r="D1004" t="s">
        <v>26</v>
      </c>
      <c r="E1004" t="s">
        <v>1476</v>
      </c>
      <c r="F1004" t="s">
        <v>855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f t="shared" si="15"/>
        <v>7</v>
      </c>
      <c r="O1004" t="str">
        <f>IF(AND($A1004=Dashboard!$B$3,$B1004=Dashboard!$G$3,$D1004&lt;&gt;"NO_SERVICE"),ROW(),"")</f>
        <v/>
      </c>
    </row>
    <row r="1005" spans="1:15" x14ac:dyDescent="0.25">
      <c r="A1005" t="s">
        <v>154</v>
      </c>
      <c r="B1005" t="s">
        <v>541</v>
      </c>
      <c r="C1005" t="s">
        <v>1477</v>
      </c>
      <c r="D1005" t="s">
        <v>24</v>
      </c>
      <c r="E1005" t="s">
        <v>1478</v>
      </c>
      <c r="F1005" t="s">
        <v>515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f t="shared" si="15"/>
        <v>7</v>
      </c>
      <c r="O1005" t="str">
        <f>IF(AND($A1005=Dashboard!$B$3,$B1005=Dashboard!$G$3,$D1005&lt;&gt;"NO_SERVICE"),ROW(),"")</f>
        <v/>
      </c>
    </row>
    <row r="1006" spans="1:15" x14ac:dyDescent="0.25">
      <c r="A1006" t="s">
        <v>154</v>
      </c>
      <c r="B1006" t="s">
        <v>541</v>
      </c>
      <c r="C1006" t="s">
        <v>1477</v>
      </c>
      <c r="D1006" t="s">
        <v>24</v>
      </c>
      <c r="E1006" t="s">
        <v>1479</v>
      </c>
      <c r="F1006" t="s">
        <v>424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f t="shared" si="15"/>
        <v>7</v>
      </c>
      <c r="O1006" t="str">
        <f>IF(AND($A1006=Dashboard!$B$3,$B1006=Dashboard!$G$3,$D1006&lt;&gt;"NO_SERVICE"),ROW(),"")</f>
        <v/>
      </c>
    </row>
    <row r="1007" spans="1:15" x14ac:dyDescent="0.25">
      <c r="A1007" t="s">
        <v>154</v>
      </c>
      <c r="B1007" t="s">
        <v>541</v>
      </c>
      <c r="C1007" t="s">
        <v>1477</v>
      </c>
      <c r="D1007" t="s">
        <v>24</v>
      </c>
      <c r="E1007" t="s">
        <v>1480</v>
      </c>
      <c r="F1007" t="s">
        <v>1030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f t="shared" si="15"/>
        <v>1</v>
      </c>
      <c r="O1007" t="str">
        <f>IF(AND($A1007=Dashboard!$B$3,$B1007=Dashboard!$G$3,$D1007&lt;&gt;"NO_SERVICE"),ROW(),"")</f>
        <v/>
      </c>
    </row>
    <row r="1008" spans="1:15" x14ac:dyDescent="0.25">
      <c r="A1008" t="s">
        <v>154</v>
      </c>
      <c r="B1008" t="s">
        <v>541</v>
      </c>
      <c r="C1008" t="s">
        <v>1477</v>
      </c>
      <c r="D1008" t="s">
        <v>24</v>
      </c>
      <c r="E1008" t="s">
        <v>227</v>
      </c>
      <c r="F1008" t="s">
        <v>228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1</v>
      </c>
      <c r="N1008">
        <f t="shared" si="15"/>
        <v>3</v>
      </c>
      <c r="O1008" t="str">
        <f>IF(AND($A1008=Dashboard!$B$3,$B1008=Dashboard!$G$3,$D1008&lt;&gt;"NO_SERVICE"),ROW(),"")</f>
        <v/>
      </c>
    </row>
    <row r="1009" spans="1:15" x14ac:dyDescent="0.25">
      <c r="A1009" t="s">
        <v>154</v>
      </c>
      <c r="B1009" t="s">
        <v>541</v>
      </c>
      <c r="C1009" t="s">
        <v>1477</v>
      </c>
      <c r="D1009" t="s">
        <v>24</v>
      </c>
      <c r="E1009" t="s">
        <v>1481</v>
      </c>
      <c r="F1009" t="s">
        <v>388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f t="shared" si="15"/>
        <v>7</v>
      </c>
      <c r="O1009" t="str">
        <f>IF(AND($A1009=Dashboard!$B$3,$B1009=Dashboard!$G$3,$D1009&lt;&gt;"NO_SERVICE"),ROW(),"")</f>
        <v/>
      </c>
    </row>
    <row r="1010" spans="1:15" x14ac:dyDescent="0.25">
      <c r="A1010" t="s">
        <v>154</v>
      </c>
      <c r="B1010" t="s">
        <v>541</v>
      </c>
      <c r="C1010" t="s">
        <v>1477</v>
      </c>
      <c r="D1010" t="s">
        <v>24</v>
      </c>
      <c r="E1010" t="s">
        <v>1482</v>
      </c>
      <c r="F1010" t="s">
        <v>872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f t="shared" si="15"/>
        <v>7</v>
      </c>
      <c r="O1010" t="str">
        <f>IF(AND($A1010=Dashboard!$B$3,$B1010=Dashboard!$G$3,$D1010&lt;&gt;"NO_SERVICE"),ROW(),"")</f>
        <v/>
      </c>
    </row>
    <row r="1011" spans="1:15" x14ac:dyDescent="0.25">
      <c r="A1011" t="s">
        <v>154</v>
      </c>
      <c r="B1011" t="s">
        <v>541</v>
      </c>
      <c r="C1011" t="s">
        <v>1477</v>
      </c>
      <c r="D1011" t="s">
        <v>24</v>
      </c>
      <c r="E1011" t="s">
        <v>1483</v>
      </c>
      <c r="F1011" t="s">
        <v>466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f t="shared" si="15"/>
        <v>7</v>
      </c>
      <c r="O1011" t="str">
        <f>IF(AND($A1011=Dashboard!$B$3,$B1011=Dashboard!$G$3,$D1011&lt;&gt;"NO_SERVICE"),ROW(),"")</f>
        <v/>
      </c>
    </row>
    <row r="1012" spans="1:15" x14ac:dyDescent="0.25">
      <c r="A1012" t="s">
        <v>154</v>
      </c>
      <c r="B1012" t="s">
        <v>541</v>
      </c>
      <c r="C1012" t="s">
        <v>1477</v>
      </c>
      <c r="D1012" t="s">
        <v>24</v>
      </c>
      <c r="E1012" t="s">
        <v>1484</v>
      </c>
      <c r="F1012" t="s">
        <v>108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f t="shared" si="15"/>
        <v>7</v>
      </c>
      <c r="O1012" t="str">
        <f>IF(AND($A1012=Dashboard!$B$3,$B1012=Dashboard!$G$3,$D1012&lt;&gt;"NO_SERVICE"),ROW(),"")</f>
        <v/>
      </c>
    </row>
    <row r="1013" spans="1:15" x14ac:dyDescent="0.25">
      <c r="A1013" t="s">
        <v>154</v>
      </c>
      <c r="B1013" t="s">
        <v>541</v>
      </c>
      <c r="C1013" t="s">
        <v>1477</v>
      </c>
      <c r="D1013" t="s">
        <v>24</v>
      </c>
      <c r="E1013" t="s">
        <v>1485</v>
      </c>
      <c r="F1013" t="s">
        <v>392</v>
      </c>
      <c r="G1013">
        <v>0</v>
      </c>
      <c r="H1013">
        <v>1</v>
      </c>
      <c r="I1013">
        <v>1</v>
      </c>
      <c r="J1013">
        <v>1</v>
      </c>
      <c r="K1013">
        <v>1</v>
      </c>
      <c r="L1013">
        <v>0</v>
      </c>
      <c r="M1013">
        <v>1</v>
      </c>
      <c r="N1013">
        <f t="shared" si="15"/>
        <v>5</v>
      </c>
      <c r="O1013" t="str">
        <f>IF(AND($A1013=Dashboard!$B$3,$B1013=Dashboard!$G$3,$D1013&lt;&gt;"NO_SERVICE"),ROW(),"")</f>
        <v/>
      </c>
    </row>
    <row r="1014" spans="1:15" x14ac:dyDescent="0.25">
      <c r="A1014" t="s">
        <v>154</v>
      </c>
      <c r="B1014" t="s">
        <v>541</v>
      </c>
      <c r="C1014" t="s">
        <v>1477</v>
      </c>
      <c r="D1014" t="s">
        <v>24</v>
      </c>
      <c r="E1014" t="s">
        <v>1486</v>
      </c>
      <c r="F1014" t="s">
        <v>1265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f t="shared" si="15"/>
        <v>7</v>
      </c>
      <c r="O1014" t="str">
        <f>IF(AND($A1014=Dashboard!$B$3,$B1014=Dashboard!$G$3,$D1014&lt;&gt;"NO_SERVICE"),ROW(),"")</f>
        <v/>
      </c>
    </row>
    <row r="1015" spans="1:15" x14ac:dyDescent="0.25">
      <c r="A1015" t="s">
        <v>154</v>
      </c>
      <c r="B1015" t="s">
        <v>541</v>
      </c>
      <c r="C1015" t="s">
        <v>1477</v>
      </c>
      <c r="D1015" t="s">
        <v>26</v>
      </c>
      <c r="E1015" t="s">
        <v>1487</v>
      </c>
      <c r="F1015" t="s">
        <v>86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0</v>
      </c>
      <c r="M1015">
        <v>1</v>
      </c>
      <c r="N1015">
        <f t="shared" si="15"/>
        <v>6</v>
      </c>
      <c r="O1015" t="str">
        <f>IF(AND($A1015=Dashboard!$B$3,$B1015=Dashboard!$G$3,$D1015&lt;&gt;"NO_SERVICE"),ROW(),"")</f>
        <v/>
      </c>
    </row>
    <row r="1016" spans="1:15" x14ac:dyDescent="0.25">
      <c r="A1016" t="s">
        <v>154</v>
      </c>
      <c r="B1016" t="s">
        <v>541</v>
      </c>
      <c r="C1016" t="s">
        <v>1477</v>
      </c>
      <c r="D1016" t="s">
        <v>21</v>
      </c>
      <c r="E1016" t="s">
        <v>1488</v>
      </c>
      <c r="F1016" t="s">
        <v>168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f t="shared" si="15"/>
        <v>7</v>
      </c>
      <c r="O1016" t="str">
        <f>IF(AND($A1016=Dashboard!$B$3,$B1016=Dashboard!$G$3,$D1016&lt;&gt;"NO_SERVICE"),ROW(),"")</f>
        <v/>
      </c>
    </row>
    <row r="1017" spans="1:15" x14ac:dyDescent="0.25">
      <c r="A1017" t="s">
        <v>154</v>
      </c>
      <c r="B1017" t="s">
        <v>541</v>
      </c>
      <c r="C1017" t="s">
        <v>1477</v>
      </c>
      <c r="D1017" t="s">
        <v>21</v>
      </c>
      <c r="E1017" t="s">
        <v>1489</v>
      </c>
      <c r="F1017" t="s">
        <v>212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f t="shared" si="15"/>
        <v>7</v>
      </c>
      <c r="O1017" t="str">
        <f>IF(AND($A1017=Dashboard!$B$3,$B1017=Dashboard!$G$3,$D1017&lt;&gt;"NO_SERVICE"),ROW(),"")</f>
        <v/>
      </c>
    </row>
    <row r="1018" spans="1:15" x14ac:dyDescent="0.25">
      <c r="A1018" t="s">
        <v>154</v>
      </c>
      <c r="B1018" t="s">
        <v>541</v>
      </c>
      <c r="C1018" t="s">
        <v>1477</v>
      </c>
      <c r="D1018" t="s">
        <v>21</v>
      </c>
      <c r="E1018" t="s">
        <v>1490</v>
      </c>
      <c r="F1018" t="s">
        <v>232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f t="shared" si="15"/>
        <v>7</v>
      </c>
      <c r="O1018" t="str">
        <f>IF(AND($A1018=Dashboard!$B$3,$B1018=Dashboard!$G$3,$D1018&lt;&gt;"NO_SERVICE"),ROW(),"")</f>
        <v/>
      </c>
    </row>
    <row r="1019" spans="1:15" x14ac:dyDescent="0.25">
      <c r="A1019" t="s">
        <v>154</v>
      </c>
      <c r="B1019" t="s">
        <v>4</v>
      </c>
      <c r="C1019" t="s">
        <v>1491</v>
      </c>
      <c r="D1019" t="s">
        <v>24</v>
      </c>
      <c r="E1019" t="s">
        <v>1492</v>
      </c>
      <c r="F1019" t="s">
        <v>1129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f t="shared" si="15"/>
        <v>7</v>
      </c>
      <c r="O1019" t="str">
        <f>IF(AND($A1019=Dashboard!$B$3,$B1019=Dashboard!$G$3,$D1019&lt;&gt;"NO_SERVICE"),ROW(),"")</f>
        <v/>
      </c>
    </row>
    <row r="1020" spans="1:15" x14ac:dyDescent="0.25">
      <c r="A1020" t="s">
        <v>154</v>
      </c>
      <c r="B1020" t="s">
        <v>4</v>
      </c>
      <c r="C1020" t="s">
        <v>1491</v>
      </c>
      <c r="D1020" t="s">
        <v>24</v>
      </c>
      <c r="E1020" t="s">
        <v>1493</v>
      </c>
      <c r="F1020" t="s">
        <v>386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f t="shared" si="15"/>
        <v>7</v>
      </c>
      <c r="O1020" t="str">
        <f>IF(AND($A1020=Dashboard!$B$3,$B1020=Dashboard!$G$3,$D1020&lt;&gt;"NO_SERVICE"),ROW(),"")</f>
        <v/>
      </c>
    </row>
    <row r="1021" spans="1:15" x14ac:dyDescent="0.25">
      <c r="A1021" t="s">
        <v>154</v>
      </c>
      <c r="B1021" t="s">
        <v>4</v>
      </c>
      <c r="C1021" t="s">
        <v>1491</v>
      </c>
      <c r="D1021" t="s">
        <v>24</v>
      </c>
      <c r="E1021" t="s">
        <v>1494</v>
      </c>
      <c r="F1021" t="s">
        <v>985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f t="shared" si="15"/>
        <v>7</v>
      </c>
      <c r="O1021" t="str">
        <f>IF(AND($A1021=Dashboard!$B$3,$B1021=Dashboard!$G$3,$D1021&lt;&gt;"NO_SERVICE"),ROW(),"")</f>
        <v/>
      </c>
    </row>
    <row r="1022" spans="1:15" x14ac:dyDescent="0.25">
      <c r="A1022" t="s">
        <v>154</v>
      </c>
      <c r="B1022" t="s">
        <v>4</v>
      </c>
      <c r="C1022" t="s">
        <v>1491</v>
      </c>
      <c r="D1022" t="s">
        <v>24</v>
      </c>
      <c r="E1022" t="s">
        <v>1495</v>
      </c>
      <c r="F1022" t="s">
        <v>94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f t="shared" si="15"/>
        <v>7</v>
      </c>
      <c r="O1022" t="str">
        <f>IF(AND($A1022=Dashboard!$B$3,$B1022=Dashboard!$G$3,$D1022&lt;&gt;"NO_SERVICE"),ROW(),"")</f>
        <v/>
      </c>
    </row>
    <row r="1023" spans="1:15" x14ac:dyDescent="0.25">
      <c r="A1023" t="s">
        <v>154</v>
      </c>
      <c r="B1023" t="s">
        <v>4</v>
      </c>
      <c r="C1023" t="s">
        <v>1491</v>
      </c>
      <c r="D1023" t="s">
        <v>24</v>
      </c>
      <c r="E1023" t="s">
        <v>1496</v>
      </c>
      <c r="F1023" t="s">
        <v>1030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f t="shared" si="15"/>
        <v>7</v>
      </c>
      <c r="O1023" t="str">
        <f>IF(AND($A1023=Dashboard!$B$3,$B1023=Dashboard!$G$3,$D1023&lt;&gt;"NO_SERVICE"),ROW(),"")</f>
        <v/>
      </c>
    </row>
    <row r="1024" spans="1:15" x14ac:dyDescent="0.25">
      <c r="A1024" t="s">
        <v>154</v>
      </c>
      <c r="B1024" t="s">
        <v>4</v>
      </c>
      <c r="C1024" t="s">
        <v>1491</v>
      </c>
      <c r="D1024" t="s">
        <v>24</v>
      </c>
      <c r="E1024" t="s">
        <v>1497</v>
      </c>
      <c r="F1024" t="s">
        <v>484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f t="shared" si="15"/>
        <v>7</v>
      </c>
      <c r="O1024" t="str">
        <f>IF(AND($A1024=Dashboard!$B$3,$B1024=Dashboard!$G$3,$D1024&lt;&gt;"NO_SERVICE"),ROW(),"")</f>
        <v/>
      </c>
    </row>
    <row r="1025" spans="1:15" x14ac:dyDescent="0.25">
      <c r="A1025" t="s">
        <v>154</v>
      </c>
      <c r="B1025" t="s">
        <v>4</v>
      </c>
      <c r="C1025" t="s">
        <v>1491</v>
      </c>
      <c r="D1025" t="s">
        <v>24</v>
      </c>
      <c r="E1025" t="s">
        <v>1498</v>
      </c>
      <c r="F1025" t="s">
        <v>212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f t="shared" si="15"/>
        <v>7</v>
      </c>
      <c r="O1025" t="str">
        <f>IF(AND($A1025=Dashboard!$B$3,$B1025=Dashboard!$G$3,$D1025&lt;&gt;"NO_SERVICE"),ROW(),"")</f>
        <v/>
      </c>
    </row>
    <row r="1026" spans="1:15" x14ac:dyDescent="0.25">
      <c r="A1026" t="s">
        <v>154</v>
      </c>
      <c r="B1026" t="s">
        <v>4</v>
      </c>
      <c r="C1026" t="s">
        <v>1491</v>
      </c>
      <c r="D1026" t="s">
        <v>24</v>
      </c>
      <c r="E1026" t="s">
        <v>1499</v>
      </c>
      <c r="F1026" t="s">
        <v>170</v>
      </c>
      <c r="G1026">
        <v>1</v>
      </c>
      <c r="H1026">
        <v>0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f t="shared" ref="N1026:N1089" si="16">SUM(G1026:M1026)</f>
        <v>6</v>
      </c>
      <c r="O1026" t="str">
        <f>IF(AND($A1026=Dashboard!$B$3,$B1026=Dashboard!$G$3,$D1026&lt;&gt;"NO_SERVICE"),ROW(),"")</f>
        <v/>
      </c>
    </row>
    <row r="1027" spans="1:15" x14ac:dyDescent="0.25">
      <c r="A1027" t="s">
        <v>154</v>
      </c>
      <c r="B1027" t="s">
        <v>4</v>
      </c>
      <c r="C1027" t="s">
        <v>1491</v>
      </c>
      <c r="D1027" t="s">
        <v>24</v>
      </c>
      <c r="E1027" t="s">
        <v>1500</v>
      </c>
      <c r="F1027" t="s">
        <v>398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f t="shared" si="16"/>
        <v>7</v>
      </c>
      <c r="O1027" t="str">
        <f>IF(AND($A1027=Dashboard!$B$3,$B1027=Dashboard!$G$3,$D1027&lt;&gt;"NO_SERVICE"),ROW(),"")</f>
        <v/>
      </c>
    </row>
    <row r="1028" spans="1:15" x14ac:dyDescent="0.25">
      <c r="A1028" t="s">
        <v>154</v>
      </c>
      <c r="B1028" t="s">
        <v>4</v>
      </c>
      <c r="C1028" t="s">
        <v>1491</v>
      </c>
      <c r="D1028" t="s">
        <v>24</v>
      </c>
      <c r="E1028" t="s">
        <v>1501</v>
      </c>
      <c r="F1028" t="s">
        <v>364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f t="shared" si="16"/>
        <v>7</v>
      </c>
      <c r="O1028" t="str">
        <f>IF(AND($A1028=Dashboard!$B$3,$B1028=Dashboard!$G$3,$D1028&lt;&gt;"NO_SERVICE"),ROW(),"")</f>
        <v/>
      </c>
    </row>
    <row r="1029" spans="1:15" x14ac:dyDescent="0.25">
      <c r="A1029" t="s">
        <v>154</v>
      </c>
      <c r="B1029" t="s">
        <v>4</v>
      </c>
      <c r="C1029" t="s">
        <v>1491</v>
      </c>
      <c r="D1029" t="s">
        <v>24</v>
      </c>
      <c r="E1029" t="s">
        <v>1502</v>
      </c>
      <c r="F1029" t="s">
        <v>530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f t="shared" si="16"/>
        <v>7</v>
      </c>
      <c r="O1029" t="str">
        <f>IF(AND($A1029=Dashboard!$B$3,$B1029=Dashboard!$G$3,$D1029&lt;&gt;"NO_SERVICE"),ROW(),"")</f>
        <v/>
      </c>
    </row>
    <row r="1030" spans="1:15" x14ac:dyDescent="0.25">
      <c r="A1030" t="s">
        <v>154</v>
      </c>
      <c r="B1030" t="s">
        <v>4</v>
      </c>
      <c r="C1030" t="s">
        <v>1491</v>
      </c>
      <c r="D1030" t="s">
        <v>24</v>
      </c>
      <c r="E1030" t="s">
        <v>1503</v>
      </c>
      <c r="F1030" t="s">
        <v>435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f t="shared" si="16"/>
        <v>7</v>
      </c>
      <c r="O1030" t="str">
        <f>IF(AND($A1030=Dashboard!$B$3,$B1030=Dashboard!$G$3,$D1030&lt;&gt;"NO_SERVICE"),ROW(),"")</f>
        <v/>
      </c>
    </row>
    <row r="1031" spans="1:15" x14ac:dyDescent="0.25">
      <c r="A1031" t="s">
        <v>154</v>
      </c>
      <c r="B1031" t="s">
        <v>4</v>
      </c>
      <c r="C1031" t="s">
        <v>1491</v>
      </c>
      <c r="D1031" t="s">
        <v>24</v>
      </c>
      <c r="E1031" t="s">
        <v>1504</v>
      </c>
      <c r="F1031" t="s">
        <v>62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f t="shared" si="16"/>
        <v>7</v>
      </c>
      <c r="O1031" t="str">
        <f>IF(AND($A1031=Dashboard!$B$3,$B1031=Dashboard!$G$3,$D1031&lt;&gt;"NO_SERVICE"),ROW(),"")</f>
        <v/>
      </c>
    </row>
    <row r="1032" spans="1:15" x14ac:dyDescent="0.25">
      <c r="A1032" t="s">
        <v>154</v>
      </c>
      <c r="B1032" t="s">
        <v>4</v>
      </c>
      <c r="C1032" t="s">
        <v>1491</v>
      </c>
      <c r="D1032" t="s">
        <v>24</v>
      </c>
      <c r="E1032" t="s">
        <v>1505</v>
      </c>
      <c r="F1032" t="s">
        <v>359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f t="shared" si="16"/>
        <v>7</v>
      </c>
      <c r="O1032" t="str">
        <f>IF(AND($A1032=Dashboard!$B$3,$B1032=Dashboard!$G$3,$D1032&lt;&gt;"NO_SERVICE"),ROW(),"")</f>
        <v/>
      </c>
    </row>
    <row r="1033" spans="1:15" x14ac:dyDescent="0.25">
      <c r="A1033" t="s">
        <v>154</v>
      </c>
      <c r="B1033" t="s">
        <v>4</v>
      </c>
      <c r="C1033" t="s">
        <v>1491</v>
      </c>
      <c r="D1033" t="s">
        <v>24</v>
      </c>
      <c r="E1033" t="s">
        <v>1506</v>
      </c>
      <c r="F1033" t="s">
        <v>1212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0</v>
      </c>
      <c r="M1033">
        <v>1</v>
      </c>
      <c r="N1033">
        <f t="shared" si="16"/>
        <v>6</v>
      </c>
      <c r="O1033" t="str">
        <f>IF(AND($A1033=Dashboard!$B$3,$B1033=Dashboard!$G$3,$D1033&lt;&gt;"NO_SERVICE"),ROW(),"")</f>
        <v/>
      </c>
    </row>
    <row r="1034" spans="1:15" x14ac:dyDescent="0.25">
      <c r="A1034" t="s">
        <v>154</v>
      </c>
      <c r="B1034" t="s">
        <v>4</v>
      </c>
      <c r="C1034" t="s">
        <v>1491</v>
      </c>
      <c r="D1034" t="s">
        <v>24</v>
      </c>
      <c r="E1034" t="s">
        <v>1507</v>
      </c>
      <c r="F1034" t="s">
        <v>1108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f t="shared" si="16"/>
        <v>7</v>
      </c>
      <c r="O1034" t="str">
        <f>IF(AND($A1034=Dashboard!$B$3,$B1034=Dashboard!$G$3,$D1034&lt;&gt;"NO_SERVICE"),ROW(),"")</f>
        <v/>
      </c>
    </row>
    <row r="1035" spans="1:15" x14ac:dyDescent="0.25">
      <c r="A1035" t="s">
        <v>154</v>
      </c>
      <c r="B1035" t="s">
        <v>4</v>
      </c>
      <c r="C1035" t="s">
        <v>1491</v>
      </c>
      <c r="D1035" t="s">
        <v>21</v>
      </c>
      <c r="E1035" t="s">
        <v>1508</v>
      </c>
      <c r="F1035" t="s">
        <v>1509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f t="shared" si="16"/>
        <v>7</v>
      </c>
      <c r="O1035" t="str">
        <f>IF(AND($A1035=Dashboard!$B$3,$B1035=Dashboard!$G$3,$D1035&lt;&gt;"NO_SERVICE"),ROW(),"")</f>
        <v/>
      </c>
    </row>
    <row r="1036" spans="1:15" x14ac:dyDescent="0.25">
      <c r="A1036" t="s">
        <v>154</v>
      </c>
      <c r="B1036" t="s">
        <v>4</v>
      </c>
      <c r="C1036" t="s">
        <v>1491</v>
      </c>
      <c r="D1036" t="s">
        <v>21</v>
      </c>
      <c r="E1036" t="s">
        <v>1510</v>
      </c>
      <c r="F1036" t="s">
        <v>1511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f t="shared" si="16"/>
        <v>7</v>
      </c>
      <c r="O1036" t="str">
        <f>IF(AND($A1036=Dashboard!$B$3,$B1036=Dashboard!$G$3,$D1036&lt;&gt;"NO_SERVICE"),ROW(),"")</f>
        <v/>
      </c>
    </row>
    <row r="1037" spans="1:15" x14ac:dyDescent="0.25">
      <c r="A1037" t="s">
        <v>154</v>
      </c>
      <c r="B1037" t="s">
        <v>4</v>
      </c>
      <c r="C1037" t="s">
        <v>1491</v>
      </c>
      <c r="D1037" t="s">
        <v>21</v>
      </c>
      <c r="E1037" t="s">
        <v>1512</v>
      </c>
      <c r="F1037" t="s">
        <v>199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f t="shared" si="16"/>
        <v>7</v>
      </c>
      <c r="O1037" t="str">
        <f>IF(AND($A1037=Dashboard!$B$3,$B1037=Dashboard!$G$3,$D1037&lt;&gt;"NO_SERVICE"),ROW(),"")</f>
        <v/>
      </c>
    </row>
    <row r="1038" spans="1:15" x14ac:dyDescent="0.25">
      <c r="A1038" t="s">
        <v>154</v>
      </c>
      <c r="B1038" t="s">
        <v>4</v>
      </c>
      <c r="C1038" t="s">
        <v>1491</v>
      </c>
      <c r="D1038" t="s">
        <v>21</v>
      </c>
      <c r="E1038" t="s">
        <v>1513</v>
      </c>
      <c r="F1038" t="s">
        <v>746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f t="shared" si="16"/>
        <v>7</v>
      </c>
      <c r="O1038" t="str">
        <f>IF(AND($A1038=Dashboard!$B$3,$B1038=Dashboard!$G$3,$D1038&lt;&gt;"NO_SERVICE"),ROW(),"")</f>
        <v/>
      </c>
    </row>
    <row r="1039" spans="1:15" x14ac:dyDescent="0.25">
      <c r="A1039" t="s">
        <v>154</v>
      </c>
      <c r="B1039" t="s">
        <v>4</v>
      </c>
      <c r="C1039" t="s">
        <v>1491</v>
      </c>
      <c r="D1039" t="s">
        <v>21</v>
      </c>
      <c r="E1039" t="s">
        <v>1514</v>
      </c>
      <c r="F1039" t="s">
        <v>985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f t="shared" si="16"/>
        <v>7</v>
      </c>
      <c r="O1039" t="str">
        <f>IF(AND($A1039=Dashboard!$B$3,$B1039=Dashboard!$G$3,$D1039&lt;&gt;"NO_SERVICE"),ROW(),"")</f>
        <v/>
      </c>
    </row>
    <row r="1040" spans="1:15" x14ac:dyDescent="0.25">
      <c r="A1040" t="s">
        <v>154</v>
      </c>
      <c r="B1040" t="s">
        <v>4</v>
      </c>
      <c r="C1040" t="s">
        <v>1491</v>
      </c>
      <c r="D1040" t="s">
        <v>21</v>
      </c>
      <c r="E1040" t="s">
        <v>1515</v>
      </c>
      <c r="F1040" t="s">
        <v>131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f t="shared" si="16"/>
        <v>7</v>
      </c>
      <c r="O1040" t="str">
        <f>IF(AND($A1040=Dashboard!$B$3,$B1040=Dashboard!$G$3,$D1040&lt;&gt;"NO_SERVICE"),ROW(),"")</f>
        <v/>
      </c>
    </row>
    <row r="1041" spans="1:15" x14ac:dyDescent="0.25">
      <c r="A1041" t="s">
        <v>154</v>
      </c>
      <c r="B1041" t="s">
        <v>4</v>
      </c>
      <c r="C1041" t="s">
        <v>1491</v>
      </c>
      <c r="D1041" t="s">
        <v>21</v>
      </c>
      <c r="E1041" t="s">
        <v>1516</v>
      </c>
      <c r="F1041" t="s">
        <v>832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f t="shared" si="16"/>
        <v>7</v>
      </c>
      <c r="O1041" t="str">
        <f>IF(AND($A1041=Dashboard!$B$3,$B1041=Dashboard!$G$3,$D1041&lt;&gt;"NO_SERVICE"),ROW(),"")</f>
        <v/>
      </c>
    </row>
    <row r="1042" spans="1:15" x14ac:dyDescent="0.25">
      <c r="A1042" t="s">
        <v>154</v>
      </c>
      <c r="B1042" t="s">
        <v>4</v>
      </c>
      <c r="C1042" t="s">
        <v>1491</v>
      </c>
      <c r="D1042" t="s">
        <v>21</v>
      </c>
      <c r="E1042" t="s">
        <v>1517</v>
      </c>
      <c r="F1042" t="s">
        <v>411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f t="shared" si="16"/>
        <v>1</v>
      </c>
      <c r="O1042" t="str">
        <f>IF(AND($A1042=Dashboard!$B$3,$B1042=Dashboard!$G$3,$D1042&lt;&gt;"NO_SERVICE"),ROW(),"")</f>
        <v/>
      </c>
    </row>
    <row r="1043" spans="1:15" x14ac:dyDescent="0.25">
      <c r="A1043" t="s">
        <v>154</v>
      </c>
      <c r="B1043" t="s">
        <v>4</v>
      </c>
      <c r="C1043" t="s">
        <v>1491</v>
      </c>
      <c r="D1043" t="s">
        <v>21</v>
      </c>
      <c r="E1043" t="s">
        <v>1518</v>
      </c>
      <c r="F1043" t="s">
        <v>411</v>
      </c>
      <c r="G1043">
        <v>1</v>
      </c>
      <c r="H1043">
        <v>1</v>
      </c>
      <c r="I1043">
        <v>1</v>
      </c>
      <c r="J1043">
        <v>1</v>
      </c>
      <c r="K1043">
        <v>0</v>
      </c>
      <c r="L1043">
        <v>0</v>
      </c>
      <c r="M1043">
        <v>0</v>
      </c>
      <c r="N1043">
        <f t="shared" si="16"/>
        <v>4</v>
      </c>
      <c r="O1043" t="str">
        <f>IF(AND($A1043=Dashboard!$B$3,$B1043=Dashboard!$G$3,$D1043&lt;&gt;"NO_SERVICE"),ROW(),"")</f>
        <v/>
      </c>
    </row>
    <row r="1044" spans="1:15" x14ac:dyDescent="0.25">
      <c r="A1044" t="s">
        <v>154</v>
      </c>
      <c r="B1044" t="s">
        <v>4</v>
      </c>
      <c r="C1044" t="s">
        <v>1491</v>
      </c>
      <c r="D1044" t="s">
        <v>21</v>
      </c>
      <c r="E1044" t="s">
        <v>1519</v>
      </c>
      <c r="F1044" t="s">
        <v>801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f t="shared" si="16"/>
        <v>7</v>
      </c>
      <c r="O1044" t="str">
        <f>IF(AND($A1044=Dashboard!$B$3,$B1044=Dashboard!$G$3,$D1044&lt;&gt;"NO_SERVICE"),ROW(),"")</f>
        <v/>
      </c>
    </row>
    <row r="1045" spans="1:15" x14ac:dyDescent="0.25">
      <c r="A1045" t="s">
        <v>154</v>
      </c>
      <c r="B1045" t="s">
        <v>4</v>
      </c>
      <c r="C1045" t="s">
        <v>1491</v>
      </c>
      <c r="D1045" t="s">
        <v>21</v>
      </c>
      <c r="E1045" t="s">
        <v>1520</v>
      </c>
      <c r="F1045" t="s">
        <v>711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f t="shared" si="16"/>
        <v>7</v>
      </c>
      <c r="O1045" t="str">
        <f>IF(AND($A1045=Dashboard!$B$3,$B1045=Dashboard!$G$3,$D1045&lt;&gt;"NO_SERVICE"),ROW(),"")</f>
        <v/>
      </c>
    </row>
    <row r="1046" spans="1:15" x14ac:dyDescent="0.25">
      <c r="A1046" t="s">
        <v>154</v>
      </c>
      <c r="B1046" t="s">
        <v>4</v>
      </c>
      <c r="C1046" t="s">
        <v>1491</v>
      </c>
      <c r="D1046" t="s">
        <v>21</v>
      </c>
      <c r="E1046" t="s">
        <v>1521</v>
      </c>
      <c r="F1046" t="s">
        <v>364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f t="shared" si="16"/>
        <v>7</v>
      </c>
      <c r="O1046" t="str">
        <f>IF(AND($A1046=Dashboard!$B$3,$B1046=Dashboard!$G$3,$D1046&lt;&gt;"NO_SERVICE"),ROW(),"")</f>
        <v/>
      </c>
    </row>
    <row r="1047" spans="1:15" x14ac:dyDescent="0.25">
      <c r="A1047" t="s">
        <v>154</v>
      </c>
      <c r="B1047" t="s">
        <v>4</v>
      </c>
      <c r="C1047" t="s">
        <v>1491</v>
      </c>
      <c r="D1047" t="s">
        <v>21</v>
      </c>
      <c r="E1047" t="s">
        <v>1522</v>
      </c>
      <c r="F1047" t="s">
        <v>413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f t="shared" si="16"/>
        <v>7</v>
      </c>
      <c r="O1047" t="str">
        <f>IF(AND($A1047=Dashboard!$B$3,$B1047=Dashboard!$G$3,$D1047&lt;&gt;"NO_SERVICE"),ROW(),"")</f>
        <v/>
      </c>
    </row>
    <row r="1048" spans="1:15" x14ac:dyDescent="0.25">
      <c r="A1048" t="s">
        <v>154</v>
      </c>
      <c r="B1048" t="s">
        <v>4</v>
      </c>
      <c r="C1048" t="s">
        <v>1491</v>
      </c>
      <c r="D1048" t="s">
        <v>21</v>
      </c>
      <c r="E1048" t="s">
        <v>1523</v>
      </c>
      <c r="F1048" t="s">
        <v>221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f t="shared" si="16"/>
        <v>7</v>
      </c>
      <c r="O1048" t="str">
        <f>IF(AND($A1048=Dashboard!$B$3,$B1048=Dashboard!$G$3,$D1048&lt;&gt;"NO_SERVICE"),ROW(),"")</f>
        <v/>
      </c>
    </row>
    <row r="1049" spans="1:15" x14ac:dyDescent="0.25">
      <c r="A1049" t="s">
        <v>154</v>
      </c>
      <c r="B1049" t="s">
        <v>4</v>
      </c>
      <c r="C1049" t="s">
        <v>1491</v>
      </c>
      <c r="D1049" t="s">
        <v>21</v>
      </c>
      <c r="E1049" t="s">
        <v>1524</v>
      </c>
      <c r="F1049" t="s">
        <v>674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f t="shared" si="16"/>
        <v>7</v>
      </c>
      <c r="O1049" t="str">
        <f>IF(AND($A1049=Dashboard!$B$3,$B1049=Dashboard!$G$3,$D1049&lt;&gt;"NO_SERVICE"),ROW(),"")</f>
        <v/>
      </c>
    </row>
    <row r="1050" spans="1:15" x14ac:dyDescent="0.25">
      <c r="A1050" t="s">
        <v>154</v>
      </c>
      <c r="B1050" t="s">
        <v>4</v>
      </c>
      <c r="C1050" t="s">
        <v>1491</v>
      </c>
      <c r="D1050" t="s">
        <v>21</v>
      </c>
      <c r="E1050" t="s">
        <v>1525</v>
      </c>
      <c r="F1050" t="s">
        <v>295</v>
      </c>
      <c r="G1050">
        <v>1</v>
      </c>
      <c r="H1050">
        <v>1</v>
      </c>
      <c r="I1050">
        <v>1</v>
      </c>
      <c r="J1050">
        <v>0</v>
      </c>
      <c r="K1050">
        <v>1</v>
      </c>
      <c r="L1050">
        <v>0</v>
      </c>
      <c r="M1050">
        <v>1</v>
      </c>
      <c r="N1050">
        <f t="shared" si="16"/>
        <v>5</v>
      </c>
      <c r="O1050" t="str">
        <f>IF(AND($A1050=Dashboard!$B$3,$B1050=Dashboard!$G$3,$D1050&lt;&gt;"NO_SERVICE"),ROW(),"")</f>
        <v/>
      </c>
    </row>
    <row r="1051" spans="1:15" x14ac:dyDescent="0.25">
      <c r="A1051" t="s">
        <v>154</v>
      </c>
      <c r="B1051" t="s">
        <v>4</v>
      </c>
      <c r="C1051" t="s">
        <v>1491</v>
      </c>
      <c r="D1051" t="s">
        <v>21</v>
      </c>
      <c r="E1051" t="s">
        <v>1526</v>
      </c>
      <c r="F1051" t="s">
        <v>295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f t="shared" si="16"/>
        <v>1</v>
      </c>
      <c r="O1051" t="str">
        <f>IF(AND($A1051=Dashboard!$B$3,$B1051=Dashboard!$G$3,$D1051&lt;&gt;"NO_SERVICE"),ROW(),"")</f>
        <v/>
      </c>
    </row>
    <row r="1052" spans="1:15" x14ac:dyDescent="0.25">
      <c r="A1052" t="s">
        <v>154</v>
      </c>
      <c r="B1052" t="s">
        <v>4</v>
      </c>
      <c r="C1052" t="s">
        <v>1491</v>
      </c>
      <c r="D1052" t="s">
        <v>21</v>
      </c>
      <c r="E1052" t="s">
        <v>1527</v>
      </c>
      <c r="F1052" t="s">
        <v>1021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f t="shared" si="16"/>
        <v>7</v>
      </c>
      <c r="O1052" t="str">
        <f>IF(AND($A1052=Dashboard!$B$3,$B1052=Dashboard!$G$3,$D1052&lt;&gt;"NO_SERVICE"),ROW(),"")</f>
        <v/>
      </c>
    </row>
    <row r="1053" spans="1:15" x14ac:dyDescent="0.25">
      <c r="A1053" t="s">
        <v>154</v>
      </c>
      <c r="B1053" t="s">
        <v>4</v>
      </c>
      <c r="C1053" t="s">
        <v>1491</v>
      </c>
      <c r="D1053" t="s">
        <v>21</v>
      </c>
      <c r="E1053" t="s">
        <v>1528</v>
      </c>
      <c r="F1053" t="s">
        <v>1376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f t="shared" si="16"/>
        <v>7</v>
      </c>
      <c r="O1053" t="str">
        <f>IF(AND($A1053=Dashboard!$B$3,$B1053=Dashboard!$G$3,$D1053&lt;&gt;"NO_SERVICE"),ROW(),"")</f>
        <v/>
      </c>
    </row>
    <row r="1054" spans="1:15" x14ac:dyDescent="0.25">
      <c r="A1054" t="s">
        <v>154</v>
      </c>
      <c r="B1054" t="s">
        <v>4</v>
      </c>
      <c r="C1054" t="s">
        <v>1491</v>
      </c>
      <c r="D1054" t="s">
        <v>21</v>
      </c>
      <c r="E1054" t="s">
        <v>1529</v>
      </c>
      <c r="F1054" t="s">
        <v>1108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f t="shared" si="16"/>
        <v>7</v>
      </c>
      <c r="O1054" t="str">
        <f>IF(AND($A1054=Dashboard!$B$3,$B1054=Dashboard!$G$3,$D1054&lt;&gt;"NO_SERVICE"),ROW(),"")</f>
        <v/>
      </c>
    </row>
    <row r="1055" spans="1:15" x14ac:dyDescent="0.25">
      <c r="A1055" t="s">
        <v>154</v>
      </c>
      <c r="B1055" t="s">
        <v>4</v>
      </c>
      <c r="C1055" t="s">
        <v>1491</v>
      </c>
      <c r="D1055" t="s">
        <v>26</v>
      </c>
      <c r="E1055" t="s">
        <v>1530</v>
      </c>
      <c r="F1055" t="s">
        <v>1531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f t="shared" si="16"/>
        <v>7</v>
      </c>
      <c r="O1055" t="str">
        <f>IF(AND($A1055=Dashboard!$B$3,$B1055=Dashboard!$G$3,$D1055&lt;&gt;"NO_SERVICE"),ROW(),"")</f>
        <v/>
      </c>
    </row>
    <row r="1056" spans="1:15" x14ac:dyDescent="0.25">
      <c r="A1056" t="s">
        <v>154</v>
      </c>
      <c r="B1056" t="s">
        <v>4</v>
      </c>
      <c r="C1056" t="s">
        <v>1491</v>
      </c>
      <c r="D1056" t="s">
        <v>26</v>
      </c>
      <c r="E1056" t="s">
        <v>1532</v>
      </c>
      <c r="F1056" t="s">
        <v>395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f t="shared" si="16"/>
        <v>7</v>
      </c>
      <c r="O1056" t="str">
        <f>IF(AND($A1056=Dashboard!$B$3,$B1056=Dashboard!$G$3,$D1056&lt;&gt;"NO_SERVICE"),ROW(),"")</f>
        <v/>
      </c>
    </row>
    <row r="1057" spans="1:15" x14ac:dyDescent="0.25">
      <c r="A1057" t="s">
        <v>154</v>
      </c>
      <c r="B1057" t="s">
        <v>4</v>
      </c>
      <c r="C1057" t="s">
        <v>1491</v>
      </c>
      <c r="D1057" t="s">
        <v>26</v>
      </c>
      <c r="E1057" t="s">
        <v>1533</v>
      </c>
      <c r="F1057" t="s">
        <v>66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f t="shared" si="16"/>
        <v>7</v>
      </c>
      <c r="O1057" t="str">
        <f>IF(AND($A1057=Dashboard!$B$3,$B1057=Dashboard!$G$3,$D1057&lt;&gt;"NO_SERVICE"),ROW(),"")</f>
        <v/>
      </c>
    </row>
    <row r="1058" spans="1:15" x14ac:dyDescent="0.25">
      <c r="A1058" t="s">
        <v>154</v>
      </c>
      <c r="B1058" t="s">
        <v>4</v>
      </c>
      <c r="C1058" t="s">
        <v>1491</v>
      </c>
      <c r="D1058" t="s">
        <v>26</v>
      </c>
      <c r="E1058" t="s">
        <v>1534</v>
      </c>
      <c r="F1058" t="s">
        <v>170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f t="shared" si="16"/>
        <v>7</v>
      </c>
      <c r="O1058" t="str">
        <f>IF(AND($A1058=Dashboard!$B$3,$B1058=Dashboard!$G$3,$D1058&lt;&gt;"NO_SERVICE"),ROW(),"")</f>
        <v/>
      </c>
    </row>
    <row r="1059" spans="1:15" x14ac:dyDescent="0.25">
      <c r="A1059" t="s">
        <v>154</v>
      </c>
      <c r="B1059" t="s">
        <v>4</v>
      </c>
      <c r="C1059" t="s">
        <v>1491</v>
      </c>
      <c r="D1059" t="s">
        <v>26</v>
      </c>
      <c r="E1059" t="s">
        <v>1535</v>
      </c>
      <c r="F1059" t="s">
        <v>188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f t="shared" si="16"/>
        <v>7</v>
      </c>
      <c r="O1059" t="str">
        <f>IF(AND($A1059=Dashboard!$B$3,$B1059=Dashboard!$G$3,$D1059&lt;&gt;"NO_SERVICE"),ROW(),"")</f>
        <v/>
      </c>
    </row>
    <row r="1060" spans="1:15" x14ac:dyDescent="0.25">
      <c r="A1060" t="s">
        <v>154</v>
      </c>
      <c r="B1060" t="s">
        <v>4</v>
      </c>
      <c r="C1060" t="s">
        <v>1491</v>
      </c>
      <c r="D1060" t="s">
        <v>26</v>
      </c>
      <c r="E1060" t="s">
        <v>1536</v>
      </c>
      <c r="F1060" t="s">
        <v>419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f t="shared" si="16"/>
        <v>1</v>
      </c>
      <c r="O1060" t="str">
        <f>IF(AND($A1060=Dashboard!$B$3,$B1060=Dashboard!$G$3,$D1060&lt;&gt;"NO_SERVICE"),ROW(),"")</f>
        <v/>
      </c>
    </row>
    <row r="1061" spans="1:15" x14ac:dyDescent="0.25">
      <c r="A1061" t="s">
        <v>154</v>
      </c>
      <c r="B1061" t="s">
        <v>4</v>
      </c>
      <c r="C1061" t="s">
        <v>1491</v>
      </c>
      <c r="D1061" t="s">
        <v>21</v>
      </c>
      <c r="E1061" t="s">
        <v>1537</v>
      </c>
      <c r="F1061" t="s">
        <v>395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f t="shared" si="16"/>
        <v>7</v>
      </c>
      <c r="O1061" t="str">
        <f>IF(AND($A1061=Dashboard!$B$3,$B1061=Dashboard!$G$3,$D1061&lt;&gt;"NO_SERVICE"),ROW(),"")</f>
        <v/>
      </c>
    </row>
    <row r="1062" spans="1:15" x14ac:dyDescent="0.25">
      <c r="A1062" t="s">
        <v>154</v>
      </c>
      <c r="B1062" t="s">
        <v>4</v>
      </c>
      <c r="C1062" t="s">
        <v>1491</v>
      </c>
      <c r="D1062" t="s">
        <v>21</v>
      </c>
      <c r="E1062" t="s">
        <v>1538</v>
      </c>
      <c r="F1062" t="s">
        <v>1332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f t="shared" si="16"/>
        <v>7</v>
      </c>
      <c r="O1062" t="str">
        <f>IF(AND($A1062=Dashboard!$B$3,$B1062=Dashboard!$G$3,$D1062&lt;&gt;"NO_SERVICE"),ROW(),"")</f>
        <v/>
      </c>
    </row>
    <row r="1063" spans="1:15" x14ac:dyDescent="0.25">
      <c r="A1063" t="s">
        <v>154</v>
      </c>
      <c r="B1063" t="s">
        <v>904</v>
      </c>
      <c r="C1063" t="s">
        <v>1539</v>
      </c>
      <c r="D1063" t="s">
        <v>24</v>
      </c>
      <c r="E1063" t="s">
        <v>1540</v>
      </c>
      <c r="F1063" t="s">
        <v>1197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f t="shared" si="16"/>
        <v>7</v>
      </c>
      <c r="O1063" t="str">
        <f>IF(AND($A1063=Dashboard!$B$3,$B1063=Dashboard!$G$3,$D1063&lt;&gt;"NO_SERVICE"),ROW(),"")</f>
        <v/>
      </c>
    </row>
    <row r="1064" spans="1:15" x14ac:dyDescent="0.25">
      <c r="A1064" t="s">
        <v>154</v>
      </c>
      <c r="B1064" t="s">
        <v>904</v>
      </c>
      <c r="C1064" t="s">
        <v>1539</v>
      </c>
      <c r="D1064" t="s">
        <v>24</v>
      </c>
      <c r="E1064" t="s">
        <v>1541</v>
      </c>
      <c r="F1064" t="s">
        <v>94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f t="shared" si="16"/>
        <v>7</v>
      </c>
      <c r="O1064" t="str">
        <f>IF(AND($A1064=Dashboard!$B$3,$B1064=Dashboard!$G$3,$D1064&lt;&gt;"NO_SERVICE"),ROW(),"")</f>
        <v/>
      </c>
    </row>
    <row r="1065" spans="1:15" x14ac:dyDescent="0.25">
      <c r="A1065" t="s">
        <v>154</v>
      </c>
      <c r="B1065" t="s">
        <v>904</v>
      </c>
      <c r="C1065" t="s">
        <v>1539</v>
      </c>
      <c r="D1065" t="s">
        <v>24</v>
      </c>
      <c r="E1065" t="s">
        <v>1542</v>
      </c>
      <c r="F1065" t="s">
        <v>476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f t="shared" si="16"/>
        <v>7</v>
      </c>
      <c r="O1065" t="str">
        <f>IF(AND($A1065=Dashboard!$B$3,$B1065=Dashboard!$G$3,$D1065&lt;&gt;"NO_SERVICE"),ROW(),"")</f>
        <v/>
      </c>
    </row>
    <row r="1066" spans="1:15" x14ac:dyDescent="0.25">
      <c r="A1066" t="s">
        <v>154</v>
      </c>
      <c r="B1066" t="s">
        <v>904</v>
      </c>
      <c r="C1066" t="s">
        <v>1539</v>
      </c>
      <c r="D1066" t="s">
        <v>24</v>
      </c>
      <c r="E1066" t="s">
        <v>1543</v>
      </c>
      <c r="F1066" t="s">
        <v>836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f t="shared" si="16"/>
        <v>7</v>
      </c>
      <c r="O1066" t="str">
        <f>IF(AND($A1066=Dashboard!$B$3,$B1066=Dashboard!$G$3,$D1066&lt;&gt;"NO_SERVICE"),ROW(),"")</f>
        <v/>
      </c>
    </row>
    <row r="1067" spans="1:15" x14ac:dyDescent="0.25">
      <c r="A1067" t="s">
        <v>154</v>
      </c>
      <c r="B1067" t="s">
        <v>904</v>
      </c>
      <c r="C1067" t="s">
        <v>1539</v>
      </c>
      <c r="D1067" t="s">
        <v>24</v>
      </c>
      <c r="E1067" t="s">
        <v>1544</v>
      </c>
      <c r="F1067" t="s">
        <v>682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f t="shared" si="16"/>
        <v>7</v>
      </c>
      <c r="O1067" t="str">
        <f>IF(AND($A1067=Dashboard!$B$3,$B1067=Dashboard!$G$3,$D1067&lt;&gt;"NO_SERVICE"),ROW(),"")</f>
        <v/>
      </c>
    </row>
    <row r="1068" spans="1:15" x14ac:dyDescent="0.25">
      <c r="A1068" t="s">
        <v>154</v>
      </c>
      <c r="B1068" t="s">
        <v>904</v>
      </c>
      <c r="C1068" t="s">
        <v>1539</v>
      </c>
      <c r="D1068" t="s">
        <v>24</v>
      </c>
      <c r="E1068" t="s">
        <v>1545</v>
      </c>
      <c r="F1068" t="s">
        <v>1546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f t="shared" si="16"/>
        <v>1</v>
      </c>
      <c r="O1068" t="str">
        <f>IF(AND($A1068=Dashboard!$B$3,$B1068=Dashboard!$G$3,$D1068&lt;&gt;"NO_SERVICE"),ROW(),"")</f>
        <v/>
      </c>
    </row>
    <row r="1069" spans="1:15" x14ac:dyDescent="0.25">
      <c r="A1069" t="s">
        <v>154</v>
      </c>
      <c r="B1069" t="s">
        <v>904</v>
      </c>
      <c r="C1069" t="s">
        <v>1539</v>
      </c>
      <c r="D1069" t="s">
        <v>24</v>
      </c>
      <c r="E1069" t="s">
        <v>1547</v>
      </c>
      <c r="F1069" t="s">
        <v>413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f t="shared" si="16"/>
        <v>7</v>
      </c>
      <c r="O1069" t="str">
        <f>IF(AND($A1069=Dashboard!$B$3,$B1069=Dashboard!$G$3,$D1069&lt;&gt;"NO_SERVICE"),ROW(),"")</f>
        <v/>
      </c>
    </row>
    <row r="1070" spans="1:15" x14ac:dyDescent="0.25">
      <c r="A1070" t="s">
        <v>154</v>
      </c>
      <c r="B1070" t="s">
        <v>904</v>
      </c>
      <c r="C1070" t="s">
        <v>1539</v>
      </c>
      <c r="D1070" t="s">
        <v>24</v>
      </c>
      <c r="E1070" t="s">
        <v>1548</v>
      </c>
      <c r="F1070" t="s">
        <v>419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f t="shared" si="16"/>
        <v>7</v>
      </c>
      <c r="O1070" t="str">
        <f>IF(AND($A1070=Dashboard!$B$3,$B1070=Dashboard!$G$3,$D1070&lt;&gt;"NO_SERVICE"),ROW(),"")</f>
        <v/>
      </c>
    </row>
    <row r="1071" spans="1:15" x14ac:dyDescent="0.25">
      <c r="A1071" t="s">
        <v>154</v>
      </c>
      <c r="B1071" t="s">
        <v>904</v>
      </c>
      <c r="C1071" t="s">
        <v>1539</v>
      </c>
      <c r="D1071" t="s">
        <v>24</v>
      </c>
      <c r="E1071" t="s">
        <v>1549</v>
      </c>
      <c r="F1071" t="s">
        <v>742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f t="shared" si="16"/>
        <v>7</v>
      </c>
      <c r="O1071" t="str">
        <f>IF(AND($A1071=Dashboard!$B$3,$B1071=Dashboard!$G$3,$D1071&lt;&gt;"NO_SERVICE"),ROW(),"")</f>
        <v/>
      </c>
    </row>
    <row r="1072" spans="1:15" x14ac:dyDescent="0.25">
      <c r="A1072" t="s">
        <v>154</v>
      </c>
      <c r="B1072" t="s">
        <v>904</v>
      </c>
      <c r="C1072" t="s">
        <v>1539</v>
      </c>
      <c r="D1072" t="s">
        <v>24</v>
      </c>
      <c r="E1072" t="s">
        <v>1550</v>
      </c>
      <c r="F1072" t="s">
        <v>1207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f t="shared" si="16"/>
        <v>7</v>
      </c>
      <c r="O1072" t="str">
        <f>IF(AND($A1072=Dashboard!$B$3,$B1072=Dashboard!$G$3,$D1072&lt;&gt;"NO_SERVICE"),ROW(),"")</f>
        <v/>
      </c>
    </row>
    <row r="1073" spans="1:15" x14ac:dyDescent="0.25">
      <c r="A1073" t="s">
        <v>154</v>
      </c>
      <c r="B1073" t="s">
        <v>904</v>
      </c>
      <c r="C1073" t="s">
        <v>1539</v>
      </c>
      <c r="D1073" t="s">
        <v>21</v>
      </c>
      <c r="E1073" t="s">
        <v>1551</v>
      </c>
      <c r="F1073" t="s">
        <v>746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f t="shared" si="16"/>
        <v>7</v>
      </c>
      <c r="O1073" t="str">
        <f>IF(AND($A1073=Dashboard!$B$3,$B1073=Dashboard!$G$3,$D1073&lt;&gt;"NO_SERVICE"),ROW(),"")</f>
        <v/>
      </c>
    </row>
    <row r="1074" spans="1:15" x14ac:dyDescent="0.25">
      <c r="A1074" t="s">
        <v>154</v>
      </c>
      <c r="B1074" t="s">
        <v>904</v>
      </c>
      <c r="C1074" t="s">
        <v>1539</v>
      </c>
      <c r="D1074" t="s">
        <v>21</v>
      </c>
      <c r="E1074" t="s">
        <v>1552</v>
      </c>
      <c r="F1074" t="s">
        <v>1405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f t="shared" si="16"/>
        <v>7</v>
      </c>
      <c r="O1074" t="str">
        <f>IF(AND($A1074=Dashboard!$B$3,$B1074=Dashboard!$G$3,$D1074&lt;&gt;"NO_SERVICE"),ROW(),"")</f>
        <v/>
      </c>
    </row>
    <row r="1075" spans="1:15" x14ac:dyDescent="0.25">
      <c r="A1075" t="s">
        <v>154</v>
      </c>
      <c r="B1075" t="s">
        <v>904</v>
      </c>
      <c r="C1075" t="s">
        <v>1539</v>
      </c>
      <c r="D1075" t="s">
        <v>21</v>
      </c>
      <c r="E1075" t="s">
        <v>1553</v>
      </c>
      <c r="F1075" t="s">
        <v>56</v>
      </c>
      <c r="G1075">
        <v>0</v>
      </c>
      <c r="H1075">
        <v>0</v>
      </c>
      <c r="I1075">
        <v>0</v>
      </c>
      <c r="J1075">
        <v>1</v>
      </c>
      <c r="K1075">
        <v>1</v>
      </c>
      <c r="L1075">
        <v>1</v>
      </c>
      <c r="M1075">
        <v>1</v>
      </c>
      <c r="N1075">
        <f t="shared" si="16"/>
        <v>4</v>
      </c>
      <c r="O1075" t="str">
        <f>IF(AND($A1075=Dashboard!$B$3,$B1075=Dashboard!$G$3,$D1075&lt;&gt;"NO_SERVICE"),ROW(),"")</f>
        <v/>
      </c>
    </row>
    <row r="1076" spans="1:15" x14ac:dyDescent="0.25">
      <c r="A1076" t="s">
        <v>154</v>
      </c>
      <c r="B1076" t="s">
        <v>904</v>
      </c>
      <c r="C1076" t="s">
        <v>1539</v>
      </c>
      <c r="D1076" t="s">
        <v>21</v>
      </c>
      <c r="E1076" t="s">
        <v>1553</v>
      </c>
      <c r="F1076" t="s">
        <v>711</v>
      </c>
      <c r="G1076">
        <v>1</v>
      </c>
      <c r="H1076">
        <v>1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f t="shared" si="16"/>
        <v>3</v>
      </c>
      <c r="O1076" t="str">
        <f>IF(AND($A1076=Dashboard!$B$3,$B1076=Dashboard!$G$3,$D1076&lt;&gt;"NO_SERVICE"),ROW(),"")</f>
        <v/>
      </c>
    </row>
    <row r="1077" spans="1:15" x14ac:dyDescent="0.25">
      <c r="A1077" t="s">
        <v>154</v>
      </c>
      <c r="B1077" t="s">
        <v>904</v>
      </c>
      <c r="C1077" t="s">
        <v>1539</v>
      </c>
      <c r="D1077" t="s">
        <v>21</v>
      </c>
      <c r="E1077" t="s">
        <v>987</v>
      </c>
      <c r="F1077" t="s">
        <v>376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f t="shared" si="16"/>
        <v>7</v>
      </c>
      <c r="O1077" t="str">
        <f>IF(AND($A1077=Dashboard!$B$3,$B1077=Dashboard!$G$3,$D1077&lt;&gt;"NO_SERVICE"),ROW(),"")</f>
        <v/>
      </c>
    </row>
    <row r="1078" spans="1:15" x14ac:dyDescent="0.25">
      <c r="A1078" t="s">
        <v>154</v>
      </c>
      <c r="B1078" t="s">
        <v>904</v>
      </c>
      <c r="C1078" t="s">
        <v>1539</v>
      </c>
      <c r="D1078" t="s">
        <v>21</v>
      </c>
      <c r="E1078" t="s">
        <v>1554</v>
      </c>
      <c r="F1078" t="s">
        <v>188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f t="shared" si="16"/>
        <v>7</v>
      </c>
      <c r="O1078" t="str">
        <f>IF(AND($A1078=Dashboard!$B$3,$B1078=Dashboard!$G$3,$D1078&lt;&gt;"NO_SERVICE"),ROW(),"")</f>
        <v/>
      </c>
    </row>
    <row r="1079" spans="1:15" x14ac:dyDescent="0.25">
      <c r="A1079" t="s">
        <v>154</v>
      </c>
      <c r="B1079" t="s">
        <v>904</v>
      </c>
      <c r="C1079" t="s">
        <v>1539</v>
      </c>
      <c r="D1079" t="s">
        <v>21</v>
      </c>
      <c r="E1079" t="s">
        <v>1555</v>
      </c>
      <c r="F1079" t="s">
        <v>184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f t="shared" si="16"/>
        <v>7</v>
      </c>
      <c r="O1079" t="str">
        <f>IF(AND($A1079=Dashboard!$B$3,$B1079=Dashboard!$G$3,$D1079&lt;&gt;"NO_SERVICE"),ROW(),"")</f>
        <v/>
      </c>
    </row>
    <row r="1080" spans="1:15" x14ac:dyDescent="0.25">
      <c r="A1080" t="s">
        <v>154</v>
      </c>
      <c r="B1080" t="s">
        <v>1004</v>
      </c>
      <c r="C1080" t="s">
        <v>1556</v>
      </c>
      <c r="D1080" t="s">
        <v>24</v>
      </c>
      <c r="E1080" t="s">
        <v>1557</v>
      </c>
      <c r="F1080" t="s">
        <v>488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f t="shared" si="16"/>
        <v>7</v>
      </c>
      <c r="O1080" t="str">
        <f>IF(AND($A1080=Dashboard!$B$3,$B1080=Dashboard!$G$3,$D1080&lt;&gt;"NO_SERVICE"),ROW(),"")</f>
        <v/>
      </c>
    </row>
    <row r="1081" spans="1:15" x14ac:dyDescent="0.25">
      <c r="A1081" t="s">
        <v>154</v>
      </c>
      <c r="B1081" t="s">
        <v>1004</v>
      </c>
      <c r="C1081" t="s">
        <v>1556</v>
      </c>
      <c r="D1081" t="s">
        <v>24</v>
      </c>
      <c r="E1081" t="s">
        <v>1558</v>
      </c>
      <c r="F1081" t="s">
        <v>484</v>
      </c>
      <c r="G1081">
        <v>1</v>
      </c>
      <c r="H1081">
        <v>0</v>
      </c>
      <c r="I1081">
        <v>1</v>
      </c>
      <c r="J1081">
        <v>0</v>
      </c>
      <c r="K1081">
        <v>1</v>
      </c>
      <c r="L1081">
        <v>0</v>
      </c>
      <c r="M1081">
        <v>0</v>
      </c>
      <c r="N1081">
        <f t="shared" si="16"/>
        <v>3</v>
      </c>
      <c r="O1081" t="str">
        <f>IF(AND($A1081=Dashboard!$B$3,$B1081=Dashboard!$G$3,$D1081&lt;&gt;"NO_SERVICE"),ROW(),"")</f>
        <v/>
      </c>
    </row>
    <row r="1082" spans="1:15" x14ac:dyDescent="0.25">
      <c r="A1082" t="s">
        <v>154</v>
      </c>
      <c r="B1082" t="s">
        <v>1004</v>
      </c>
      <c r="C1082" t="s">
        <v>1556</v>
      </c>
      <c r="D1082" t="s">
        <v>24</v>
      </c>
      <c r="E1082" t="s">
        <v>1558</v>
      </c>
      <c r="F1082" t="s">
        <v>443</v>
      </c>
      <c r="G1082">
        <v>0</v>
      </c>
      <c r="H1082">
        <v>1</v>
      </c>
      <c r="I1082">
        <v>0</v>
      </c>
      <c r="J1082">
        <v>1</v>
      </c>
      <c r="K1082">
        <v>0</v>
      </c>
      <c r="L1082">
        <v>1</v>
      </c>
      <c r="M1082">
        <v>1</v>
      </c>
      <c r="N1082">
        <f t="shared" si="16"/>
        <v>4</v>
      </c>
      <c r="O1082" t="str">
        <f>IF(AND($A1082=Dashboard!$B$3,$B1082=Dashboard!$G$3,$D1082&lt;&gt;"NO_SERVICE"),ROW(),"")</f>
        <v/>
      </c>
    </row>
    <row r="1083" spans="1:15" x14ac:dyDescent="0.25">
      <c r="A1083" t="s">
        <v>154</v>
      </c>
      <c r="B1083" t="s">
        <v>1004</v>
      </c>
      <c r="C1083" t="s">
        <v>1556</v>
      </c>
      <c r="D1083" t="s">
        <v>24</v>
      </c>
      <c r="E1083" t="s">
        <v>1559</v>
      </c>
      <c r="F1083" t="s">
        <v>368</v>
      </c>
      <c r="G1083">
        <v>1</v>
      </c>
      <c r="H1083">
        <v>0</v>
      </c>
      <c r="I1083">
        <v>1</v>
      </c>
      <c r="J1083">
        <v>1</v>
      </c>
      <c r="K1083">
        <v>1</v>
      </c>
      <c r="L1083">
        <v>0</v>
      </c>
      <c r="M1083">
        <v>1</v>
      </c>
      <c r="N1083">
        <f t="shared" si="16"/>
        <v>5</v>
      </c>
      <c r="O1083" t="str">
        <f>IF(AND($A1083=Dashboard!$B$3,$B1083=Dashboard!$G$3,$D1083&lt;&gt;"NO_SERVICE"),ROW(),"")</f>
        <v/>
      </c>
    </row>
    <row r="1084" spans="1:15" x14ac:dyDescent="0.25">
      <c r="A1084" t="s">
        <v>154</v>
      </c>
      <c r="B1084" t="s">
        <v>1004</v>
      </c>
      <c r="C1084" t="s">
        <v>1556</v>
      </c>
      <c r="D1084" t="s">
        <v>24</v>
      </c>
      <c r="E1084" t="s">
        <v>1559</v>
      </c>
      <c r="F1084" t="s">
        <v>1560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f t="shared" si="16"/>
        <v>2</v>
      </c>
      <c r="O1084" t="str">
        <f>IF(AND($A1084=Dashboard!$B$3,$B1084=Dashboard!$G$3,$D1084&lt;&gt;"NO_SERVICE"),ROW(),"")</f>
        <v/>
      </c>
    </row>
    <row r="1085" spans="1:15" x14ac:dyDescent="0.25">
      <c r="A1085" t="s">
        <v>154</v>
      </c>
      <c r="B1085" t="s">
        <v>1004</v>
      </c>
      <c r="C1085" t="s">
        <v>1556</v>
      </c>
      <c r="D1085" t="s">
        <v>24</v>
      </c>
      <c r="E1085" t="s">
        <v>1561</v>
      </c>
      <c r="F1085" t="s">
        <v>165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f t="shared" si="16"/>
        <v>1</v>
      </c>
      <c r="O1085" t="str">
        <f>IF(AND($A1085=Dashboard!$B$3,$B1085=Dashboard!$G$3,$D1085&lt;&gt;"NO_SERVICE"),ROW(),"")</f>
        <v/>
      </c>
    </row>
    <row r="1086" spans="1:15" x14ac:dyDescent="0.25">
      <c r="A1086" t="s">
        <v>154</v>
      </c>
      <c r="B1086" t="s">
        <v>1004</v>
      </c>
      <c r="C1086" t="s">
        <v>1556</v>
      </c>
      <c r="D1086" t="s">
        <v>24</v>
      </c>
      <c r="E1086" t="s">
        <v>1562</v>
      </c>
      <c r="F1086" t="s">
        <v>242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f t="shared" si="16"/>
        <v>7</v>
      </c>
      <c r="O1086" t="str">
        <f>IF(AND($A1086=Dashboard!$B$3,$B1086=Dashboard!$G$3,$D1086&lt;&gt;"NO_SERVICE"),ROW(),"")</f>
        <v/>
      </c>
    </row>
    <row r="1087" spans="1:15" x14ac:dyDescent="0.25">
      <c r="A1087" t="s">
        <v>154</v>
      </c>
      <c r="B1087" t="s">
        <v>1004</v>
      </c>
      <c r="C1087" t="s">
        <v>1556</v>
      </c>
      <c r="D1087" t="s">
        <v>24</v>
      </c>
      <c r="E1087" t="s">
        <v>1563</v>
      </c>
      <c r="F1087" t="s">
        <v>435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f t="shared" si="16"/>
        <v>7</v>
      </c>
      <c r="O1087" t="str">
        <f>IF(AND($A1087=Dashboard!$B$3,$B1087=Dashboard!$G$3,$D1087&lt;&gt;"NO_SERVICE"),ROW(),"")</f>
        <v/>
      </c>
    </row>
    <row r="1088" spans="1:15" x14ac:dyDescent="0.25">
      <c r="A1088" t="s">
        <v>154</v>
      </c>
      <c r="B1088" t="s">
        <v>1004</v>
      </c>
      <c r="C1088" t="s">
        <v>1556</v>
      </c>
      <c r="D1088" t="s">
        <v>24</v>
      </c>
      <c r="E1088" t="s">
        <v>1564</v>
      </c>
      <c r="F1088" t="s">
        <v>62</v>
      </c>
      <c r="G1088">
        <v>1</v>
      </c>
      <c r="H1088">
        <v>1</v>
      </c>
      <c r="I1088">
        <v>0</v>
      </c>
      <c r="J1088">
        <v>1</v>
      </c>
      <c r="K1088">
        <v>0</v>
      </c>
      <c r="L1088">
        <v>1</v>
      </c>
      <c r="M1088">
        <v>0</v>
      </c>
      <c r="N1088">
        <f t="shared" si="16"/>
        <v>4</v>
      </c>
      <c r="O1088" t="str">
        <f>IF(AND($A1088=Dashboard!$B$3,$B1088=Dashboard!$G$3,$D1088&lt;&gt;"NO_SERVICE"),ROW(),"")</f>
        <v/>
      </c>
    </row>
    <row r="1089" spans="1:15" x14ac:dyDescent="0.25">
      <c r="A1089" t="s">
        <v>154</v>
      </c>
      <c r="B1089" t="s">
        <v>1004</v>
      </c>
      <c r="C1089" t="s">
        <v>1556</v>
      </c>
      <c r="D1089" t="s">
        <v>24</v>
      </c>
      <c r="E1089" t="s">
        <v>1565</v>
      </c>
      <c r="F1089" t="s">
        <v>392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f t="shared" si="16"/>
        <v>7</v>
      </c>
      <c r="O1089" t="str">
        <f>IF(AND($A1089=Dashboard!$B$3,$B1089=Dashboard!$G$3,$D1089&lt;&gt;"NO_SERVICE"),ROW(),"")</f>
        <v/>
      </c>
    </row>
    <row r="1090" spans="1:15" x14ac:dyDescent="0.25">
      <c r="A1090" t="s">
        <v>154</v>
      </c>
      <c r="B1090" t="s">
        <v>1004</v>
      </c>
      <c r="C1090" t="s">
        <v>1556</v>
      </c>
      <c r="D1090" t="s">
        <v>24</v>
      </c>
      <c r="E1090" t="s">
        <v>1566</v>
      </c>
      <c r="F1090" t="s">
        <v>974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f t="shared" ref="N1090:N1153" si="17">SUM(G1090:M1090)</f>
        <v>7</v>
      </c>
      <c r="O1090" t="str">
        <f>IF(AND($A1090=Dashboard!$B$3,$B1090=Dashboard!$G$3,$D1090&lt;&gt;"NO_SERVICE"),ROW(),"")</f>
        <v/>
      </c>
    </row>
    <row r="1091" spans="1:15" x14ac:dyDescent="0.25">
      <c r="A1091" t="s">
        <v>154</v>
      </c>
      <c r="B1091" t="s">
        <v>1004</v>
      </c>
      <c r="C1091" t="s">
        <v>1556</v>
      </c>
      <c r="D1091" t="s">
        <v>21</v>
      </c>
      <c r="E1091" t="s">
        <v>1567</v>
      </c>
      <c r="F1091" t="s">
        <v>168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f t="shared" si="17"/>
        <v>7</v>
      </c>
      <c r="O1091" t="str">
        <f>IF(AND($A1091=Dashboard!$B$3,$B1091=Dashboard!$G$3,$D1091&lt;&gt;"NO_SERVICE"),ROW(),"")</f>
        <v/>
      </c>
    </row>
    <row r="1092" spans="1:15" x14ac:dyDescent="0.25">
      <c r="A1092" t="s">
        <v>154</v>
      </c>
      <c r="B1092" t="s">
        <v>1004</v>
      </c>
      <c r="C1092" t="s">
        <v>1556</v>
      </c>
      <c r="D1092" t="s">
        <v>21</v>
      </c>
      <c r="E1092" t="s">
        <v>1568</v>
      </c>
      <c r="F1092" t="s">
        <v>376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f t="shared" si="17"/>
        <v>7</v>
      </c>
      <c r="O1092" t="str">
        <f>IF(AND($A1092=Dashboard!$B$3,$B1092=Dashboard!$G$3,$D1092&lt;&gt;"NO_SERVICE"),ROW(),"")</f>
        <v/>
      </c>
    </row>
    <row r="1093" spans="1:15" x14ac:dyDescent="0.25">
      <c r="A1093" t="s">
        <v>154</v>
      </c>
      <c r="B1093" t="s">
        <v>1004</v>
      </c>
      <c r="C1093" t="s">
        <v>1556</v>
      </c>
      <c r="D1093" t="s">
        <v>21</v>
      </c>
      <c r="E1093" t="s">
        <v>1569</v>
      </c>
      <c r="F1093" t="s">
        <v>147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f t="shared" si="17"/>
        <v>7</v>
      </c>
      <c r="O1093" t="str">
        <f>IF(AND($A1093=Dashboard!$B$3,$B1093=Dashboard!$G$3,$D1093&lt;&gt;"NO_SERVICE"),ROW(),"")</f>
        <v/>
      </c>
    </row>
    <row r="1094" spans="1:15" x14ac:dyDescent="0.25">
      <c r="A1094" t="s">
        <v>154</v>
      </c>
      <c r="B1094" t="s">
        <v>1004</v>
      </c>
      <c r="C1094" t="s">
        <v>1556</v>
      </c>
      <c r="D1094" t="s">
        <v>21</v>
      </c>
      <c r="E1094" t="s">
        <v>1570</v>
      </c>
      <c r="F1094" t="s">
        <v>693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f t="shared" si="17"/>
        <v>7</v>
      </c>
      <c r="O1094" t="str">
        <f>IF(AND($A1094=Dashboard!$B$3,$B1094=Dashboard!$G$3,$D1094&lt;&gt;"NO_SERVICE"),ROW(),"")</f>
        <v/>
      </c>
    </row>
    <row r="1095" spans="1:15" x14ac:dyDescent="0.25">
      <c r="A1095" t="s">
        <v>154</v>
      </c>
      <c r="B1095" t="s">
        <v>1004</v>
      </c>
      <c r="C1095" t="s">
        <v>1556</v>
      </c>
      <c r="D1095" t="s">
        <v>21</v>
      </c>
      <c r="E1095" t="s">
        <v>1571</v>
      </c>
      <c r="F1095" t="s">
        <v>402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f t="shared" si="17"/>
        <v>7</v>
      </c>
      <c r="O1095" t="str">
        <f>IF(AND($A1095=Dashboard!$B$3,$B1095=Dashboard!$G$3,$D1095&lt;&gt;"NO_SERVICE"),ROW(),"")</f>
        <v/>
      </c>
    </row>
    <row r="1096" spans="1:15" x14ac:dyDescent="0.25">
      <c r="A1096" t="s">
        <v>154</v>
      </c>
      <c r="B1096" t="s">
        <v>1079</v>
      </c>
      <c r="C1096" t="s">
        <v>1572</v>
      </c>
      <c r="D1096" t="s">
        <v>24</v>
      </c>
      <c r="E1096" t="s">
        <v>1573</v>
      </c>
      <c r="F1096" t="s">
        <v>1574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f t="shared" si="17"/>
        <v>7</v>
      </c>
      <c r="O1096" t="str">
        <f>IF(AND($A1096=Dashboard!$B$3,$B1096=Dashboard!$G$3,$D1096&lt;&gt;"NO_SERVICE"),ROW(),"")</f>
        <v/>
      </c>
    </row>
    <row r="1097" spans="1:15" x14ac:dyDescent="0.25">
      <c r="A1097" t="s">
        <v>154</v>
      </c>
      <c r="B1097" t="s">
        <v>1079</v>
      </c>
      <c r="C1097" t="s">
        <v>1572</v>
      </c>
      <c r="D1097" t="s">
        <v>24</v>
      </c>
      <c r="E1097" t="s">
        <v>1575</v>
      </c>
      <c r="F1097" t="s">
        <v>1220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f t="shared" si="17"/>
        <v>7</v>
      </c>
      <c r="O1097" t="str">
        <f>IF(AND($A1097=Dashboard!$B$3,$B1097=Dashboard!$G$3,$D1097&lt;&gt;"NO_SERVICE"),ROW(),"")</f>
        <v/>
      </c>
    </row>
    <row r="1098" spans="1:15" x14ac:dyDescent="0.25">
      <c r="A1098" t="s">
        <v>154</v>
      </c>
      <c r="B1098" t="s">
        <v>1079</v>
      </c>
      <c r="C1098" t="s">
        <v>1572</v>
      </c>
      <c r="D1098" t="s">
        <v>24</v>
      </c>
      <c r="E1098" t="s">
        <v>1576</v>
      </c>
      <c r="F1098" t="s">
        <v>480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f t="shared" si="17"/>
        <v>7</v>
      </c>
      <c r="O1098" t="str">
        <f>IF(AND($A1098=Dashboard!$B$3,$B1098=Dashboard!$G$3,$D1098&lt;&gt;"NO_SERVICE"),ROW(),"")</f>
        <v/>
      </c>
    </row>
    <row r="1099" spans="1:15" x14ac:dyDescent="0.25">
      <c r="A1099" t="s">
        <v>154</v>
      </c>
      <c r="B1099" t="s">
        <v>1079</v>
      </c>
      <c r="C1099" t="s">
        <v>1572</v>
      </c>
      <c r="D1099" t="s">
        <v>24</v>
      </c>
      <c r="E1099" t="s">
        <v>287</v>
      </c>
      <c r="F1099" t="s">
        <v>159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0</v>
      </c>
      <c r="M1099">
        <v>1</v>
      </c>
      <c r="N1099">
        <f t="shared" si="17"/>
        <v>6</v>
      </c>
      <c r="O1099" t="str">
        <f>IF(AND($A1099=Dashboard!$B$3,$B1099=Dashboard!$G$3,$D1099&lt;&gt;"NO_SERVICE"),ROW(),"")</f>
        <v/>
      </c>
    </row>
    <row r="1100" spans="1:15" x14ac:dyDescent="0.25">
      <c r="A1100" t="s">
        <v>154</v>
      </c>
      <c r="B1100" t="s">
        <v>1079</v>
      </c>
      <c r="C1100" t="s">
        <v>1572</v>
      </c>
      <c r="D1100" t="s">
        <v>24</v>
      </c>
      <c r="E1100" t="s">
        <v>1577</v>
      </c>
      <c r="F1100" t="s">
        <v>147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f t="shared" si="17"/>
        <v>1</v>
      </c>
      <c r="O1100" t="str">
        <f>IF(AND($A1100=Dashboard!$B$3,$B1100=Dashboard!$G$3,$D1100&lt;&gt;"NO_SERVICE"),ROW(),"")</f>
        <v/>
      </c>
    </row>
    <row r="1101" spans="1:15" x14ac:dyDescent="0.25">
      <c r="A1101" t="s">
        <v>154</v>
      </c>
      <c r="B1101" t="s">
        <v>1079</v>
      </c>
      <c r="C1101" t="s">
        <v>1572</v>
      </c>
      <c r="D1101" t="s">
        <v>24</v>
      </c>
      <c r="E1101" t="s">
        <v>1578</v>
      </c>
      <c r="F1101" t="s">
        <v>390</v>
      </c>
      <c r="G1101">
        <v>1</v>
      </c>
      <c r="H1101">
        <v>0</v>
      </c>
      <c r="I1101">
        <v>1</v>
      </c>
      <c r="J1101">
        <v>0</v>
      </c>
      <c r="K1101">
        <v>1</v>
      </c>
      <c r="L1101">
        <v>0</v>
      </c>
      <c r="M1101">
        <v>1</v>
      </c>
      <c r="N1101">
        <f t="shared" si="17"/>
        <v>4</v>
      </c>
      <c r="O1101" t="str">
        <f>IF(AND($A1101=Dashboard!$B$3,$B1101=Dashboard!$G$3,$D1101&lt;&gt;"NO_SERVICE"),ROW(),"")</f>
        <v/>
      </c>
    </row>
    <row r="1102" spans="1:15" x14ac:dyDescent="0.25">
      <c r="A1102" t="s">
        <v>154</v>
      </c>
      <c r="B1102" t="s">
        <v>1079</v>
      </c>
      <c r="C1102" t="s">
        <v>1572</v>
      </c>
      <c r="D1102" t="s">
        <v>24</v>
      </c>
      <c r="E1102" t="s">
        <v>1579</v>
      </c>
      <c r="F1102" t="s">
        <v>729</v>
      </c>
      <c r="G1102">
        <v>0</v>
      </c>
      <c r="H1102">
        <v>0</v>
      </c>
      <c r="I1102">
        <v>0</v>
      </c>
      <c r="J1102">
        <v>1</v>
      </c>
      <c r="K1102">
        <v>0</v>
      </c>
      <c r="L1102">
        <v>1</v>
      </c>
      <c r="M1102">
        <v>0</v>
      </c>
      <c r="N1102">
        <f t="shared" si="17"/>
        <v>2</v>
      </c>
      <c r="O1102" t="str">
        <f>IF(AND($A1102=Dashboard!$B$3,$B1102=Dashboard!$G$3,$D1102&lt;&gt;"NO_SERVICE"),ROW(),"")</f>
        <v/>
      </c>
    </row>
    <row r="1103" spans="1:15" x14ac:dyDescent="0.25">
      <c r="A1103" t="s">
        <v>154</v>
      </c>
      <c r="B1103" t="s">
        <v>1079</v>
      </c>
      <c r="C1103" t="s">
        <v>1572</v>
      </c>
      <c r="D1103" t="s">
        <v>24</v>
      </c>
      <c r="E1103" t="s">
        <v>1580</v>
      </c>
      <c r="F1103" t="s">
        <v>478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f t="shared" si="17"/>
        <v>2</v>
      </c>
      <c r="O1103" t="str">
        <f>IF(AND($A1103=Dashboard!$B$3,$B1103=Dashboard!$G$3,$D1103&lt;&gt;"NO_SERVICE"),ROW(),"")</f>
        <v/>
      </c>
    </row>
    <row r="1104" spans="1:15" x14ac:dyDescent="0.25">
      <c r="A1104" t="s">
        <v>154</v>
      </c>
      <c r="B1104" t="s">
        <v>1079</v>
      </c>
      <c r="C1104" t="s">
        <v>1572</v>
      </c>
      <c r="D1104" t="s">
        <v>24</v>
      </c>
      <c r="E1104" t="s">
        <v>1581</v>
      </c>
      <c r="F1104" t="s">
        <v>462</v>
      </c>
      <c r="G1104">
        <v>0</v>
      </c>
      <c r="H1104">
        <v>1</v>
      </c>
      <c r="I1104">
        <v>1</v>
      </c>
      <c r="J1104">
        <v>1</v>
      </c>
      <c r="K1104">
        <v>1</v>
      </c>
      <c r="L1104">
        <v>0</v>
      </c>
      <c r="M1104">
        <v>1</v>
      </c>
      <c r="N1104">
        <f t="shared" si="17"/>
        <v>5</v>
      </c>
      <c r="O1104" t="str">
        <f>IF(AND($A1104=Dashboard!$B$3,$B1104=Dashboard!$G$3,$D1104&lt;&gt;"NO_SERVICE"),ROW(),"")</f>
        <v/>
      </c>
    </row>
    <row r="1105" spans="1:15" x14ac:dyDescent="0.25">
      <c r="A1105" t="s">
        <v>154</v>
      </c>
      <c r="B1105" t="s">
        <v>1079</v>
      </c>
      <c r="C1105" t="s">
        <v>1572</v>
      </c>
      <c r="D1105" t="s">
        <v>24</v>
      </c>
      <c r="E1105" t="s">
        <v>1582</v>
      </c>
      <c r="F1105" t="s">
        <v>359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f t="shared" si="17"/>
        <v>7</v>
      </c>
      <c r="O1105" t="str">
        <f>IF(AND($A1105=Dashboard!$B$3,$B1105=Dashboard!$G$3,$D1105&lt;&gt;"NO_SERVICE"),ROW(),"")</f>
        <v/>
      </c>
    </row>
    <row r="1106" spans="1:15" x14ac:dyDescent="0.25">
      <c r="A1106" t="s">
        <v>154</v>
      </c>
      <c r="B1106" t="s">
        <v>1079</v>
      </c>
      <c r="C1106" t="s">
        <v>1572</v>
      </c>
      <c r="D1106" t="s">
        <v>24</v>
      </c>
      <c r="E1106" t="s">
        <v>1583</v>
      </c>
      <c r="F1106" t="s">
        <v>1021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f t="shared" si="17"/>
        <v>7</v>
      </c>
      <c r="O1106" t="str">
        <f>IF(AND($A1106=Dashboard!$B$3,$B1106=Dashboard!$G$3,$D1106&lt;&gt;"NO_SERVICE"),ROW(),"")</f>
        <v/>
      </c>
    </row>
    <row r="1107" spans="1:15" x14ac:dyDescent="0.25">
      <c r="A1107" t="s">
        <v>154</v>
      </c>
      <c r="B1107" t="s">
        <v>1079</v>
      </c>
      <c r="C1107" t="s">
        <v>1572</v>
      </c>
      <c r="D1107" t="s">
        <v>24</v>
      </c>
      <c r="E1107" t="s">
        <v>1584</v>
      </c>
      <c r="F1107" t="s">
        <v>1585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f t="shared" si="17"/>
        <v>7</v>
      </c>
      <c r="O1107" t="str">
        <f>IF(AND($A1107=Dashboard!$B$3,$B1107=Dashboard!$G$3,$D1107&lt;&gt;"NO_SERVICE"),ROW(),"")</f>
        <v/>
      </c>
    </row>
    <row r="1108" spans="1:15" x14ac:dyDescent="0.25">
      <c r="A1108" t="s">
        <v>154</v>
      </c>
      <c r="B1108" t="s">
        <v>1079</v>
      </c>
      <c r="C1108" t="s">
        <v>1572</v>
      </c>
      <c r="D1108" t="s">
        <v>26</v>
      </c>
      <c r="E1108" t="s">
        <v>1586</v>
      </c>
      <c r="F1108" t="s">
        <v>637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f t="shared" si="17"/>
        <v>7</v>
      </c>
      <c r="O1108" t="str">
        <f>IF(AND($A1108=Dashboard!$B$3,$B1108=Dashboard!$G$3,$D1108&lt;&gt;"NO_SERVICE"),ROW(),"")</f>
        <v/>
      </c>
    </row>
    <row r="1109" spans="1:15" x14ac:dyDescent="0.25">
      <c r="A1109" t="s">
        <v>154</v>
      </c>
      <c r="B1109" t="s">
        <v>1079</v>
      </c>
      <c r="C1109" t="s">
        <v>1572</v>
      </c>
      <c r="D1109" t="s">
        <v>26</v>
      </c>
      <c r="E1109" t="s">
        <v>1587</v>
      </c>
      <c r="F1109" t="s">
        <v>424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f t="shared" si="17"/>
        <v>1</v>
      </c>
      <c r="O1109" t="str">
        <f>IF(AND($A1109=Dashboard!$B$3,$B1109=Dashboard!$G$3,$D1109&lt;&gt;"NO_SERVICE"),ROW(),"")</f>
        <v/>
      </c>
    </row>
    <row r="1110" spans="1:15" x14ac:dyDescent="0.25">
      <c r="A1110" t="s">
        <v>154</v>
      </c>
      <c r="B1110" t="s">
        <v>1079</v>
      </c>
      <c r="C1110" t="s">
        <v>1572</v>
      </c>
      <c r="D1110" t="s">
        <v>26</v>
      </c>
      <c r="E1110" t="s">
        <v>1588</v>
      </c>
      <c r="F1110" t="s">
        <v>430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0</v>
      </c>
      <c r="M1110">
        <v>1</v>
      </c>
      <c r="N1110">
        <f t="shared" si="17"/>
        <v>6</v>
      </c>
      <c r="O1110" t="str">
        <f>IF(AND($A1110=Dashboard!$B$3,$B1110=Dashboard!$G$3,$D1110&lt;&gt;"NO_SERVICE"),ROW(),"")</f>
        <v/>
      </c>
    </row>
    <row r="1111" spans="1:15" x14ac:dyDescent="0.25">
      <c r="A1111" t="s">
        <v>154</v>
      </c>
      <c r="B1111" t="s">
        <v>1079</v>
      </c>
      <c r="C1111" t="s">
        <v>1572</v>
      </c>
      <c r="D1111" t="s">
        <v>26</v>
      </c>
      <c r="E1111" t="s">
        <v>1589</v>
      </c>
      <c r="F1111" t="s">
        <v>678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0</v>
      </c>
      <c r="M1111">
        <v>1</v>
      </c>
      <c r="N1111">
        <f t="shared" si="17"/>
        <v>6</v>
      </c>
      <c r="O1111" t="str">
        <f>IF(AND($A1111=Dashboard!$B$3,$B1111=Dashboard!$G$3,$D1111&lt;&gt;"NO_SERVICE"),ROW(),"")</f>
        <v/>
      </c>
    </row>
    <row r="1112" spans="1:15" x14ac:dyDescent="0.25">
      <c r="A1112" t="s">
        <v>154</v>
      </c>
      <c r="B1112" t="s">
        <v>1079</v>
      </c>
      <c r="C1112" t="s">
        <v>1572</v>
      </c>
      <c r="D1112" t="s">
        <v>26</v>
      </c>
      <c r="E1112" t="s">
        <v>1589</v>
      </c>
      <c r="F1112" t="s">
        <v>931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f t="shared" si="17"/>
        <v>1</v>
      </c>
      <c r="O1112" t="str">
        <f>IF(AND($A1112=Dashboard!$B$3,$B1112=Dashboard!$G$3,$D1112&lt;&gt;"NO_SERVICE"),ROW(),"")</f>
        <v/>
      </c>
    </row>
    <row r="1113" spans="1:15" x14ac:dyDescent="0.25">
      <c r="A1113" t="s">
        <v>154</v>
      </c>
      <c r="B1113" t="s">
        <v>1079</v>
      </c>
      <c r="C1113" t="s">
        <v>1572</v>
      </c>
      <c r="D1113" t="s">
        <v>26</v>
      </c>
      <c r="E1113" t="s">
        <v>1590</v>
      </c>
      <c r="F1113" t="s">
        <v>1474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f t="shared" si="17"/>
        <v>7</v>
      </c>
      <c r="O1113" t="str">
        <f>IF(AND($A1113=Dashboard!$B$3,$B1113=Dashboard!$G$3,$D1113&lt;&gt;"NO_SERVICE"),ROW(),"")</f>
        <v/>
      </c>
    </row>
    <row r="1114" spans="1:15" x14ac:dyDescent="0.25">
      <c r="A1114" t="s">
        <v>154</v>
      </c>
      <c r="B1114" t="s">
        <v>1079</v>
      </c>
      <c r="C1114" t="s">
        <v>1572</v>
      </c>
      <c r="D1114" t="s">
        <v>26</v>
      </c>
      <c r="E1114" t="s">
        <v>1591</v>
      </c>
      <c r="F1114" t="s">
        <v>161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f t="shared" si="17"/>
        <v>7</v>
      </c>
      <c r="O1114" t="str">
        <f>IF(AND($A1114=Dashboard!$B$3,$B1114=Dashboard!$G$3,$D1114&lt;&gt;"NO_SERVICE"),ROW(),"")</f>
        <v/>
      </c>
    </row>
    <row r="1115" spans="1:15" x14ac:dyDescent="0.25">
      <c r="A1115" t="s">
        <v>154</v>
      </c>
      <c r="B1115" t="s">
        <v>1079</v>
      </c>
      <c r="C1115" t="s">
        <v>1572</v>
      </c>
      <c r="D1115" t="s">
        <v>21</v>
      </c>
      <c r="E1115" t="s">
        <v>1592</v>
      </c>
      <c r="F1115" t="s">
        <v>1085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f t="shared" si="17"/>
        <v>7</v>
      </c>
      <c r="O1115" t="str">
        <f>IF(AND($A1115=Dashboard!$B$3,$B1115=Dashboard!$G$3,$D1115&lt;&gt;"NO_SERVICE"),ROW(),"")</f>
        <v/>
      </c>
    </row>
    <row r="1116" spans="1:15" x14ac:dyDescent="0.25">
      <c r="A1116" t="s">
        <v>154</v>
      </c>
      <c r="B1116" t="s">
        <v>1079</v>
      </c>
      <c r="C1116" t="s">
        <v>1572</v>
      </c>
      <c r="D1116" t="s">
        <v>21</v>
      </c>
      <c r="E1116" t="s">
        <v>1593</v>
      </c>
      <c r="F1116" t="s">
        <v>368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0</v>
      </c>
      <c r="M1116">
        <v>1</v>
      </c>
      <c r="N1116">
        <f t="shared" si="17"/>
        <v>6</v>
      </c>
      <c r="O1116" t="str">
        <f>IF(AND($A1116=Dashboard!$B$3,$B1116=Dashboard!$G$3,$D1116&lt;&gt;"NO_SERVICE"),ROW(),"")</f>
        <v/>
      </c>
    </row>
    <row r="1117" spans="1:15" x14ac:dyDescent="0.25">
      <c r="A1117" t="s">
        <v>154</v>
      </c>
      <c r="B1117" t="s">
        <v>1079</v>
      </c>
      <c r="C1117" t="s">
        <v>1572</v>
      </c>
      <c r="D1117" t="s">
        <v>21</v>
      </c>
      <c r="E1117" t="s">
        <v>1594</v>
      </c>
      <c r="F1117" t="s">
        <v>981</v>
      </c>
      <c r="G1117">
        <v>0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f t="shared" si="17"/>
        <v>6</v>
      </c>
      <c r="O1117" t="str">
        <f>IF(AND($A1117=Dashboard!$B$3,$B1117=Dashboard!$G$3,$D1117&lt;&gt;"NO_SERVICE"),ROW(),"")</f>
        <v/>
      </c>
    </row>
    <row r="1118" spans="1:15" x14ac:dyDescent="0.25">
      <c r="A1118" t="s">
        <v>154</v>
      </c>
      <c r="B1118" t="s">
        <v>1079</v>
      </c>
      <c r="C1118" t="s">
        <v>1572</v>
      </c>
      <c r="D1118" t="s">
        <v>21</v>
      </c>
      <c r="E1118" t="s">
        <v>1594</v>
      </c>
      <c r="F1118" t="s">
        <v>426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f t="shared" si="17"/>
        <v>1</v>
      </c>
      <c r="O1118" t="str">
        <f>IF(AND($A1118=Dashboard!$B$3,$B1118=Dashboard!$G$3,$D1118&lt;&gt;"NO_SERVICE"),ROW(),"")</f>
        <v/>
      </c>
    </row>
    <row r="1119" spans="1:15" x14ac:dyDescent="0.25">
      <c r="A1119" t="s">
        <v>154</v>
      </c>
      <c r="B1119" t="s">
        <v>1079</v>
      </c>
      <c r="C1119" t="s">
        <v>1572</v>
      </c>
      <c r="D1119" t="s">
        <v>21</v>
      </c>
      <c r="E1119" t="s">
        <v>1595</v>
      </c>
      <c r="F1119" t="s">
        <v>974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f t="shared" si="17"/>
        <v>7</v>
      </c>
      <c r="O1119" t="str">
        <f>IF(AND($A1119=Dashboard!$B$3,$B1119=Dashboard!$G$3,$D1119&lt;&gt;"NO_SERVICE"),ROW(),"")</f>
        <v/>
      </c>
    </row>
    <row r="1120" spans="1:15" x14ac:dyDescent="0.25">
      <c r="A1120" t="s">
        <v>541</v>
      </c>
      <c r="B1120" t="s">
        <v>2</v>
      </c>
      <c r="C1120" t="s">
        <v>1596</v>
      </c>
      <c r="D1120" t="s">
        <v>24</v>
      </c>
      <c r="E1120" t="s">
        <v>1597</v>
      </c>
      <c r="F1120" t="s">
        <v>746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f t="shared" si="17"/>
        <v>7</v>
      </c>
      <c r="O1120" t="str">
        <f>IF(AND($A1120=Dashboard!$B$3,$B1120=Dashboard!$G$3,$D1120&lt;&gt;"NO_SERVICE"),ROW(),"")</f>
        <v/>
      </c>
    </row>
    <row r="1121" spans="1:15" x14ac:dyDescent="0.25">
      <c r="A1121" t="s">
        <v>541</v>
      </c>
      <c r="B1121" t="s">
        <v>2</v>
      </c>
      <c r="C1121" t="s">
        <v>1596</v>
      </c>
      <c r="D1121" t="s">
        <v>24</v>
      </c>
      <c r="E1121" t="s">
        <v>1598</v>
      </c>
      <c r="F1121" t="s">
        <v>931</v>
      </c>
      <c r="G1121">
        <v>1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f t="shared" si="17"/>
        <v>2</v>
      </c>
      <c r="O1121" t="str">
        <f>IF(AND($A1121=Dashboard!$B$3,$B1121=Dashboard!$G$3,$D1121&lt;&gt;"NO_SERVICE"),ROW(),"")</f>
        <v/>
      </c>
    </row>
    <row r="1122" spans="1:15" x14ac:dyDescent="0.25">
      <c r="A1122" t="s">
        <v>541</v>
      </c>
      <c r="B1122" t="s">
        <v>2</v>
      </c>
      <c r="C1122" t="s">
        <v>1596</v>
      </c>
      <c r="D1122" t="s">
        <v>24</v>
      </c>
      <c r="E1122" t="s">
        <v>1598</v>
      </c>
      <c r="F1122" t="s">
        <v>204</v>
      </c>
      <c r="G1122">
        <v>0</v>
      </c>
      <c r="H1122">
        <v>1</v>
      </c>
      <c r="I1122">
        <v>1</v>
      </c>
      <c r="J1122">
        <v>1</v>
      </c>
      <c r="K1122">
        <v>0</v>
      </c>
      <c r="L1122">
        <v>1</v>
      </c>
      <c r="M1122">
        <v>1</v>
      </c>
      <c r="N1122">
        <f t="shared" si="17"/>
        <v>5</v>
      </c>
      <c r="O1122" t="str">
        <f>IF(AND($A1122=Dashboard!$B$3,$B1122=Dashboard!$G$3,$D1122&lt;&gt;"NO_SERVICE"),ROW(),"")</f>
        <v/>
      </c>
    </row>
    <row r="1123" spans="1:15" x14ac:dyDescent="0.25">
      <c r="A1123" t="s">
        <v>541</v>
      </c>
      <c r="B1123" t="s">
        <v>2</v>
      </c>
      <c r="C1123" t="s">
        <v>1596</v>
      </c>
      <c r="D1123" t="s">
        <v>24</v>
      </c>
      <c r="E1123" t="s">
        <v>1599</v>
      </c>
      <c r="F1123" t="s">
        <v>580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f t="shared" si="17"/>
        <v>7</v>
      </c>
      <c r="O1123" t="str">
        <f>IF(AND($A1123=Dashboard!$B$3,$B1123=Dashboard!$G$3,$D1123&lt;&gt;"NO_SERVICE"),ROW(),"")</f>
        <v/>
      </c>
    </row>
    <row r="1124" spans="1:15" x14ac:dyDescent="0.25">
      <c r="A1124" t="s">
        <v>541</v>
      </c>
      <c r="B1124" t="s">
        <v>154</v>
      </c>
      <c r="C1124" t="s">
        <v>1600</v>
      </c>
      <c r="D1124" t="s">
        <v>24</v>
      </c>
      <c r="E1124" t="s">
        <v>1601</v>
      </c>
      <c r="F1124" t="s">
        <v>366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f t="shared" si="17"/>
        <v>7</v>
      </c>
      <c r="O1124" t="str">
        <f>IF(AND($A1124=Dashboard!$B$3,$B1124=Dashboard!$G$3,$D1124&lt;&gt;"NO_SERVICE"),ROW(),"")</f>
        <v/>
      </c>
    </row>
    <row r="1125" spans="1:15" x14ac:dyDescent="0.25">
      <c r="A1125" t="s">
        <v>541</v>
      </c>
      <c r="B1125" t="s">
        <v>154</v>
      </c>
      <c r="C1125" t="s">
        <v>1600</v>
      </c>
      <c r="D1125" t="s">
        <v>24</v>
      </c>
      <c r="E1125" t="s">
        <v>1602</v>
      </c>
      <c r="F1125" t="s">
        <v>240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f t="shared" si="17"/>
        <v>7</v>
      </c>
      <c r="O1125" t="str">
        <f>IF(AND($A1125=Dashboard!$B$3,$B1125=Dashboard!$G$3,$D1125&lt;&gt;"NO_SERVICE"),ROW(),"")</f>
        <v/>
      </c>
    </row>
    <row r="1126" spans="1:15" x14ac:dyDescent="0.25">
      <c r="A1126" t="s">
        <v>541</v>
      </c>
      <c r="B1126" t="s">
        <v>154</v>
      </c>
      <c r="C1126" t="s">
        <v>1600</v>
      </c>
      <c r="D1126" t="s">
        <v>24</v>
      </c>
      <c r="E1126" t="s">
        <v>1603</v>
      </c>
      <c r="F1126" t="s">
        <v>836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f t="shared" si="17"/>
        <v>7</v>
      </c>
      <c r="O1126" t="str">
        <f>IF(AND($A1126=Dashboard!$B$3,$B1126=Dashboard!$G$3,$D1126&lt;&gt;"NO_SERVICE"),ROW(),"")</f>
        <v/>
      </c>
    </row>
    <row r="1127" spans="1:15" x14ac:dyDescent="0.25">
      <c r="A1127" t="s">
        <v>541</v>
      </c>
      <c r="B1127" t="s">
        <v>154</v>
      </c>
      <c r="C1127" t="s">
        <v>1600</v>
      </c>
      <c r="D1127" t="s">
        <v>24</v>
      </c>
      <c r="E1127" t="s">
        <v>1604</v>
      </c>
      <c r="F1127" t="s">
        <v>235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f t="shared" si="17"/>
        <v>7</v>
      </c>
      <c r="O1127" t="str">
        <f>IF(AND($A1127=Dashboard!$B$3,$B1127=Dashboard!$G$3,$D1127&lt;&gt;"NO_SERVICE"),ROW(),"")</f>
        <v/>
      </c>
    </row>
    <row r="1128" spans="1:15" x14ac:dyDescent="0.25">
      <c r="A1128" t="s">
        <v>541</v>
      </c>
      <c r="B1128" t="s">
        <v>154</v>
      </c>
      <c r="C1128" t="s">
        <v>1600</v>
      </c>
      <c r="D1128" t="s">
        <v>24</v>
      </c>
      <c r="E1128" t="s">
        <v>1605</v>
      </c>
      <c r="F1128" t="s">
        <v>1606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1</v>
      </c>
      <c r="N1128">
        <f t="shared" si="17"/>
        <v>3</v>
      </c>
      <c r="O1128" t="str">
        <f>IF(AND($A1128=Dashboard!$B$3,$B1128=Dashboard!$G$3,$D1128&lt;&gt;"NO_SERVICE"),ROW(),"")</f>
        <v/>
      </c>
    </row>
    <row r="1129" spans="1:15" x14ac:dyDescent="0.25">
      <c r="A1129" t="s">
        <v>541</v>
      </c>
      <c r="B1129" t="s">
        <v>154</v>
      </c>
      <c r="C1129" t="s">
        <v>1600</v>
      </c>
      <c r="D1129" t="s">
        <v>24</v>
      </c>
      <c r="E1129" t="s">
        <v>1607</v>
      </c>
      <c r="F1129" t="s">
        <v>530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f t="shared" si="17"/>
        <v>7</v>
      </c>
      <c r="O1129" t="str">
        <f>IF(AND($A1129=Dashboard!$B$3,$B1129=Dashboard!$G$3,$D1129&lt;&gt;"NO_SERVICE"),ROW(),"")</f>
        <v/>
      </c>
    </row>
    <row r="1130" spans="1:15" x14ac:dyDescent="0.25">
      <c r="A1130" t="s">
        <v>541</v>
      </c>
      <c r="B1130" t="s">
        <v>154</v>
      </c>
      <c r="C1130" t="s">
        <v>1600</v>
      </c>
      <c r="D1130" t="s">
        <v>24</v>
      </c>
      <c r="E1130" t="s">
        <v>1608</v>
      </c>
      <c r="F1130" t="s">
        <v>317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f t="shared" si="17"/>
        <v>7</v>
      </c>
      <c r="O1130" t="str">
        <f>IF(AND($A1130=Dashboard!$B$3,$B1130=Dashboard!$G$3,$D1130&lt;&gt;"NO_SERVICE"),ROW(),"")</f>
        <v/>
      </c>
    </row>
    <row r="1131" spans="1:15" x14ac:dyDescent="0.25">
      <c r="A1131" t="s">
        <v>541</v>
      </c>
      <c r="B1131" t="s">
        <v>154</v>
      </c>
      <c r="C1131" t="s">
        <v>1600</v>
      </c>
      <c r="D1131" t="s">
        <v>24</v>
      </c>
      <c r="E1131" t="s">
        <v>1609</v>
      </c>
      <c r="F1131" t="s">
        <v>322</v>
      </c>
      <c r="G1131">
        <v>0</v>
      </c>
      <c r="H1131">
        <v>1</v>
      </c>
      <c r="I1131">
        <v>1</v>
      </c>
      <c r="J1131">
        <v>1</v>
      </c>
      <c r="K1131">
        <v>1</v>
      </c>
      <c r="L1131">
        <v>0</v>
      </c>
      <c r="M1131">
        <v>1</v>
      </c>
      <c r="N1131">
        <f t="shared" si="17"/>
        <v>5</v>
      </c>
      <c r="O1131" t="str">
        <f>IF(AND($A1131=Dashboard!$B$3,$B1131=Dashboard!$G$3,$D1131&lt;&gt;"NO_SERVICE"),ROW(),"")</f>
        <v/>
      </c>
    </row>
    <row r="1132" spans="1:15" x14ac:dyDescent="0.25">
      <c r="A1132" t="s">
        <v>541</v>
      </c>
      <c r="B1132" t="s">
        <v>154</v>
      </c>
      <c r="C1132" t="s">
        <v>1600</v>
      </c>
      <c r="D1132" t="s">
        <v>24</v>
      </c>
      <c r="E1132" t="s">
        <v>1610</v>
      </c>
      <c r="F1132" t="s">
        <v>1212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f t="shared" si="17"/>
        <v>7</v>
      </c>
      <c r="O1132" t="str">
        <f>IF(AND($A1132=Dashboard!$B$3,$B1132=Dashboard!$G$3,$D1132&lt;&gt;"NO_SERVICE"),ROW(),"")</f>
        <v/>
      </c>
    </row>
    <row r="1133" spans="1:15" x14ac:dyDescent="0.25">
      <c r="A1133" t="s">
        <v>541</v>
      </c>
      <c r="B1133" t="s">
        <v>154</v>
      </c>
      <c r="C1133" t="s">
        <v>1600</v>
      </c>
      <c r="D1133" t="s">
        <v>26</v>
      </c>
      <c r="E1133" t="s">
        <v>1611</v>
      </c>
      <c r="F1133" t="s">
        <v>392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f t="shared" si="17"/>
        <v>7</v>
      </c>
      <c r="O1133" t="str">
        <f>IF(AND($A1133=Dashboard!$B$3,$B1133=Dashboard!$G$3,$D1133&lt;&gt;"NO_SERVICE"),ROW(),"")</f>
        <v/>
      </c>
    </row>
    <row r="1134" spans="1:15" x14ac:dyDescent="0.25">
      <c r="A1134" t="s">
        <v>541</v>
      </c>
      <c r="B1134" t="s">
        <v>154</v>
      </c>
      <c r="C1134" t="s">
        <v>1600</v>
      </c>
      <c r="D1134" t="s">
        <v>21</v>
      </c>
      <c r="E1134" t="s">
        <v>1612</v>
      </c>
      <c r="F1134" t="s">
        <v>78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f t="shared" si="17"/>
        <v>7</v>
      </c>
      <c r="O1134" t="str">
        <f>IF(AND($A1134=Dashboard!$B$3,$B1134=Dashboard!$G$3,$D1134&lt;&gt;"NO_SERVICE"),ROW(),"")</f>
        <v/>
      </c>
    </row>
    <row r="1135" spans="1:15" x14ac:dyDescent="0.25">
      <c r="A1135" t="s">
        <v>541</v>
      </c>
      <c r="B1135" t="s">
        <v>154</v>
      </c>
      <c r="C1135" t="s">
        <v>1600</v>
      </c>
      <c r="D1135" t="s">
        <v>21</v>
      </c>
      <c r="E1135" t="s">
        <v>243</v>
      </c>
      <c r="F1135" t="s">
        <v>180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f t="shared" si="17"/>
        <v>7</v>
      </c>
      <c r="O1135" t="str">
        <f>IF(AND($A1135=Dashboard!$B$3,$B1135=Dashboard!$G$3,$D1135&lt;&gt;"NO_SERVICE"),ROW(),"")</f>
        <v/>
      </c>
    </row>
    <row r="1136" spans="1:15" x14ac:dyDescent="0.25">
      <c r="A1136" t="s">
        <v>541</v>
      </c>
      <c r="B1136" t="s">
        <v>154</v>
      </c>
      <c r="C1136" t="s">
        <v>1600</v>
      </c>
      <c r="D1136" t="s">
        <v>21</v>
      </c>
      <c r="E1136" t="s">
        <v>1613</v>
      </c>
      <c r="F1136" t="s">
        <v>1265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f t="shared" si="17"/>
        <v>7</v>
      </c>
      <c r="O1136" t="str">
        <f>IF(AND($A1136=Dashboard!$B$3,$B1136=Dashboard!$G$3,$D1136&lt;&gt;"NO_SERVICE"),ROW(),"")</f>
        <v/>
      </c>
    </row>
    <row r="1137" spans="1:15" x14ac:dyDescent="0.25">
      <c r="A1137" t="s">
        <v>541</v>
      </c>
      <c r="B1137" t="s">
        <v>4</v>
      </c>
      <c r="C1137" t="s">
        <v>1614</v>
      </c>
      <c r="D1137" t="s">
        <v>24</v>
      </c>
      <c r="E1137" t="s">
        <v>1615</v>
      </c>
      <c r="F1137" t="s">
        <v>282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0</v>
      </c>
      <c r="N1137">
        <f t="shared" si="17"/>
        <v>6</v>
      </c>
      <c r="O1137" t="str">
        <f>IF(AND($A1137=Dashboard!$B$3,$B1137=Dashboard!$G$3,$D1137&lt;&gt;"NO_SERVICE"),ROW(),"")</f>
        <v/>
      </c>
    </row>
    <row r="1138" spans="1:15" x14ac:dyDescent="0.25">
      <c r="A1138" t="s">
        <v>541</v>
      </c>
      <c r="B1138" t="s">
        <v>4</v>
      </c>
      <c r="C1138" t="s">
        <v>1614</v>
      </c>
      <c r="D1138" t="s">
        <v>24</v>
      </c>
      <c r="E1138" t="s">
        <v>1616</v>
      </c>
      <c r="F1138" t="s">
        <v>985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f t="shared" si="17"/>
        <v>7</v>
      </c>
      <c r="O1138" t="str">
        <f>IF(AND($A1138=Dashboard!$B$3,$B1138=Dashboard!$G$3,$D1138&lt;&gt;"NO_SERVICE"),ROW(),"")</f>
        <v/>
      </c>
    </row>
    <row r="1139" spans="1:15" x14ac:dyDescent="0.25">
      <c r="A1139" t="s">
        <v>541</v>
      </c>
      <c r="B1139" t="s">
        <v>4</v>
      </c>
      <c r="C1139" t="s">
        <v>1614</v>
      </c>
      <c r="D1139" t="s">
        <v>24</v>
      </c>
      <c r="E1139" t="s">
        <v>1617</v>
      </c>
      <c r="F1139" t="s">
        <v>247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f t="shared" si="17"/>
        <v>7</v>
      </c>
      <c r="O1139" t="str">
        <f>IF(AND($A1139=Dashboard!$B$3,$B1139=Dashboard!$G$3,$D1139&lt;&gt;"NO_SERVICE"),ROW(),"")</f>
        <v/>
      </c>
    </row>
    <row r="1140" spans="1:15" x14ac:dyDescent="0.25">
      <c r="A1140" t="s">
        <v>541</v>
      </c>
      <c r="B1140" t="s">
        <v>4</v>
      </c>
      <c r="C1140" t="s">
        <v>1614</v>
      </c>
      <c r="D1140" t="s">
        <v>24</v>
      </c>
      <c r="E1140" t="s">
        <v>1618</v>
      </c>
      <c r="F1140" t="s">
        <v>836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f t="shared" si="17"/>
        <v>7</v>
      </c>
      <c r="O1140" t="str">
        <f>IF(AND($A1140=Dashboard!$B$3,$B1140=Dashboard!$G$3,$D1140&lt;&gt;"NO_SERVICE"),ROW(),"")</f>
        <v/>
      </c>
    </row>
    <row r="1141" spans="1:15" x14ac:dyDescent="0.25">
      <c r="A1141" t="s">
        <v>541</v>
      </c>
      <c r="B1141" t="s">
        <v>4</v>
      </c>
      <c r="C1141" t="s">
        <v>1614</v>
      </c>
      <c r="D1141" t="s">
        <v>24</v>
      </c>
      <c r="E1141" t="s">
        <v>1619</v>
      </c>
      <c r="F1141" t="s">
        <v>212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f t="shared" si="17"/>
        <v>7</v>
      </c>
      <c r="O1141" t="str">
        <f>IF(AND($A1141=Dashboard!$B$3,$B1141=Dashboard!$G$3,$D1141&lt;&gt;"NO_SERVICE"),ROW(),"")</f>
        <v/>
      </c>
    </row>
    <row r="1142" spans="1:15" x14ac:dyDescent="0.25">
      <c r="A1142" t="s">
        <v>541</v>
      </c>
      <c r="B1142" t="s">
        <v>4</v>
      </c>
      <c r="C1142" t="s">
        <v>1614</v>
      </c>
      <c r="D1142" t="s">
        <v>24</v>
      </c>
      <c r="E1142" t="s">
        <v>1620</v>
      </c>
      <c r="F1142" t="s">
        <v>801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f t="shared" si="17"/>
        <v>7</v>
      </c>
      <c r="O1142" t="str">
        <f>IF(AND($A1142=Dashboard!$B$3,$B1142=Dashboard!$G$3,$D1142&lt;&gt;"NO_SERVICE"),ROW(),"")</f>
        <v/>
      </c>
    </row>
    <row r="1143" spans="1:15" x14ac:dyDescent="0.25">
      <c r="A1143" t="s">
        <v>541</v>
      </c>
      <c r="B1143" t="s">
        <v>4</v>
      </c>
      <c r="C1143" t="s">
        <v>1614</v>
      </c>
      <c r="D1143" t="s">
        <v>24</v>
      </c>
      <c r="E1143" t="s">
        <v>1621</v>
      </c>
      <c r="F1143" t="s">
        <v>172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f t="shared" si="17"/>
        <v>1</v>
      </c>
      <c r="O1143" t="str">
        <f>IF(AND($A1143=Dashboard!$B$3,$B1143=Dashboard!$G$3,$D1143&lt;&gt;"NO_SERVICE"),ROW(),"")</f>
        <v/>
      </c>
    </row>
    <row r="1144" spans="1:15" x14ac:dyDescent="0.25">
      <c r="A1144" t="s">
        <v>541</v>
      </c>
      <c r="B1144" t="s">
        <v>4</v>
      </c>
      <c r="C1144" t="s">
        <v>1614</v>
      </c>
      <c r="D1144" t="s">
        <v>24</v>
      </c>
      <c r="E1144" t="s">
        <v>1622</v>
      </c>
      <c r="F1144" t="s">
        <v>846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f t="shared" si="17"/>
        <v>7</v>
      </c>
      <c r="O1144" t="str">
        <f>IF(AND($A1144=Dashboard!$B$3,$B1144=Dashboard!$G$3,$D1144&lt;&gt;"NO_SERVICE"),ROW(),"")</f>
        <v/>
      </c>
    </row>
    <row r="1145" spans="1:15" x14ac:dyDescent="0.25">
      <c r="A1145" t="s">
        <v>541</v>
      </c>
      <c r="B1145" t="s">
        <v>4</v>
      </c>
      <c r="C1145" t="s">
        <v>1614</v>
      </c>
      <c r="D1145" t="s">
        <v>24</v>
      </c>
      <c r="E1145" t="s">
        <v>1623</v>
      </c>
      <c r="F1145" t="s">
        <v>266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f t="shared" si="17"/>
        <v>7</v>
      </c>
      <c r="O1145" t="str">
        <f>IF(AND($A1145=Dashboard!$B$3,$B1145=Dashboard!$G$3,$D1145&lt;&gt;"NO_SERVICE"),ROW(),"")</f>
        <v/>
      </c>
    </row>
    <row r="1146" spans="1:15" x14ac:dyDescent="0.25">
      <c r="A1146" t="s">
        <v>541</v>
      </c>
      <c r="B1146" t="s">
        <v>4</v>
      </c>
      <c r="C1146" t="s">
        <v>1614</v>
      </c>
      <c r="D1146" t="s">
        <v>24</v>
      </c>
      <c r="E1146" t="s">
        <v>1624</v>
      </c>
      <c r="F1146" t="s">
        <v>184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f t="shared" si="17"/>
        <v>7</v>
      </c>
      <c r="O1146" t="str">
        <f>IF(AND($A1146=Dashboard!$B$3,$B1146=Dashboard!$G$3,$D1146&lt;&gt;"NO_SERVICE"),ROW(),"")</f>
        <v/>
      </c>
    </row>
    <row r="1147" spans="1:15" x14ac:dyDescent="0.25">
      <c r="A1147" t="s">
        <v>541</v>
      </c>
      <c r="B1147" t="s">
        <v>4</v>
      </c>
      <c r="C1147" t="s">
        <v>1614</v>
      </c>
      <c r="D1147" t="s">
        <v>24</v>
      </c>
      <c r="E1147" t="s">
        <v>1625</v>
      </c>
      <c r="F1147" t="s">
        <v>303</v>
      </c>
      <c r="G1147">
        <v>0</v>
      </c>
      <c r="H1147">
        <v>1</v>
      </c>
      <c r="I1147">
        <v>1</v>
      </c>
      <c r="J1147">
        <v>1</v>
      </c>
      <c r="K1147">
        <v>1</v>
      </c>
      <c r="L1147">
        <v>0</v>
      </c>
      <c r="M1147">
        <v>1</v>
      </c>
      <c r="N1147">
        <f t="shared" si="17"/>
        <v>5</v>
      </c>
      <c r="O1147" t="str">
        <f>IF(AND($A1147=Dashboard!$B$3,$B1147=Dashboard!$G$3,$D1147&lt;&gt;"NO_SERVICE"),ROW(),"")</f>
        <v/>
      </c>
    </row>
    <row r="1148" spans="1:15" x14ac:dyDescent="0.25">
      <c r="A1148" t="s">
        <v>541</v>
      </c>
      <c r="B1148" t="s">
        <v>4</v>
      </c>
      <c r="C1148" t="s">
        <v>1614</v>
      </c>
      <c r="D1148" t="s">
        <v>24</v>
      </c>
      <c r="E1148" t="s">
        <v>1626</v>
      </c>
      <c r="F1148" t="s">
        <v>1376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f t="shared" si="17"/>
        <v>7</v>
      </c>
      <c r="O1148" t="str">
        <f>IF(AND($A1148=Dashboard!$B$3,$B1148=Dashboard!$G$3,$D1148&lt;&gt;"NO_SERVICE"),ROW(),"")</f>
        <v/>
      </c>
    </row>
    <row r="1149" spans="1:15" x14ac:dyDescent="0.25">
      <c r="A1149" t="s">
        <v>541</v>
      </c>
      <c r="B1149" t="s">
        <v>4</v>
      </c>
      <c r="C1149" t="s">
        <v>1614</v>
      </c>
      <c r="D1149" t="s">
        <v>21</v>
      </c>
      <c r="E1149" t="s">
        <v>1627</v>
      </c>
      <c r="F1149" t="s">
        <v>985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f t="shared" si="17"/>
        <v>7</v>
      </c>
      <c r="O1149" t="str">
        <f>IF(AND($A1149=Dashboard!$B$3,$B1149=Dashboard!$G$3,$D1149&lt;&gt;"NO_SERVICE"),ROW(),"")</f>
        <v/>
      </c>
    </row>
    <row r="1150" spans="1:15" x14ac:dyDescent="0.25">
      <c r="A1150" t="s">
        <v>541</v>
      </c>
      <c r="B1150" t="s">
        <v>4</v>
      </c>
      <c r="C1150" t="s">
        <v>1614</v>
      </c>
      <c r="D1150" t="s">
        <v>21</v>
      </c>
      <c r="E1150" t="s">
        <v>1628</v>
      </c>
      <c r="F1150" t="s">
        <v>953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f t="shared" si="17"/>
        <v>7</v>
      </c>
      <c r="O1150" t="str">
        <f>IF(AND($A1150=Dashboard!$B$3,$B1150=Dashboard!$G$3,$D1150&lt;&gt;"NO_SERVICE"),ROW(),"")</f>
        <v/>
      </c>
    </row>
    <row r="1151" spans="1:15" x14ac:dyDescent="0.25">
      <c r="A1151" t="s">
        <v>541</v>
      </c>
      <c r="B1151" t="s">
        <v>4</v>
      </c>
      <c r="C1151" t="s">
        <v>1614</v>
      </c>
      <c r="D1151" t="s">
        <v>21</v>
      </c>
      <c r="E1151" t="s">
        <v>1629</v>
      </c>
      <c r="F1151" t="s">
        <v>1030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f t="shared" si="17"/>
        <v>7</v>
      </c>
      <c r="O1151" t="str">
        <f>IF(AND($A1151=Dashboard!$B$3,$B1151=Dashboard!$G$3,$D1151&lt;&gt;"NO_SERVICE"),ROW(),"")</f>
        <v/>
      </c>
    </row>
    <row r="1152" spans="1:15" x14ac:dyDescent="0.25">
      <c r="A1152" t="s">
        <v>541</v>
      </c>
      <c r="B1152" t="s">
        <v>4</v>
      </c>
      <c r="C1152" t="s">
        <v>1614</v>
      </c>
      <c r="D1152" t="s">
        <v>21</v>
      </c>
      <c r="E1152" t="s">
        <v>1630</v>
      </c>
      <c r="F1152" t="s">
        <v>309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f t="shared" si="17"/>
        <v>7</v>
      </c>
      <c r="O1152" t="str">
        <f>IF(AND($A1152=Dashboard!$B$3,$B1152=Dashboard!$G$3,$D1152&lt;&gt;"NO_SERVICE"),ROW(),"")</f>
        <v/>
      </c>
    </row>
    <row r="1153" spans="1:15" x14ac:dyDescent="0.25">
      <c r="A1153" t="s">
        <v>541</v>
      </c>
      <c r="B1153" t="s">
        <v>4</v>
      </c>
      <c r="C1153" t="s">
        <v>1614</v>
      </c>
      <c r="D1153" t="s">
        <v>21</v>
      </c>
      <c r="E1153" t="s">
        <v>1631</v>
      </c>
      <c r="F1153" t="s">
        <v>289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f t="shared" si="17"/>
        <v>7</v>
      </c>
      <c r="O1153" t="str">
        <f>IF(AND($A1153=Dashboard!$B$3,$B1153=Dashboard!$G$3,$D1153&lt;&gt;"NO_SERVICE"),ROW(),"")</f>
        <v/>
      </c>
    </row>
    <row r="1154" spans="1:15" x14ac:dyDescent="0.25">
      <c r="A1154" t="s">
        <v>541</v>
      </c>
      <c r="B1154" t="s">
        <v>4</v>
      </c>
      <c r="C1154" t="s">
        <v>1614</v>
      </c>
      <c r="D1154" t="s">
        <v>21</v>
      </c>
      <c r="E1154" t="s">
        <v>1632</v>
      </c>
      <c r="F1154" t="s">
        <v>513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f t="shared" ref="N1154:N1217" si="18">SUM(G1154:M1154)</f>
        <v>1</v>
      </c>
      <c r="O1154" t="str">
        <f>IF(AND($A1154=Dashboard!$B$3,$B1154=Dashboard!$G$3,$D1154&lt;&gt;"NO_SERVICE"),ROW(),"")</f>
        <v/>
      </c>
    </row>
    <row r="1155" spans="1:15" x14ac:dyDescent="0.25">
      <c r="A1155" t="s">
        <v>541</v>
      </c>
      <c r="B1155" t="s">
        <v>4</v>
      </c>
      <c r="C1155" t="s">
        <v>1614</v>
      </c>
      <c r="D1155" t="s">
        <v>21</v>
      </c>
      <c r="E1155" t="s">
        <v>1633</v>
      </c>
      <c r="F1155" t="s">
        <v>846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f t="shared" si="18"/>
        <v>7</v>
      </c>
      <c r="O1155" t="str">
        <f>IF(AND($A1155=Dashboard!$B$3,$B1155=Dashboard!$G$3,$D1155&lt;&gt;"NO_SERVICE"),ROW(),"")</f>
        <v/>
      </c>
    </row>
    <row r="1156" spans="1:15" x14ac:dyDescent="0.25">
      <c r="A1156" t="s">
        <v>541</v>
      </c>
      <c r="B1156" t="s">
        <v>4</v>
      </c>
      <c r="C1156" t="s">
        <v>1614</v>
      </c>
      <c r="D1156" t="s">
        <v>21</v>
      </c>
      <c r="E1156" t="s">
        <v>1634</v>
      </c>
      <c r="F1156" t="s">
        <v>628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f t="shared" si="18"/>
        <v>7</v>
      </c>
      <c r="O1156" t="str">
        <f>IF(AND($A1156=Dashboard!$B$3,$B1156=Dashboard!$G$3,$D1156&lt;&gt;"NO_SERVICE"),ROW(),"")</f>
        <v/>
      </c>
    </row>
    <row r="1157" spans="1:15" x14ac:dyDescent="0.25">
      <c r="A1157" t="s">
        <v>541</v>
      </c>
      <c r="B1157" t="s">
        <v>4</v>
      </c>
      <c r="C1157" t="s">
        <v>1614</v>
      </c>
      <c r="D1157" t="s">
        <v>21</v>
      </c>
      <c r="E1157" t="s">
        <v>1635</v>
      </c>
      <c r="F1157" t="s">
        <v>184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f t="shared" si="18"/>
        <v>7</v>
      </c>
      <c r="O1157" t="str">
        <f>IF(AND($A1157=Dashboard!$B$3,$B1157=Dashboard!$G$3,$D1157&lt;&gt;"NO_SERVICE"),ROW(),"")</f>
        <v/>
      </c>
    </row>
    <row r="1158" spans="1:15" x14ac:dyDescent="0.25">
      <c r="A1158" t="s">
        <v>541</v>
      </c>
      <c r="B1158" t="s">
        <v>4</v>
      </c>
      <c r="C1158" t="s">
        <v>1614</v>
      </c>
      <c r="D1158" t="s">
        <v>21</v>
      </c>
      <c r="E1158" t="s">
        <v>1636</v>
      </c>
      <c r="F1158" t="s">
        <v>303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f t="shared" si="18"/>
        <v>7</v>
      </c>
      <c r="O1158" t="str">
        <f>IF(AND($A1158=Dashboard!$B$3,$B1158=Dashboard!$G$3,$D1158&lt;&gt;"NO_SERVICE"),ROW(),"")</f>
        <v/>
      </c>
    </row>
    <row r="1159" spans="1:15" x14ac:dyDescent="0.25">
      <c r="A1159" t="s">
        <v>541</v>
      </c>
      <c r="B1159" t="s">
        <v>4</v>
      </c>
      <c r="C1159" t="s">
        <v>1614</v>
      </c>
      <c r="D1159" t="s">
        <v>21</v>
      </c>
      <c r="E1159" t="s">
        <v>1637</v>
      </c>
      <c r="F1159" t="s">
        <v>1212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f t="shared" si="18"/>
        <v>7</v>
      </c>
      <c r="O1159" t="str">
        <f>IF(AND($A1159=Dashboard!$B$3,$B1159=Dashboard!$G$3,$D1159&lt;&gt;"NO_SERVICE"),ROW(),"")</f>
        <v/>
      </c>
    </row>
    <row r="1160" spans="1:15" x14ac:dyDescent="0.25">
      <c r="A1160" t="s">
        <v>541</v>
      </c>
      <c r="B1160" t="s">
        <v>4</v>
      </c>
      <c r="C1160" t="s">
        <v>1614</v>
      </c>
      <c r="D1160" t="s">
        <v>29</v>
      </c>
      <c r="E1160" t="s">
        <v>1638</v>
      </c>
      <c r="F1160" t="s">
        <v>1241</v>
      </c>
      <c r="G1160">
        <v>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f t="shared" si="18"/>
        <v>2</v>
      </c>
      <c r="O1160" t="str">
        <f>IF(AND($A1160=Dashboard!$B$3,$B1160=Dashboard!$G$3,$D1160&lt;&gt;"NO_SERVICE"),ROW(),"")</f>
        <v/>
      </c>
    </row>
    <row r="1161" spans="1:15" x14ac:dyDescent="0.25">
      <c r="A1161" t="s">
        <v>541</v>
      </c>
      <c r="B1161" t="s">
        <v>4</v>
      </c>
      <c r="C1161" t="s">
        <v>1614</v>
      </c>
      <c r="D1161" t="s">
        <v>29</v>
      </c>
      <c r="E1161" t="s">
        <v>1638</v>
      </c>
      <c r="F1161" t="s">
        <v>1217</v>
      </c>
      <c r="G1161">
        <v>0</v>
      </c>
      <c r="H1161">
        <v>0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f t="shared" si="18"/>
        <v>5</v>
      </c>
      <c r="O1161" t="str">
        <f>IF(AND($A1161=Dashboard!$B$3,$B1161=Dashboard!$G$3,$D1161&lt;&gt;"NO_SERVICE"),ROW(),"")</f>
        <v/>
      </c>
    </row>
    <row r="1162" spans="1:15" x14ac:dyDescent="0.25">
      <c r="A1162" t="s">
        <v>541</v>
      </c>
      <c r="B1162" t="s">
        <v>4</v>
      </c>
      <c r="C1162" t="s">
        <v>1614</v>
      </c>
      <c r="D1162" t="s">
        <v>26</v>
      </c>
      <c r="E1162" t="s">
        <v>1639</v>
      </c>
      <c r="F1162" t="s">
        <v>1405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f t="shared" si="18"/>
        <v>7</v>
      </c>
      <c r="O1162" t="str">
        <f>IF(AND($A1162=Dashboard!$B$3,$B1162=Dashboard!$G$3,$D1162&lt;&gt;"NO_SERVICE"),ROW(),"")</f>
        <v/>
      </c>
    </row>
    <row r="1163" spans="1:15" x14ac:dyDescent="0.25">
      <c r="A1163" t="s">
        <v>541</v>
      </c>
      <c r="B1163" t="s">
        <v>4</v>
      </c>
      <c r="C1163" t="s">
        <v>1614</v>
      </c>
      <c r="D1163" t="s">
        <v>26</v>
      </c>
      <c r="E1163" t="s">
        <v>1640</v>
      </c>
      <c r="F1163" t="s">
        <v>161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f t="shared" si="18"/>
        <v>7</v>
      </c>
      <c r="O1163" t="str">
        <f>IF(AND($A1163=Dashboard!$B$3,$B1163=Dashboard!$G$3,$D1163&lt;&gt;"NO_SERVICE"),ROW(),"")</f>
        <v/>
      </c>
    </row>
    <row r="1164" spans="1:15" x14ac:dyDescent="0.25">
      <c r="A1164" t="s">
        <v>541</v>
      </c>
      <c r="B1164" t="s">
        <v>904</v>
      </c>
      <c r="C1164" t="s">
        <v>1641</v>
      </c>
      <c r="D1164" t="s">
        <v>24</v>
      </c>
      <c r="E1164" t="s">
        <v>1642</v>
      </c>
      <c r="F1164" t="s">
        <v>282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f t="shared" si="18"/>
        <v>7</v>
      </c>
      <c r="O1164" t="str">
        <f>IF(AND($A1164=Dashboard!$B$3,$B1164=Dashboard!$G$3,$D1164&lt;&gt;"NO_SERVICE"),ROW(),"")</f>
        <v/>
      </c>
    </row>
    <row r="1165" spans="1:15" x14ac:dyDescent="0.25">
      <c r="A1165" t="s">
        <v>541</v>
      </c>
      <c r="B1165" t="s">
        <v>904</v>
      </c>
      <c r="C1165" t="s">
        <v>1641</v>
      </c>
      <c r="D1165" t="s">
        <v>24</v>
      </c>
      <c r="E1165" t="s">
        <v>1643</v>
      </c>
      <c r="F1165" t="s">
        <v>298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f t="shared" si="18"/>
        <v>7</v>
      </c>
      <c r="O1165" t="str">
        <f>IF(AND($A1165=Dashboard!$B$3,$B1165=Dashboard!$G$3,$D1165&lt;&gt;"NO_SERVICE"),ROW(),"")</f>
        <v/>
      </c>
    </row>
    <row r="1166" spans="1:15" x14ac:dyDescent="0.25">
      <c r="A1166" t="s">
        <v>541</v>
      </c>
      <c r="B1166" t="s">
        <v>904</v>
      </c>
      <c r="C1166" t="s">
        <v>1641</v>
      </c>
      <c r="D1166" t="s">
        <v>24</v>
      </c>
      <c r="E1166" t="s">
        <v>1644</v>
      </c>
      <c r="F1166" t="s">
        <v>56</v>
      </c>
      <c r="G1166">
        <v>1</v>
      </c>
      <c r="H1166">
        <v>0</v>
      </c>
      <c r="I1166">
        <v>1</v>
      </c>
      <c r="J1166">
        <v>0</v>
      </c>
      <c r="K1166">
        <v>1</v>
      </c>
      <c r="L1166">
        <v>0</v>
      </c>
      <c r="M1166">
        <v>1</v>
      </c>
      <c r="N1166">
        <f t="shared" si="18"/>
        <v>4</v>
      </c>
      <c r="O1166" t="str">
        <f>IF(AND($A1166=Dashboard!$B$3,$B1166=Dashboard!$G$3,$D1166&lt;&gt;"NO_SERVICE"),ROW(),"")</f>
        <v/>
      </c>
    </row>
    <row r="1167" spans="1:15" x14ac:dyDescent="0.25">
      <c r="A1167" t="s">
        <v>541</v>
      </c>
      <c r="B1167" t="s">
        <v>904</v>
      </c>
      <c r="C1167" t="s">
        <v>1641</v>
      </c>
      <c r="D1167" t="s">
        <v>24</v>
      </c>
      <c r="E1167" t="s">
        <v>1645</v>
      </c>
      <c r="F1167" t="s">
        <v>165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f t="shared" si="18"/>
        <v>7</v>
      </c>
      <c r="O1167" t="str">
        <f>IF(AND($A1167=Dashboard!$B$3,$B1167=Dashboard!$G$3,$D1167&lt;&gt;"NO_SERVICE"),ROW(),"")</f>
        <v/>
      </c>
    </row>
    <row r="1168" spans="1:15" x14ac:dyDescent="0.25">
      <c r="A1168" t="s">
        <v>541</v>
      </c>
      <c r="B1168" t="s">
        <v>904</v>
      </c>
      <c r="C1168" t="s">
        <v>1641</v>
      </c>
      <c r="D1168" t="s">
        <v>24</v>
      </c>
      <c r="E1168" t="s">
        <v>1646</v>
      </c>
      <c r="F1168" t="s">
        <v>530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f t="shared" si="18"/>
        <v>7</v>
      </c>
      <c r="O1168" t="str">
        <f>IF(AND($A1168=Dashboard!$B$3,$B1168=Dashboard!$G$3,$D1168&lt;&gt;"NO_SERVICE"),ROW(),"")</f>
        <v/>
      </c>
    </row>
    <row r="1169" spans="1:15" x14ac:dyDescent="0.25">
      <c r="A1169" t="s">
        <v>541</v>
      </c>
      <c r="B1169" t="s">
        <v>904</v>
      </c>
      <c r="C1169" t="s">
        <v>1641</v>
      </c>
      <c r="D1169" t="s">
        <v>24</v>
      </c>
      <c r="E1169" t="s">
        <v>1647</v>
      </c>
      <c r="F1169" t="s">
        <v>458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f t="shared" si="18"/>
        <v>7</v>
      </c>
      <c r="O1169" t="str">
        <f>IF(AND($A1169=Dashboard!$B$3,$B1169=Dashboard!$G$3,$D1169&lt;&gt;"NO_SERVICE"),ROW(),"")</f>
        <v/>
      </c>
    </row>
    <row r="1170" spans="1:15" x14ac:dyDescent="0.25">
      <c r="A1170" t="s">
        <v>541</v>
      </c>
      <c r="B1170" t="s">
        <v>1079</v>
      </c>
      <c r="C1170" t="s">
        <v>1648</v>
      </c>
      <c r="D1170" t="s">
        <v>24</v>
      </c>
      <c r="E1170" t="s">
        <v>1649</v>
      </c>
      <c r="F1170" t="s">
        <v>1650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f t="shared" si="18"/>
        <v>7</v>
      </c>
      <c r="O1170" t="str">
        <f>IF(AND($A1170=Dashboard!$B$3,$B1170=Dashboard!$G$3,$D1170&lt;&gt;"NO_SERVICE"),ROW(),"")</f>
        <v/>
      </c>
    </row>
    <row r="1171" spans="1:15" x14ac:dyDescent="0.25">
      <c r="A1171" t="s">
        <v>541</v>
      </c>
      <c r="B1171" t="s">
        <v>1079</v>
      </c>
      <c r="C1171" t="s">
        <v>1648</v>
      </c>
      <c r="D1171" t="s">
        <v>24</v>
      </c>
      <c r="E1171" t="s">
        <v>1651</v>
      </c>
      <c r="F1171" t="s">
        <v>726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0</v>
      </c>
      <c r="M1171">
        <v>1</v>
      </c>
      <c r="N1171">
        <f t="shared" si="18"/>
        <v>6</v>
      </c>
      <c r="O1171" t="str">
        <f>IF(AND($A1171=Dashboard!$B$3,$B1171=Dashboard!$G$3,$D1171&lt;&gt;"NO_SERVICE"),ROW(),"")</f>
        <v/>
      </c>
    </row>
    <row r="1172" spans="1:15" x14ac:dyDescent="0.25">
      <c r="A1172" t="s">
        <v>541</v>
      </c>
      <c r="B1172" t="s">
        <v>1079</v>
      </c>
      <c r="C1172" t="s">
        <v>1648</v>
      </c>
      <c r="D1172" t="s">
        <v>24</v>
      </c>
      <c r="E1172" t="s">
        <v>1652</v>
      </c>
      <c r="F1172" t="s">
        <v>165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f t="shared" si="18"/>
        <v>1</v>
      </c>
      <c r="O1172" t="str">
        <f>IF(AND($A1172=Dashboard!$B$3,$B1172=Dashboard!$G$3,$D1172&lt;&gt;"NO_SERVICE"),ROW(),"")</f>
        <v/>
      </c>
    </row>
    <row r="1173" spans="1:15" x14ac:dyDescent="0.25">
      <c r="A1173" t="s">
        <v>541</v>
      </c>
      <c r="B1173" t="s">
        <v>1079</v>
      </c>
      <c r="C1173" t="s">
        <v>1648</v>
      </c>
      <c r="D1173" t="s">
        <v>24</v>
      </c>
      <c r="E1173" t="s">
        <v>1653</v>
      </c>
      <c r="F1173" t="s">
        <v>674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f t="shared" si="18"/>
        <v>7</v>
      </c>
      <c r="O1173" t="str">
        <f>IF(AND($A1173=Dashboard!$B$3,$B1173=Dashboard!$G$3,$D1173&lt;&gt;"NO_SERVICE"),ROW(),"")</f>
        <v/>
      </c>
    </row>
    <row r="1174" spans="1:15" x14ac:dyDescent="0.25">
      <c r="A1174" t="s">
        <v>541</v>
      </c>
      <c r="B1174" t="s">
        <v>1079</v>
      </c>
      <c r="C1174" t="s">
        <v>1648</v>
      </c>
      <c r="D1174" t="s">
        <v>26</v>
      </c>
      <c r="E1174" t="s">
        <v>1654</v>
      </c>
      <c r="F1174" t="s">
        <v>1030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0</v>
      </c>
      <c r="M1174">
        <v>1</v>
      </c>
      <c r="N1174">
        <f t="shared" si="18"/>
        <v>6</v>
      </c>
      <c r="O1174" t="str">
        <f>IF(AND($A1174=Dashboard!$B$3,$B1174=Dashboard!$G$3,$D1174&lt;&gt;"NO_SERVICE"),ROW(),"")</f>
        <v/>
      </c>
    </row>
    <row r="1175" spans="1:15" x14ac:dyDescent="0.25">
      <c r="A1175" t="s">
        <v>541</v>
      </c>
      <c r="B1175" t="s">
        <v>1004</v>
      </c>
      <c r="C1175" t="s">
        <v>1655</v>
      </c>
      <c r="D1175" t="s">
        <v>24</v>
      </c>
      <c r="E1175" t="s">
        <v>1656</v>
      </c>
      <c r="F1175" t="s">
        <v>386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f t="shared" si="18"/>
        <v>7</v>
      </c>
      <c r="O1175" t="str">
        <f>IF(AND($A1175=Dashboard!$B$3,$B1175=Dashboard!$G$3,$D1175&lt;&gt;"NO_SERVICE"),ROW(),"")</f>
        <v/>
      </c>
    </row>
    <row r="1176" spans="1:15" x14ac:dyDescent="0.25">
      <c r="A1176" t="s">
        <v>541</v>
      </c>
      <c r="B1176" t="s">
        <v>1004</v>
      </c>
      <c r="C1176" t="s">
        <v>1655</v>
      </c>
      <c r="D1176" t="s">
        <v>24</v>
      </c>
      <c r="E1176" t="s">
        <v>1657</v>
      </c>
      <c r="F1176" t="s">
        <v>830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f t="shared" si="18"/>
        <v>7</v>
      </c>
      <c r="O1176" t="str">
        <f>IF(AND($A1176=Dashboard!$B$3,$B1176=Dashboard!$G$3,$D1176&lt;&gt;"NO_SERVICE"),ROW(),"")</f>
        <v/>
      </c>
    </row>
    <row r="1177" spans="1:15" x14ac:dyDescent="0.25">
      <c r="A1177" t="s">
        <v>541</v>
      </c>
      <c r="B1177" t="s">
        <v>1004</v>
      </c>
      <c r="C1177" t="s">
        <v>1655</v>
      </c>
      <c r="D1177" t="s">
        <v>24</v>
      </c>
      <c r="E1177" t="s">
        <v>1658</v>
      </c>
      <c r="F1177" t="s">
        <v>165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f t="shared" si="18"/>
        <v>7</v>
      </c>
      <c r="O1177" t="str">
        <f>IF(AND($A1177=Dashboard!$B$3,$B1177=Dashboard!$G$3,$D1177&lt;&gt;"NO_SERVICE"),ROW(),"")</f>
        <v/>
      </c>
    </row>
    <row r="1178" spans="1:15" x14ac:dyDescent="0.25">
      <c r="A1178" t="s">
        <v>541</v>
      </c>
      <c r="B1178" t="s">
        <v>1004</v>
      </c>
      <c r="C1178" t="s">
        <v>1655</v>
      </c>
      <c r="D1178" t="s">
        <v>24</v>
      </c>
      <c r="E1178" t="s">
        <v>1659</v>
      </c>
      <c r="F1178" t="s">
        <v>685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f t="shared" si="18"/>
        <v>7</v>
      </c>
      <c r="O1178" t="str">
        <f>IF(AND($A1178=Dashboard!$B$3,$B1178=Dashboard!$G$3,$D1178&lt;&gt;"NO_SERVICE"),ROW(),"")</f>
        <v/>
      </c>
    </row>
    <row r="1179" spans="1:15" x14ac:dyDescent="0.25">
      <c r="A1179" t="s">
        <v>541</v>
      </c>
      <c r="B1179" t="s">
        <v>1004</v>
      </c>
      <c r="C1179" t="s">
        <v>1655</v>
      </c>
      <c r="D1179" t="s">
        <v>24</v>
      </c>
      <c r="E1179" t="s">
        <v>1660</v>
      </c>
      <c r="F1179" t="s">
        <v>1082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f t="shared" si="18"/>
        <v>7</v>
      </c>
      <c r="O1179" t="str">
        <f>IF(AND($A1179=Dashboard!$B$3,$B1179=Dashboard!$G$3,$D1179&lt;&gt;"NO_SERVICE"),ROW(),"")</f>
        <v/>
      </c>
    </row>
    <row r="1180" spans="1:15" x14ac:dyDescent="0.25">
      <c r="A1180" t="s">
        <v>541</v>
      </c>
      <c r="B1180" t="s">
        <v>1004</v>
      </c>
      <c r="C1180" t="s">
        <v>1655</v>
      </c>
      <c r="D1180" t="s">
        <v>21</v>
      </c>
      <c r="E1180" t="s">
        <v>1661</v>
      </c>
      <c r="F1180" t="s">
        <v>515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f t="shared" si="18"/>
        <v>7</v>
      </c>
      <c r="O1180" t="str">
        <f>IF(AND($A1180=Dashboard!$B$3,$B1180=Dashboard!$G$3,$D1180&lt;&gt;"NO_SERVICE"),ROW(),"")</f>
        <v/>
      </c>
    </row>
    <row r="1181" spans="1:15" x14ac:dyDescent="0.25">
      <c r="A1181" t="s">
        <v>541</v>
      </c>
      <c r="B1181" t="s">
        <v>1004</v>
      </c>
      <c r="C1181" t="s">
        <v>1655</v>
      </c>
      <c r="D1181" t="s">
        <v>21</v>
      </c>
      <c r="E1181" t="s">
        <v>1662</v>
      </c>
      <c r="F1181" t="s">
        <v>738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f t="shared" si="18"/>
        <v>7</v>
      </c>
      <c r="O1181" t="str">
        <f>IF(AND($A1181=Dashboard!$B$3,$B1181=Dashboard!$G$3,$D1181&lt;&gt;"NO_SERVICE"),ROW(),"")</f>
        <v/>
      </c>
    </row>
    <row r="1182" spans="1:15" x14ac:dyDescent="0.25">
      <c r="A1182" t="s">
        <v>541</v>
      </c>
      <c r="B1182" t="s">
        <v>353</v>
      </c>
      <c r="C1182" t="s">
        <v>1663</v>
      </c>
      <c r="D1182" t="s">
        <v>24</v>
      </c>
      <c r="E1182" t="s">
        <v>1664</v>
      </c>
      <c r="F1182" t="s">
        <v>1197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f t="shared" si="18"/>
        <v>7</v>
      </c>
      <c r="O1182" t="str">
        <f>IF(AND($A1182=Dashboard!$B$3,$B1182=Dashboard!$G$3,$D1182&lt;&gt;"NO_SERVICE"),ROW(),"")</f>
        <v/>
      </c>
    </row>
    <row r="1183" spans="1:15" x14ac:dyDescent="0.25">
      <c r="A1183" t="s">
        <v>541</v>
      </c>
      <c r="B1183" t="s">
        <v>353</v>
      </c>
      <c r="C1183" t="s">
        <v>1663</v>
      </c>
      <c r="D1183" t="s">
        <v>24</v>
      </c>
      <c r="E1183" t="s">
        <v>1665</v>
      </c>
      <c r="F1183" t="s">
        <v>476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f t="shared" si="18"/>
        <v>7</v>
      </c>
      <c r="O1183" t="str">
        <f>IF(AND($A1183=Dashboard!$B$3,$B1183=Dashboard!$G$3,$D1183&lt;&gt;"NO_SERVICE"),ROW(),"")</f>
        <v/>
      </c>
    </row>
    <row r="1184" spans="1:15" x14ac:dyDescent="0.25">
      <c r="A1184" t="s">
        <v>541</v>
      </c>
      <c r="B1184" t="s">
        <v>353</v>
      </c>
      <c r="C1184" t="s">
        <v>1663</v>
      </c>
      <c r="D1184" t="s">
        <v>24</v>
      </c>
      <c r="E1184" t="s">
        <v>1666</v>
      </c>
      <c r="F1184" t="s">
        <v>682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f t="shared" si="18"/>
        <v>7</v>
      </c>
      <c r="O1184" t="str">
        <f>IF(AND($A1184=Dashboard!$B$3,$B1184=Dashboard!$G$3,$D1184&lt;&gt;"NO_SERVICE"),ROW(),"")</f>
        <v/>
      </c>
    </row>
    <row r="1185" spans="1:15" x14ac:dyDescent="0.25">
      <c r="A1185" t="s">
        <v>541</v>
      </c>
      <c r="B1185" t="s">
        <v>353</v>
      </c>
      <c r="C1185" t="s">
        <v>1663</v>
      </c>
      <c r="D1185" t="s">
        <v>24</v>
      </c>
      <c r="E1185" t="s">
        <v>1667</v>
      </c>
      <c r="F1185" t="s">
        <v>300</v>
      </c>
      <c r="G1185">
        <v>1</v>
      </c>
      <c r="H1185">
        <v>0</v>
      </c>
      <c r="I1185">
        <v>0</v>
      </c>
      <c r="J1185">
        <v>1</v>
      </c>
      <c r="K1185">
        <v>1</v>
      </c>
      <c r="L1185">
        <v>1</v>
      </c>
      <c r="M1185">
        <v>1</v>
      </c>
      <c r="N1185">
        <f t="shared" si="18"/>
        <v>5</v>
      </c>
      <c r="O1185" t="str">
        <f>IF(AND($A1185=Dashboard!$B$3,$B1185=Dashboard!$G$3,$D1185&lt;&gt;"NO_SERVICE"),ROW(),"")</f>
        <v/>
      </c>
    </row>
    <row r="1186" spans="1:15" x14ac:dyDescent="0.25">
      <c r="A1186" t="s">
        <v>541</v>
      </c>
      <c r="B1186" t="s">
        <v>353</v>
      </c>
      <c r="C1186" t="s">
        <v>1663</v>
      </c>
      <c r="D1186" t="s">
        <v>24</v>
      </c>
      <c r="E1186" t="s">
        <v>1668</v>
      </c>
      <c r="F1186" t="s">
        <v>60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f t="shared" si="18"/>
        <v>7</v>
      </c>
      <c r="O1186" t="str">
        <f>IF(AND($A1186=Dashboard!$B$3,$B1186=Dashboard!$G$3,$D1186&lt;&gt;"NO_SERVICE"),ROW(),"")</f>
        <v/>
      </c>
    </row>
    <row r="1187" spans="1:15" x14ac:dyDescent="0.25">
      <c r="A1187" t="s">
        <v>541</v>
      </c>
      <c r="B1187" t="s">
        <v>353</v>
      </c>
      <c r="C1187" t="s">
        <v>1663</v>
      </c>
      <c r="D1187" t="s">
        <v>24</v>
      </c>
      <c r="E1187" t="s">
        <v>1669</v>
      </c>
      <c r="F1187" t="s">
        <v>478</v>
      </c>
      <c r="G1187">
        <v>0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1</v>
      </c>
      <c r="N1187">
        <f t="shared" si="18"/>
        <v>5</v>
      </c>
      <c r="O1187" t="str">
        <f>IF(AND($A1187=Dashboard!$B$3,$B1187=Dashboard!$G$3,$D1187&lt;&gt;"NO_SERVICE"),ROW(),"")</f>
        <v/>
      </c>
    </row>
    <row r="1188" spans="1:15" x14ac:dyDescent="0.25">
      <c r="A1188" t="s">
        <v>541</v>
      </c>
      <c r="B1188" t="s">
        <v>353</v>
      </c>
      <c r="C1188" t="s">
        <v>1663</v>
      </c>
      <c r="D1188" t="s">
        <v>24</v>
      </c>
      <c r="E1188" t="s">
        <v>1670</v>
      </c>
      <c r="F1188" t="s">
        <v>1021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f t="shared" si="18"/>
        <v>7</v>
      </c>
      <c r="O1188" t="str">
        <f>IF(AND($A1188=Dashboard!$B$3,$B1188=Dashboard!$G$3,$D1188&lt;&gt;"NO_SERVICE"),ROW(),"")</f>
        <v/>
      </c>
    </row>
    <row r="1189" spans="1:15" x14ac:dyDescent="0.25">
      <c r="A1189" t="s">
        <v>541</v>
      </c>
      <c r="B1189" t="s">
        <v>353</v>
      </c>
      <c r="C1189" t="s">
        <v>1663</v>
      </c>
      <c r="D1189" t="s">
        <v>21</v>
      </c>
      <c r="E1189" t="s">
        <v>1671</v>
      </c>
      <c r="F1189" t="s">
        <v>746</v>
      </c>
      <c r="G1189">
        <v>1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f t="shared" si="18"/>
        <v>2</v>
      </c>
      <c r="O1189" t="str">
        <f>IF(AND($A1189=Dashboard!$B$3,$B1189=Dashboard!$G$3,$D1189&lt;&gt;"NO_SERVICE"),ROW(),"")</f>
        <v/>
      </c>
    </row>
    <row r="1190" spans="1:15" x14ac:dyDescent="0.25">
      <c r="A1190" t="s">
        <v>541</v>
      </c>
      <c r="B1190" t="s">
        <v>353</v>
      </c>
      <c r="C1190" t="s">
        <v>1663</v>
      </c>
      <c r="D1190" t="s">
        <v>21</v>
      </c>
      <c r="E1190" t="s">
        <v>1672</v>
      </c>
      <c r="F1190" t="s">
        <v>70</v>
      </c>
      <c r="G1190">
        <v>0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f t="shared" si="18"/>
        <v>6</v>
      </c>
      <c r="O1190" t="str">
        <f>IF(AND($A1190=Dashboard!$B$3,$B1190=Dashboard!$G$3,$D1190&lt;&gt;"NO_SERVICE"),ROW(),"")</f>
        <v/>
      </c>
    </row>
    <row r="1191" spans="1:15" x14ac:dyDescent="0.25">
      <c r="A1191" t="s">
        <v>541</v>
      </c>
      <c r="B1191" t="s">
        <v>353</v>
      </c>
      <c r="C1191" t="s">
        <v>1663</v>
      </c>
      <c r="D1191" t="s">
        <v>21</v>
      </c>
      <c r="E1191" t="s">
        <v>1673</v>
      </c>
      <c r="F1191" t="s">
        <v>309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f t="shared" si="18"/>
        <v>7</v>
      </c>
      <c r="O1191" t="str">
        <f>IF(AND($A1191=Dashboard!$B$3,$B1191=Dashboard!$G$3,$D1191&lt;&gt;"NO_SERVICE"),ROW(),"")</f>
        <v/>
      </c>
    </row>
    <row r="1192" spans="1:15" x14ac:dyDescent="0.25">
      <c r="A1192" t="s">
        <v>541</v>
      </c>
      <c r="B1192" t="s">
        <v>353</v>
      </c>
      <c r="C1192" t="s">
        <v>1663</v>
      </c>
      <c r="D1192" t="s">
        <v>21</v>
      </c>
      <c r="E1192" t="s">
        <v>1674</v>
      </c>
      <c r="F1192" t="s">
        <v>513</v>
      </c>
      <c r="G1192">
        <v>0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f t="shared" si="18"/>
        <v>6</v>
      </c>
      <c r="O1192" t="str">
        <f>IF(AND($A1192=Dashboard!$B$3,$B1192=Dashboard!$G$3,$D1192&lt;&gt;"NO_SERVICE"),ROW(),"")</f>
        <v/>
      </c>
    </row>
    <row r="1193" spans="1:15" x14ac:dyDescent="0.25">
      <c r="A1193" t="s">
        <v>541</v>
      </c>
      <c r="B1193" t="s">
        <v>353</v>
      </c>
      <c r="C1193" t="s">
        <v>1663</v>
      </c>
      <c r="D1193" t="s">
        <v>21</v>
      </c>
      <c r="E1193" t="s">
        <v>1675</v>
      </c>
      <c r="F1193" t="s">
        <v>182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f t="shared" si="18"/>
        <v>1</v>
      </c>
      <c r="O1193" t="str">
        <f>IF(AND($A1193=Dashboard!$B$3,$B1193=Dashboard!$G$3,$D1193&lt;&gt;"NO_SERVICE"),ROW(),"")</f>
        <v/>
      </c>
    </row>
    <row r="1194" spans="1:15" x14ac:dyDescent="0.25">
      <c r="A1194" t="s">
        <v>541</v>
      </c>
      <c r="B1194" t="s">
        <v>353</v>
      </c>
      <c r="C1194" t="s">
        <v>1663</v>
      </c>
      <c r="D1194" t="s">
        <v>21</v>
      </c>
      <c r="E1194" t="s">
        <v>1203</v>
      </c>
      <c r="F1194" t="s">
        <v>322</v>
      </c>
      <c r="G1194">
        <v>0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f t="shared" si="18"/>
        <v>6</v>
      </c>
      <c r="O1194" t="str">
        <f>IF(AND($A1194=Dashboard!$B$3,$B1194=Dashboard!$G$3,$D1194&lt;&gt;"NO_SERVICE"),ROW(),"")</f>
        <v/>
      </c>
    </row>
    <row r="1195" spans="1:15" x14ac:dyDescent="0.25">
      <c r="A1195" t="s">
        <v>541</v>
      </c>
      <c r="B1195" t="s">
        <v>353</v>
      </c>
      <c r="C1195" t="s">
        <v>1663</v>
      </c>
      <c r="D1195" t="s">
        <v>21</v>
      </c>
      <c r="E1195" t="s">
        <v>1268</v>
      </c>
      <c r="F1195" t="s">
        <v>352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f t="shared" si="18"/>
        <v>1</v>
      </c>
      <c r="O1195" t="str">
        <f>IF(AND($A1195=Dashboard!$B$3,$B1195=Dashboard!$G$3,$D1195&lt;&gt;"NO_SERVICE"),ROW(),"")</f>
        <v/>
      </c>
    </row>
    <row r="1196" spans="1:15" x14ac:dyDescent="0.25">
      <c r="A1196" t="s">
        <v>541</v>
      </c>
      <c r="B1196" t="s">
        <v>353</v>
      </c>
      <c r="C1196" t="s">
        <v>1663</v>
      </c>
      <c r="D1196" t="s">
        <v>26</v>
      </c>
      <c r="E1196" t="s">
        <v>1676</v>
      </c>
      <c r="F1196" t="s">
        <v>637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f t="shared" si="18"/>
        <v>1</v>
      </c>
      <c r="O1196" t="str">
        <f>IF(AND($A1196=Dashboard!$B$3,$B1196=Dashboard!$G$3,$D1196&lt;&gt;"NO_SERVICE"),ROW(),"")</f>
        <v/>
      </c>
    </row>
    <row r="1197" spans="1:15" x14ac:dyDescent="0.25">
      <c r="A1197" t="s">
        <v>541</v>
      </c>
      <c r="B1197" t="s">
        <v>353</v>
      </c>
      <c r="C1197" t="s">
        <v>1663</v>
      </c>
      <c r="D1197" t="s">
        <v>26</v>
      </c>
      <c r="E1197" t="s">
        <v>1676</v>
      </c>
      <c r="F1197" t="s">
        <v>395</v>
      </c>
      <c r="G1197">
        <v>0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f t="shared" si="18"/>
        <v>6</v>
      </c>
      <c r="O1197" t="str">
        <f>IF(AND($A1197=Dashboard!$B$3,$B1197=Dashboard!$G$3,$D1197&lt;&gt;"NO_SERVICE"),ROW(),"")</f>
        <v/>
      </c>
    </row>
    <row r="1198" spans="1:15" x14ac:dyDescent="0.25">
      <c r="A1198" t="s">
        <v>541</v>
      </c>
      <c r="B1198" t="s">
        <v>353</v>
      </c>
      <c r="C1198" t="s">
        <v>1663</v>
      </c>
      <c r="D1198" t="s">
        <v>26</v>
      </c>
      <c r="E1198" t="s">
        <v>1677</v>
      </c>
      <c r="F1198" t="s">
        <v>466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f t="shared" si="18"/>
        <v>7</v>
      </c>
      <c r="O1198" t="str">
        <f>IF(AND($A1198=Dashboard!$B$3,$B1198=Dashboard!$G$3,$D1198&lt;&gt;"NO_SERVICE"),ROW(),"")</f>
        <v/>
      </c>
    </row>
    <row r="1199" spans="1:15" x14ac:dyDescent="0.25">
      <c r="A1199" t="s">
        <v>541</v>
      </c>
      <c r="B1199" t="s">
        <v>353</v>
      </c>
      <c r="C1199" t="s">
        <v>1663</v>
      </c>
      <c r="D1199" t="s">
        <v>26</v>
      </c>
      <c r="E1199" t="s">
        <v>1678</v>
      </c>
      <c r="F1199" t="s">
        <v>352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f t="shared" si="18"/>
        <v>7</v>
      </c>
      <c r="O1199" t="str">
        <f>IF(AND($A1199=Dashboard!$B$3,$B1199=Dashboard!$G$3,$D1199&lt;&gt;"NO_SERVICE"),ROW(),"")</f>
        <v/>
      </c>
    </row>
    <row r="1200" spans="1:15" x14ac:dyDescent="0.25">
      <c r="A1200" t="s">
        <v>4</v>
      </c>
      <c r="B1200" t="s">
        <v>2</v>
      </c>
      <c r="C1200" t="s">
        <v>1679</v>
      </c>
      <c r="D1200" t="s">
        <v>24</v>
      </c>
      <c r="E1200" t="s">
        <v>1680</v>
      </c>
      <c r="F1200" t="s">
        <v>1509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f t="shared" si="18"/>
        <v>7</v>
      </c>
      <c r="O1200" t="str">
        <f>IF(AND($A1200=Dashboard!$B$3,$B1200=Dashboard!$G$3,$D1200&lt;&gt;"NO_SERVICE"),ROW(),"")</f>
        <v/>
      </c>
    </row>
    <row r="1201" spans="1:15" x14ac:dyDescent="0.25">
      <c r="A1201" t="s">
        <v>4</v>
      </c>
      <c r="B1201" t="s">
        <v>2</v>
      </c>
      <c r="C1201" t="s">
        <v>1679</v>
      </c>
      <c r="D1201" t="s">
        <v>24</v>
      </c>
      <c r="E1201" t="s">
        <v>1681</v>
      </c>
      <c r="F1201" t="s">
        <v>637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f t="shared" si="18"/>
        <v>7</v>
      </c>
      <c r="O1201" t="str">
        <f>IF(AND($A1201=Dashboard!$B$3,$B1201=Dashboard!$G$3,$D1201&lt;&gt;"NO_SERVICE"),ROW(),"")</f>
        <v/>
      </c>
    </row>
    <row r="1202" spans="1:15" x14ac:dyDescent="0.25">
      <c r="A1202" t="s">
        <v>4</v>
      </c>
      <c r="B1202" t="s">
        <v>2</v>
      </c>
      <c r="C1202" t="s">
        <v>1679</v>
      </c>
      <c r="D1202" t="s">
        <v>24</v>
      </c>
      <c r="E1202" t="s">
        <v>1682</v>
      </c>
      <c r="F1202" t="s">
        <v>157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f t="shared" si="18"/>
        <v>7</v>
      </c>
      <c r="O1202" t="str">
        <f>IF(AND($A1202=Dashboard!$B$3,$B1202=Dashboard!$G$3,$D1202&lt;&gt;"NO_SERVICE"),ROW(),"")</f>
        <v/>
      </c>
    </row>
    <row r="1203" spans="1:15" x14ac:dyDescent="0.25">
      <c r="A1203" t="s">
        <v>4</v>
      </c>
      <c r="B1203" t="s">
        <v>2</v>
      </c>
      <c r="C1203" t="s">
        <v>1679</v>
      </c>
      <c r="D1203" t="s">
        <v>24</v>
      </c>
      <c r="E1203" t="s">
        <v>1683</v>
      </c>
      <c r="F1203" t="s">
        <v>228</v>
      </c>
      <c r="G1203">
        <v>1</v>
      </c>
      <c r="H1203">
        <v>1</v>
      </c>
      <c r="I1203">
        <v>0</v>
      </c>
      <c r="J1203">
        <v>1</v>
      </c>
      <c r="K1203">
        <v>1</v>
      </c>
      <c r="L1203">
        <v>1</v>
      </c>
      <c r="M1203">
        <v>0</v>
      </c>
      <c r="N1203">
        <f t="shared" si="18"/>
        <v>5</v>
      </c>
      <c r="O1203" t="str">
        <f>IF(AND($A1203=Dashboard!$B$3,$B1203=Dashboard!$G$3,$D1203&lt;&gt;"NO_SERVICE"),ROW(),"")</f>
        <v/>
      </c>
    </row>
    <row r="1204" spans="1:15" x14ac:dyDescent="0.25">
      <c r="A1204" t="s">
        <v>4</v>
      </c>
      <c r="B1204" t="s">
        <v>2</v>
      </c>
      <c r="C1204" t="s">
        <v>1679</v>
      </c>
      <c r="D1204" t="s">
        <v>24</v>
      </c>
      <c r="E1204" t="s">
        <v>1684</v>
      </c>
      <c r="F1204" t="s">
        <v>443</v>
      </c>
      <c r="G1204">
        <v>0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f t="shared" si="18"/>
        <v>1</v>
      </c>
      <c r="O1204" t="str">
        <f>IF(AND($A1204=Dashboard!$B$3,$B1204=Dashboard!$G$3,$D1204&lt;&gt;"NO_SERVICE"),ROW(),"")</f>
        <v/>
      </c>
    </row>
    <row r="1205" spans="1:15" x14ac:dyDescent="0.25">
      <c r="A1205" t="s">
        <v>4</v>
      </c>
      <c r="B1205" t="s">
        <v>2</v>
      </c>
      <c r="C1205" t="s">
        <v>1679</v>
      </c>
      <c r="D1205" t="s">
        <v>24</v>
      </c>
      <c r="E1205" t="s">
        <v>736</v>
      </c>
      <c r="F1205" t="s">
        <v>784</v>
      </c>
      <c r="G1205">
        <v>1</v>
      </c>
      <c r="H1205">
        <v>1</v>
      </c>
      <c r="I1205">
        <v>0</v>
      </c>
      <c r="J1205">
        <v>1</v>
      </c>
      <c r="K1205">
        <v>1</v>
      </c>
      <c r="L1205">
        <v>1</v>
      </c>
      <c r="M1205">
        <v>1</v>
      </c>
      <c r="N1205">
        <f t="shared" si="18"/>
        <v>6</v>
      </c>
      <c r="O1205" t="str">
        <f>IF(AND($A1205=Dashboard!$B$3,$B1205=Dashboard!$G$3,$D1205&lt;&gt;"NO_SERVICE"),ROW(),"")</f>
        <v/>
      </c>
    </row>
    <row r="1206" spans="1:15" x14ac:dyDescent="0.25">
      <c r="A1206" t="s">
        <v>4</v>
      </c>
      <c r="B1206" t="s">
        <v>2</v>
      </c>
      <c r="C1206" t="s">
        <v>1679</v>
      </c>
      <c r="D1206" t="s">
        <v>24</v>
      </c>
      <c r="E1206" t="s">
        <v>1685</v>
      </c>
      <c r="F1206" t="s">
        <v>1546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f t="shared" si="18"/>
        <v>7</v>
      </c>
      <c r="O1206" t="str">
        <f>IF(AND($A1206=Dashboard!$B$3,$B1206=Dashboard!$G$3,$D1206&lt;&gt;"NO_SERVICE"),ROW(),"")</f>
        <v/>
      </c>
    </row>
    <row r="1207" spans="1:15" x14ac:dyDescent="0.25">
      <c r="A1207" t="s">
        <v>4</v>
      </c>
      <c r="B1207" t="s">
        <v>2</v>
      </c>
      <c r="C1207" t="s">
        <v>1679</v>
      </c>
      <c r="D1207" t="s">
        <v>24</v>
      </c>
      <c r="E1207" t="s">
        <v>1686</v>
      </c>
      <c r="F1207" t="s">
        <v>466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f t="shared" si="18"/>
        <v>7</v>
      </c>
      <c r="O1207" t="str">
        <f>IF(AND($A1207=Dashboard!$B$3,$B1207=Dashboard!$G$3,$D1207&lt;&gt;"NO_SERVICE"),ROW(),"")</f>
        <v/>
      </c>
    </row>
    <row r="1208" spans="1:15" x14ac:dyDescent="0.25">
      <c r="A1208" t="s">
        <v>4</v>
      </c>
      <c r="B1208" t="s">
        <v>2</v>
      </c>
      <c r="C1208" t="s">
        <v>1679</v>
      </c>
      <c r="D1208" t="s">
        <v>24</v>
      </c>
      <c r="E1208" t="s">
        <v>1687</v>
      </c>
      <c r="F1208" t="s">
        <v>1164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f t="shared" si="18"/>
        <v>7</v>
      </c>
      <c r="O1208" t="str">
        <f>IF(AND($A1208=Dashboard!$B$3,$B1208=Dashboard!$G$3,$D1208&lt;&gt;"NO_SERVICE"),ROW(),"")</f>
        <v/>
      </c>
    </row>
    <row r="1209" spans="1:15" x14ac:dyDescent="0.25">
      <c r="A1209" t="s">
        <v>4</v>
      </c>
      <c r="B1209" t="s">
        <v>2</v>
      </c>
      <c r="C1209" t="s">
        <v>1679</v>
      </c>
      <c r="D1209" t="s">
        <v>24</v>
      </c>
      <c r="E1209" t="s">
        <v>1688</v>
      </c>
      <c r="F1209" t="s">
        <v>974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f t="shared" si="18"/>
        <v>7</v>
      </c>
      <c r="O1209" t="str">
        <f>IF(AND($A1209=Dashboard!$B$3,$B1209=Dashboard!$G$3,$D1209&lt;&gt;"NO_SERVICE"),ROW(),"")</f>
        <v/>
      </c>
    </row>
    <row r="1210" spans="1:15" x14ac:dyDescent="0.25">
      <c r="A1210" t="s">
        <v>4</v>
      </c>
      <c r="B1210" t="s">
        <v>2</v>
      </c>
      <c r="C1210" t="s">
        <v>1679</v>
      </c>
      <c r="D1210" t="s">
        <v>21</v>
      </c>
      <c r="E1210" t="s">
        <v>1689</v>
      </c>
      <c r="F1210" t="s">
        <v>319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f t="shared" si="18"/>
        <v>7</v>
      </c>
      <c r="O1210" t="str">
        <f>IF(AND($A1210=Dashboard!$B$3,$B1210=Dashboard!$G$3,$D1210&lt;&gt;"NO_SERVICE"),ROW(),"")</f>
        <v/>
      </c>
    </row>
    <row r="1211" spans="1:15" x14ac:dyDescent="0.25">
      <c r="A1211" t="s">
        <v>4</v>
      </c>
      <c r="B1211" t="s">
        <v>2</v>
      </c>
      <c r="C1211" t="s">
        <v>1679</v>
      </c>
      <c r="D1211" t="s">
        <v>21</v>
      </c>
      <c r="E1211" t="s">
        <v>1690</v>
      </c>
      <c r="F1211" t="s">
        <v>252</v>
      </c>
      <c r="G1211">
        <v>1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f t="shared" si="18"/>
        <v>2</v>
      </c>
      <c r="O1211" t="str">
        <f>IF(AND($A1211=Dashboard!$B$3,$B1211=Dashboard!$G$3,$D1211&lt;&gt;"NO_SERVICE"),ROW(),"")</f>
        <v/>
      </c>
    </row>
    <row r="1212" spans="1:15" x14ac:dyDescent="0.25">
      <c r="A1212" t="s">
        <v>4</v>
      </c>
      <c r="B1212" t="s">
        <v>2</v>
      </c>
      <c r="C1212" t="s">
        <v>1679</v>
      </c>
      <c r="D1212" t="s">
        <v>21</v>
      </c>
      <c r="E1212" t="s">
        <v>1691</v>
      </c>
      <c r="F1212" t="s">
        <v>159</v>
      </c>
      <c r="G1212">
        <v>1</v>
      </c>
      <c r="H1212">
        <v>1</v>
      </c>
      <c r="I1212">
        <v>0</v>
      </c>
      <c r="J1212">
        <v>1</v>
      </c>
      <c r="K1212">
        <v>1</v>
      </c>
      <c r="L1212">
        <v>1</v>
      </c>
      <c r="M1212">
        <v>1</v>
      </c>
      <c r="N1212">
        <f t="shared" si="18"/>
        <v>6</v>
      </c>
      <c r="O1212" t="str">
        <f>IF(AND($A1212=Dashboard!$B$3,$B1212=Dashboard!$G$3,$D1212&lt;&gt;"NO_SERVICE"),ROW(),"")</f>
        <v/>
      </c>
    </row>
    <row r="1213" spans="1:15" x14ac:dyDescent="0.25">
      <c r="A1213" t="s">
        <v>4</v>
      </c>
      <c r="B1213" t="s">
        <v>2</v>
      </c>
      <c r="C1213" t="s">
        <v>1679</v>
      </c>
      <c r="D1213" t="s">
        <v>21</v>
      </c>
      <c r="E1213" t="s">
        <v>1692</v>
      </c>
      <c r="F1213" t="s">
        <v>163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f t="shared" si="18"/>
        <v>7</v>
      </c>
      <c r="O1213" t="str">
        <f>IF(AND($A1213=Dashboard!$B$3,$B1213=Dashboard!$G$3,$D1213&lt;&gt;"NO_SERVICE"),ROW(),"")</f>
        <v/>
      </c>
    </row>
    <row r="1214" spans="1:15" x14ac:dyDescent="0.25">
      <c r="A1214" t="s">
        <v>4</v>
      </c>
      <c r="B1214" t="s">
        <v>2</v>
      </c>
      <c r="C1214" t="s">
        <v>1679</v>
      </c>
      <c r="D1214" t="s">
        <v>21</v>
      </c>
      <c r="E1214" t="s">
        <v>1693</v>
      </c>
      <c r="F1214" t="s">
        <v>165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f t="shared" si="18"/>
        <v>7</v>
      </c>
      <c r="O1214" t="str">
        <f>IF(AND($A1214=Dashboard!$B$3,$B1214=Dashboard!$G$3,$D1214&lt;&gt;"NO_SERVICE"),ROW(),"")</f>
        <v/>
      </c>
    </row>
    <row r="1215" spans="1:15" x14ac:dyDescent="0.25">
      <c r="A1215" t="s">
        <v>4</v>
      </c>
      <c r="B1215" t="s">
        <v>2</v>
      </c>
      <c r="C1215" t="s">
        <v>1679</v>
      </c>
      <c r="D1215" t="s">
        <v>21</v>
      </c>
      <c r="E1215" t="s">
        <v>1694</v>
      </c>
      <c r="F1215" t="s">
        <v>400</v>
      </c>
      <c r="G1215">
        <v>1</v>
      </c>
      <c r="H1215">
        <v>1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f t="shared" si="18"/>
        <v>3</v>
      </c>
      <c r="O1215" t="str">
        <f>IF(AND($A1215=Dashboard!$B$3,$B1215=Dashboard!$G$3,$D1215&lt;&gt;"NO_SERVICE"),ROW(),"")</f>
        <v/>
      </c>
    </row>
    <row r="1216" spans="1:15" x14ac:dyDescent="0.25">
      <c r="A1216" t="s">
        <v>4</v>
      </c>
      <c r="B1216" t="s">
        <v>2</v>
      </c>
      <c r="C1216" t="s">
        <v>1679</v>
      </c>
      <c r="D1216" t="s">
        <v>21</v>
      </c>
      <c r="E1216" t="s">
        <v>1695</v>
      </c>
      <c r="F1216" t="s">
        <v>342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f t="shared" si="18"/>
        <v>7</v>
      </c>
      <c r="O1216" t="str">
        <f>IF(AND($A1216=Dashboard!$B$3,$B1216=Dashboard!$G$3,$D1216&lt;&gt;"NO_SERVICE"),ROW(),"")</f>
        <v/>
      </c>
    </row>
    <row r="1217" spans="1:15" x14ac:dyDescent="0.25">
      <c r="A1217" t="s">
        <v>4</v>
      </c>
      <c r="B1217" t="s">
        <v>2</v>
      </c>
      <c r="C1217" t="s">
        <v>1679</v>
      </c>
      <c r="D1217" t="s">
        <v>21</v>
      </c>
      <c r="E1217" t="s">
        <v>1696</v>
      </c>
      <c r="F1217" t="s">
        <v>1376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f t="shared" si="18"/>
        <v>7</v>
      </c>
      <c r="O1217" t="str">
        <f>IF(AND($A1217=Dashboard!$B$3,$B1217=Dashboard!$G$3,$D1217&lt;&gt;"NO_SERVICE"),ROW(),"")</f>
        <v/>
      </c>
    </row>
    <row r="1218" spans="1:15" x14ac:dyDescent="0.25">
      <c r="A1218" t="s">
        <v>4</v>
      </c>
      <c r="B1218" t="s">
        <v>353</v>
      </c>
      <c r="C1218" t="s">
        <v>1697</v>
      </c>
      <c r="D1218" t="s">
        <v>24</v>
      </c>
      <c r="E1218" t="s">
        <v>1698</v>
      </c>
      <c r="F1218" t="s">
        <v>395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0</v>
      </c>
      <c r="N1218">
        <f t="shared" ref="N1218:N1281" si="19">SUM(G1218:M1218)</f>
        <v>6</v>
      </c>
      <c r="O1218" t="str">
        <f>IF(AND($A1218=Dashboard!$B$3,$B1218=Dashboard!$G$3,$D1218&lt;&gt;"NO_SERVICE"),ROW(),"")</f>
        <v/>
      </c>
    </row>
    <row r="1219" spans="1:15" x14ac:dyDescent="0.25">
      <c r="A1219" t="s">
        <v>4</v>
      </c>
      <c r="B1219" t="s">
        <v>353</v>
      </c>
      <c r="C1219" t="s">
        <v>1697</v>
      </c>
      <c r="D1219" t="s">
        <v>24</v>
      </c>
      <c r="E1219" t="s">
        <v>1699</v>
      </c>
      <c r="F1219" t="s">
        <v>66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f t="shared" si="19"/>
        <v>7</v>
      </c>
      <c r="O1219" t="str">
        <f>IF(AND($A1219=Dashboard!$B$3,$B1219=Dashboard!$G$3,$D1219&lt;&gt;"NO_SERVICE"),ROW(),"")</f>
        <v/>
      </c>
    </row>
    <row r="1220" spans="1:15" x14ac:dyDescent="0.25">
      <c r="A1220" t="s">
        <v>4</v>
      </c>
      <c r="B1220" t="s">
        <v>353</v>
      </c>
      <c r="C1220" t="s">
        <v>1697</v>
      </c>
      <c r="D1220" t="s">
        <v>24</v>
      </c>
      <c r="E1220" t="s">
        <v>1700</v>
      </c>
      <c r="F1220" t="s">
        <v>488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0</v>
      </c>
      <c r="N1220">
        <f t="shared" si="19"/>
        <v>6</v>
      </c>
      <c r="O1220" t="str">
        <f>IF(AND($A1220=Dashboard!$B$3,$B1220=Dashboard!$G$3,$D1220&lt;&gt;"NO_SERVICE"),ROW(),"")</f>
        <v/>
      </c>
    </row>
    <row r="1221" spans="1:15" x14ac:dyDescent="0.25">
      <c r="A1221" t="s">
        <v>4</v>
      </c>
      <c r="B1221" t="s">
        <v>353</v>
      </c>
      <c r="C1221" t="s">
        <v>1697</v>
      </c>
      <c r="D1221" t="s">
        <v>24</v>
      </c>
      <c r="E1221" t="s">
        <v>1701</v>
      </c>
      <c r="F1221" t="s">
        <v>772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f t="shared" si="19"/>
        <v>7</v>
      </c>
      <c r="O1221" t="str">
        <f>IF(AND($A1221=Dashboard!$B$3,$B1221=Dashboard!$G$3,$D1221&lt;&gt;"NO_SERVICE"),ROW(),"")</f>
        <v/>
      </c>
    </row>
    <row r="1222" spans="1:15" x14ac:dyDescent="0.25">
      <c r="A1222" t="s">
        <v>4</v>
      </c>
      <c r="B1222" t="s">
        <v>353</v>
      </c>
      <c r="C1222" t="s">
        <v>1697</v>
      </c>
      <c r="D1222" t="s">
        <v>24</v>
      </c>
      <c r="E1222" t="s">
        <v>1702</v>
      </c>
      <c r="F1222" t="s">
        <v>890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f t="shared" si="19"/>
        <v>7</v>
      </c>
      <c r="O1222" t="str">
        <f>IF(AND($A1222=Dashboard!$B$3,$B1222=Dashboard!$G$3,$D1222&lt;&gt;"NO_SERVICE"),ROW(),"")</f>
        <v/>
      </c>
    </row>
    <row r="1223" spans="1:15" x14ac:dyDescent="0.25">
      <c r="A1223" t="s">
        <v>4</v>
      </c>
      <c r="B1223" t="s">
        <v>353</v>
      </c>
      <c r="C1223" t="s">
        <v>1697</v>
      </c>
      <c r="D1223" t="s">
        <v>24</v>
      </c>
      <c r="E1223" t="s">
        <v>1703</v>
      </c>
      <c r="F1223" t="s">
        <v>1030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f t="shared" si="19"/>
        <v>7</v>
      </c>
      <c r="O1223" t="str">
        <f>IF(AND($A1223=Dashboard!$B$3,$B1223=Dashboard!$G$3,$D1223&lt;&gt;"NO_SERVICE"),ROW(),"")</f>
        <v/>
      </c>
    </row>
    <row r="1224" spans="1:15" x14ac:dyDescent="0.25">
      <c r="A1224" t="s">
        <v>4</v>
      </c>
      <c r="B1224" t="s">
        <v>353</v>
      </c>
      <c r="C1224" t="s">
        <v>1697</v>
      </c>
      <c r="D1224" t="s">
        <v>24</v>
      </c>
      <c r="E1224" t="s">
        <v>1704</v>
      </c>
      <c r="F1224" t="s">
        <v>836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f t="shared" si="19"/>
        <v>7</v>
      </c>
      <c r="O1224" t="str">
        <f>IF(AND($A1224=Dashboard!$B$3,$B1224=Dashboard!$G$3,$D1224&lt;&gt;"NO_SERVICE"),ROW(),"")</f>
        <v/>
      </c>
    </row>
    <row r="1225" spans="1:15" x14ac:dyDescent="0.25">
      <c r="A1225" t="s">
        <v>4</v>
      </c>
      <c r="B1225" t="s">
        <v>353</v>
      </c>
      <c r="C1225" t="s">
        <v>1697</v>
      </c>
      <c r="D1225" t="s">
        <v>24</v>
      </c>
      <c r="E1225" t="s">
        <v>1705</v>
      </c>
      <c r="F1225" t="s">
        <v>832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f t="shared" si="19"/>
        <v>7</v>
      </c>
      <c r="O1225" t="str">
        <f>IF(AND($A1225=Dashboard!$B$3,$B1225=Dashboard!$G$3,$D1225&lt;&gt;"NO_SERVICE"),ROW(),"")</f>
        <v/>
      </c>
    </row>
    <row r="1226" spans="1:15" x14ac:dyDescent="0.25">
      <c r="A1226" t="s">
        <v>4</v>
      </c>
      <c r="B1226" t="s">
        <v>353</v>
      </c>
      <c r="C1226" t="s">
        <v>1697</v>
      </c>
      <c r="D1226" t="s">
        <v>24</v>
      </c>
      <c r="E1226" t="s">
        <v>1706</v>
      </c>
      <c r="F1226" t="s">
        <v>212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f t="shared" si="19"/>
        <v>7</v>
      </c>
      <c r="O1226" t="str">
        <f>IF(AND($A1226=Dashboard!$B$3,$B1226=Dashboard!$G$3,$D1226&lt;&gt;"NO_SERVICE"),ROW(),"")</f>
        <v/>
      </c>
    </row>
    <row r="1227" spans="1:15" x14ac:dyDescent="0.25">
      <c r="A1227" t="s">
        <v>4</v>
      </c>
      <c r="B1227" t="s">
        <v>353</v>
      </c>
      <c r="C1227" t="s">
        <v>1697</v>
      </c>
      <c r="D1227" t="s">
        <v>24</v>
      </c>
      <c r="E1227" t="s">
        <v>1707</v>
      </c>
      <c r="F1227" t="s">
        <v>1319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f t="shared" si="19"/>
        <v>7</v>
      </c>
      <c r="O1227" t="str">
        <f>IF(AND($A1227=Dashboard!$B$3,$B1227=Dashboard!$G$3,$D1227&lt;&gt;"NO_SERVICE"),ROW(),"")</f>
        <v/>
      </c>
    </row>
    <row r="1228" spans="1:15" x14ac:dyDescent="0.25">
      <c r="A1228" t="s">
        <v>4</v>
      </c>
      <c r="B1228" t="s">
        <v>353</v>
      </c>
      <c r="C1228" t="s">
        <v>1697</v>
      </c>
      <c r="D1228" t="s">
        <v>24</v>
      </c>
      <c r="E1228" t="s">
        <v>1708</v>
      </c>
      <c r="F1228" t="s">
        <v>801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f t="shared" si="19"/>
        <v>7</v>
      </c>
      <c r="O1228" t="str">
        <f>IF(AND($A1228=Dashboard!$B$3,$B1228=Dashboard!$G$3,$D1228&lt;&gt;"NO_SERVICE"),ROW(),"")</f>
        <v/>
      </c>
    </row>
    <row r="1229" spans="1:15" x14ac:dyDescent="0.25">
      <c r="A1229" t="s">
        <v>4</v>
      </c>
      <c r="B1229" t="s">
        <v>353</v>
      </c>
      <c r="C1229" t="s">
        <v>1697</v>
      </c>
      <c r="D1229" t="s">
        <v>24</v>
      </c>
      <c r="E1229" t="s">
        <v>1709</v>
      </c>
      <c r="F1229" t="s">
        <v>147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f t="shared" si="19"/>
        <v>7</v>
      </c>
      <c r="O1229" t="str">
        <f>IF(AND($A1229=Dashboard!$B$3,$B1229=Dashboard!$G$3,$D1229&lt;&gt;"NO_SERVICE"),ROW(),"")</f>
        <v/>
      </c>
    </row>
    <row r="1230" spans="1:15" x14ac:dyDescent="0.25">
      <c r="A1230" t="s">
        <v>4</v>
      </c>
      <c r="B1230" t="s">
        <v>353</v>
      </c>
      <c r="C1230" t="s">
        <v>1697</v>
      </c>
      <c r="D1230" t="s">
        <v>24</v>
      </c>
      <c r="E1230" t="s">
        <v>1710</v>
      </c>
      <c r="F1230" t="s">
        <v>390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f t="shared" si="19"/>
        <v>7</v>
      </c>
      <c r="O1230" t="str">
        <f>IF(AND($A1230=Dashboard!$B$3,$B1230=Dashboard!$G$3,$D1230&lt;&gt;"NO_SERVICE"),ROW(),"")</f>
        <v/>
      </c>
    </row>
    <row r="1231" spans="1:15" x14ac:dyDescent="0.25">
      <c r="A1231" t="s">
        <v>4</v>
      </c>
      <c r="B1231" t="s">
        <v>353</v>
      </c>
      <c r="C1231" t="s">
        <v>1697</v>
      </c>
      <c r="D1231" t="s">
        <v>24</v>
      </c>
      <c r="E1231" t="s">
        <v>1711</v>
      </c>
      <c r="F1231" t="s">
        <v>60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f t="shared" si="19"/>
        <v>7</v>
      </c>
      <c r="O1231" t="str">
        <f>IF(AND($A1231=Dashboard!$B$3,$B1231=Dashboard!$G$3,$D1231&lt;&gt;"NO_SERVICE"),ROW(),"")</f>
        <v/>
      </c>
    </row>
    <row r="1232" spans="1:15" x14ac:dyDescent="0.25">
      <c r="A1232" t="s">
        <v>4</v>
      </c>
      <c r="B1232" t="s">
        <v>353</v>
      </c>
      <c r="C1232" t="s">
        <v>1697</v>
      </c>
      <c r="D1232" t="s">
        <v>24</v>
      </c>
      <c r="E1232" t="s">
        <v>1712</v>
      </c>
      <c r="F1232" t="s">
        <v>530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f t="shared" si="19"/>
        <v>7</v>
      </c>
      <c r="O1232" t="str">
        <f>IF(AND($A1232=Dashboard!$B$3,$B1232=Dashboard!$G$3,$D1232&lt;&gt;"NO_SERVICE"),ROW(),"")</f>
        <v/>
      </c>
    </row>
    <row r="1233" spans="1:15" x14ac:dyDescent="0.25">
      <c r="A1233" t="s">
        <v>4</v>
      </c>
      <c r="B1233" t="s">
        <v>353</v>
      </c>
      <c r="C1233" t="s">
        <v>1697</v>
      </c>
      <c r="D1233" t="s">
        <v>24</v>
      </c>
      <c r="E1233" t="s">
        <v>1713</v>
      </c>
      <c r="F1233" t="s">
        <v>293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f t="shared" si="19"/>
        <v>7</v>
      </c>
      <c r="O1233" t="str">
        <f>IF(AND($A1233=Dashboard!$B$3,$B1233=Dashboard!$G$3,$D1233&lt;&gt;"NO_SERVICE"),ROW(),"")</f>
        <v/>
      </c>
    </row>
    <row r="1234" spans="1:15" x14ac:dyDescent="0.25">
      <c r="A1234" t="s">
        <v>4</v>
      </c>
      <c r="B1234" t="s">
        <v>353</v>
      </c>
      <c r="C1234" t="s">
        <v>1697</v>
      </c>
      <c r="D1234" t="s">
        <v>24</v>
      </c>
      <c r="E1234" t="s">
        <v>1714</v>
      </c>
      <c r="F1234" t="s">
        <v>317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f t="shared" si="19"/>
        <v>7</v>
      </c>
      <c r="O1234" t="str">
        <f>IF(AND($A1234=Dashboard!$B$3,$B1234=Dashboard!$G$3,$D1234&lt;&gt;"NO_SERVICE"),ROW(),"")</f>
        <v/>
      </c>
    </row>
    <row r="1235" spans="1:15" x14ac:dyDescent="0.25">
      <c r="A1235" t="s">
        <v>4</v>
      </c>
      <c r="B1235" t="s">
        <v>353</v>
      </c>
      <c r="C1235" t="s">
        <v>1697</v>
      </c>
      <c r="D1235" t="s">
        <v>24</v>
      </c>
      <c r="E1235" t="s">
        <v>1715</v>
      </c>
      <c r="F1235" t="s">
        <v>674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f t="shared" si="19"/>
        <v>7</v>
      </c>
      <c r="O1235" t="str">
        <f>IF(AND($A1235=Dashboard!$B$3,$B1235=Dashboard!$G$3,$D1235&lt;&gt;"NO_SERVICE"),ROW(),"")</f>
        <v/>
      </c>
    </row>
    <row r="1236" spans="1:15" x14ac:dyDescent="0.25">
      <c r="A1236" t="s">
        <v>4</v>
      </c>
      <c r="B1236" t="s">
        <v>353</v>
      </c>
      <c r="C1236" t="s">
        <v>1697</v>
      </c>
      <c r="D1236" t="s">
        <v>24</v>
      </c>
      <c r="E1236" t="s">
        <v>1716</v>
      </c>
      <c r="F1236" t="s">
        <v>458</v>
      </c>
      <c r="G1236">
        <v>1</v>
      </c>
      <c r="H1236">
        <v>0</v>
      </c>
      <c r="I1236">
        <v>1</v>
      </c>
      <c r="J1236">
        <v>1</v>
      </c>
      <c r="K1236">
        <v>1</v>
      </c>
      <c r="L1236">
        <v>0</v>
      </c>
      <c r="M1236">
        <v>1</v>
      </c>
      <c r="N1236">
        <f t="shared" si="19"/>
        <v>5</v>
      </c>
      <c r="O1236" t="str">
        <f>IF(AND($A1236=Dashboard!$B$3,$B1236=Dashboard!$G$3,$D1236&lt;&gt;"NO_SERVICE"),ROW(),"")</f>
        <v/>
      </c>
    </row>
    <row r="1237" spans="1:15" x14ac:dyDescent="0.25">
      <c r="A1237" t="s">
        <v>4</v>
      </c>
      <c r="B1237" t="s">
        <v>353</v>
      </c>
      <c r="C1237" t="s">
        <v>1697</v>
      </c>
      <c r="D1237" t="s">
        <v>24</v>
      </c>
      <c r="E1237" t="s">
        <v>1717</v>
      </c>
      <c r="F1237" t="s">
        <v>121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f t="shared" si="19"/>
        <v>7</v>
      </c>
      <c r="O1237" t="str">
        <f>IF(AND($A1237=Dashboard!$B$3,$B1237=Dashboard!$G$3,$D1237&lt;&gt;"NO_SERVICE"),ROW(),"")</f>
        <v/>
      </c>
    </row>
    <row r="1238" spans="1:15" x14ac:dyDescent="0.25">
      <c r="A1238" t="s">
        <v>4</v>
      </c>
      <c r="B1238" t="s">
        <v>353</v>
      </c>
      <c r="C1238" t="s">
        <v>1697</v>
      </c>
      <c r="D1238" t="s">
        <v>24</v>
      </c>
      <c r="E1238" t="s">
        <v>1718</v>
      </c>
      <c r="F1238" t="s">
        <v>473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f t="shared" si="19"/>
        <v>7</v>
      </c>
      <c r="O1238" t="str">
        <f>IF(AND($A1238=Dashboard!$B$3,$B1238=Dashboard!$G$3,$D1238&lt;&gt;"NO_SERVICE"),ROW(),"")</f>
        <v/>
      </c>
    </row>
    <row r="1239" spans="1:15" x14ac:dyDescent="0.25">
      <c r="A1239" t="s">
        <v>4</v>
      </c>
      <c r="B1239" t="s">
        <v>353</v>
      </c>
      <c r="C1239" t="s">
        <v>1697</v>
      </c>
      <c r="D1239" t="s">
        <v>24</v>
      </c>
      <c r="E1239" t="s">
        <v>1719</v>
      </c>
      <c r="F1239" t="s">
        <v>1108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f t="shared" si="19"/>
        <v>7</v>
      </c>
      <c r="O1239" t="str">
        <f>IF(AND($A1239=Dashboard!$B$3,$B1239=Dashboard!$G$3,$D1239&lt;&gt;"NO_SERVICE"),ROW(),"")</f>
        <v/>
      </c>
    </row>
    <row r="1240" spans="1:15" x14ac:dyDescent="0.25">
      <c r="A1240" t="s">
        <v>4</v>
      </c>
      <c r="B1240" t="s">
        <v>353</v>
      </c>
      <c r="C1240" t="s">
        <v>1697</v>
      </c>
      <c r="D1240" t="s">
        <v>21</v>
      </c>
      <c r="E1240" t="s">
        <v>1720</v>
      </c>
      <c r="F1240" t="s">
        <v>1251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f t="shared" si="19"/>
        <v>7</v>
      </c>
      <c r="O1240" t="str">
        <f>IF(AND($A1240=Dashboard!$B$3,$B1240=Dashboard!$G$3,$D1240&lt;&gt;"NO_SERVICE"),ROW(),"")</f>
        <v/>
      </c>
    </row>
    <row r="1241" spans="1:15" x14ac:dyDescent="0.25">
      <c r="A1241" t="s">
        <v>4</v>
      </c>
      <c r="B1241" t="s">
        <v>353</v>
      </c>
      <c r="C1241" t="s">
        <v>1697</v>
      </c>
      <c r="D1241" t="s">
        <v>21</v>
      </c>
      <c r="E1241" t="s">
        <v>1721</v>
      </c>
      <c r="F1241" t="s">
        <v>199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f t="shared" si="19"/>
        <v>7</v>
      </c>
      <c r="O1241" t="str">
        <f>IF(AND($A1241=Dashboard!$B$3,$B1241=Dashboard!$G$3,$D1241&lt;&gt;"NO_SERVICE"),ROW(),"")</f>
        <v/>
      </c>
    </row>
    <row r="1242" spans="1:15" x14ac:dyDescent="0.25">
      <c r="A1242" t="s">
        <v>4</v>
      </c>
      <c r="B1242" t="s">
        <v>353</v>
      </c>
      <c r="C1242" t="s">
        <v>1697</v>
      </c>
      <c r="D1242" t="s">
        <v>21</v>
      </c>
      <c r="E1242" t="s">
        <v>1722</v>
      </c>
      <c r="F1242" t="s">
        <v>515</v>
      </c>
      <c r="G1242">
        <v>0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f t="shared" si="19"/>
        <v>6</v>
      </c>
      <c r="O1242" t="str">
        <f>IF(AND($A1242=Dashboard!$B$3,$B1242=Dashboard!$G$3,$D1242&lt;&gt;"NO_SERVICE"),ROW(),"")</f>
        <v/>
      </c>
    </row>
    <row r="1243" spans="1:15" x14ac:dyDescent="0.25">
      <c r="A1243" t="s">
        <v>4</v>
      </c>
      <c r="B1243" t="s">
        <v>353</v>
      </c>
      <c r="C1243" t="s">
        <v>1697</v>
      </c>
      <c r="D1243" t="s">
        <v>21</v>
      </c>
      <c r="E1243" t="s">
        <v>1723</v>
      </c>
      <c r="F1243" t="s">
        <v>985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f t="shared" si="19"/>
        <v>7</v>
      </c>
      <c r="O1243" t="str">
        <f>IF(AND($A1243=Dashboard!$B$3,$B1243=Dashboard!$G$3,$D1243&lt;&gt;"NO_SERVICE"),ROW(),"")</f>
        <v/>
      </c>
    </row>
    <row r="1244" spans="1:15" x14ac:dyDescent="0.25">
      <c r="A1244" t="s">
        <v>4</v>
      </c>
      <c r="B1244" t="s">
        <v>353</v>
      </c>
      <c r="C1244" t="s">
        <v>1697</v>
      </c>
      <c r="D1244" t="s">
        <v>21</v>
      </c>
      <c r="E1244" t="s">
        <v>1724</v>
      </c>
      <c r="F1244" t="s">
        <v>157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f t="shared" si="19"/>
        <v>7</v>
      </c>
      <c r="O1244" t="str">
        <f>IF(AND($A1244=Dashboard!$B$3,$B1244=Dashboard!$G$3,$D1244&lt;&gt;"NO_SERVICE"),ROW(),"")</f>
        <v/>
      </c>
    </row>
    <row r="1245" spans="1:15" x14ac:dyDescent="0.25">
      <c r="A1245" t="s">
        <v>4</v>
      </c>
      <c r="B1245" t="s">
        <v>353</v>
      </c>
      <c r="C1245" t="s">
        <v>1697</v>
      </c>
      <c r="D1245" t="s">
        <v>21</v>
      </c>
      <c r="E1245" t="s">
        <v>1725</v>
      </c>
      <c r="F1245" t="s">
        <v>772</v>
      </c>
      <c r="G1245">
        <v>1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f t="shared" si="19"/>
        <v>2</v>
      </c>
      <c r="O1245" t="str">
        <f>IF(AND($A1245=Dashboard!$B$3,$B1245=Dashboard!$G$3,$D1245&lt;&gt;"NO_SERVICE"),ROW(),"")</f>
        <v/>
      </c>
    </row>
    <row r="1246" spans="1:15" x14ac:dyDescent="0.25">
      <c r="A1246" t="s">
        <v>4</v>
      </c>
      <c r="B1246" t="s">
        <v>353</v>
      </c>
      <c r="C1246" t="s">
        <v>1697</v>
      </c>
      <c r="D1246" t="s">
        <v>21</v>
      </c>
      <c r="E1246" t="s">
        <v>1726</v>
      </c>
      <c r="F1246" t="s">
        <v>953</v>
      </c>
      <c r="G1246">
        <v>1</v>
      </c>
      <c r="H1246">
        <v>1</v>
      </c>
      <c r="I1246">
        <v>1</v>
      </c>
      <c r="J1246">
        <v>1</v>
      </c>
      <c r="K1246">
        <v>0</v>
      </c>
      <c r="L1246">
        <v>0</v>
      </c>
      <c r="M1246">
        <v>1</v>
      </c>
      <c r="N1246">
        <f t="shared" si="19"/>
        <v>5</v>
      </c>
      <c r="O1246" t="str">
        <f>IF(AND($A1246=Dashboard!$B$3,$B1246=Dashboard!$G$3,$D1246&lt;&gt;"NO_SERVICE"),ROW(),"")</f>
        <v/>
      </c>
    </row>
    <row r="1247" spans="1:15" x14ac:dyDescent="0.25">
      <c r="A1247" t="s">
        <v>4</v>
      </c>
      <c r="B1247" t="s">
        <v>353</v>
      </c>
      <c r="C1247" t="s">
        <v>1697</v>
      </c>
      <c r="D1247" t="s">
        <v>21</v>
      </c>
      <c r="E1247" t="s">
        <v>1727</v>
      </c>
      <c r="F1247" t="s">
        <v>1405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1</v>
      </c>
      <c r="N1247">
        <f t="shared" si="19"/>
        <v>1</v>
      </c>
      <c r="O1247" t="str">
        <f>IF(AND($A1247=Dashboard!$B$3,$B1247=Dashboard!$G$3,$D1247&lt;&gt;"NO_SERVICE"),ROW(),"")</f>
        <v/>
      </c>
    </row>
    <row r="1248" spans="1:15" x14ac:dyDescent="0.25">
      <c r="A1248" t="s">
        <v>4</v>
      </c>
      <c r="B1248" t="s">
        <v>353</v>
      </c>
      <c r="C1248" t="s">
        <v>1697</v>
      </c>
      <c r="D1248" t="s">
        <v>21</v>
      </c>
      <c r="E1248" t="s">
        <v>1728</v>
      </c>
      <c r="F1248" t="s">
        <v>131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f t="shared" si="19"/>
        <v>7</v>
      </c>
      <c r="O1248" t="str">
        <f>IF(AND($A1248=Dashboard!$B$3,$B1248=Dashboard!$G$3,$D1248&lt;&gt;"NO_SERVICE"),ROW(),"")</f>
        <v/>
      </c>
    </row>
    <row r="1249" spans="1:15" x14ac:dyDescent="0.25">
      <c r="A1249" t="s">
        <v>4</v>
      </c>
      <c r="B1249" t="s">
        <v>353</v>
      </c>
      <c r="C1249" t="s">
        <v>1697</v>
      </c>
      <c r="D1249" t="s">
        <v>21</v>
      </c>
      <c r="E1249" t="s">
        <v>1729</v>
      </c>
      <c r="F1249" t="s">
        <v>1030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f t="shared" si="19"/>
        <v>7</v>
      </c>
      <c r="O1249" t="str">
        <f>IF(AND($A1249=Dashboard!$B$3,$B1249=Dashboard!$G$3,$D1249&lt;&gt;"NO_SERVICE"),ROW(),"")</f>
        <v/>
      </c>
    </row>
    <row r="1250" spans="1:15" x14ac:dyDescent="0.25">
      <c r="A1250" t="s">
        <v>4</v>
      </c>
      <c r="B1250" t="s">
        <v>353</v>
      </c>
      <c r="C1250" t="s">
        <v>1697</v>
      </c>
      <c r="D1250" t="s">
        <v>21</v>
      </c>
      <c r="E1250" t="s">
        <v>1730</v>
      </c>
      <c r="F1250" t="s">
        <v>309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f t="shared" si="19"/>
        <v>7</v>
      </c>
      <c r="O1250" t="str">
        <f>IF(AND($A1250=Dashboard!$B$3,$B1250=Dashboard!$G$3,$D1250&lt;&gt;"NO_SERVICE"),ROW(),"")</f>
        <v/>
      </c>
    </row>
    <row r="1251" spans="1:15" x14ac:dyDescent="0.25">
      <c r="A1251" t="s">
        <v>4</v>
      </c>
      <c r="B1251" t="s">
        <v>353</v>
      </c>
      <c r="C1251" t="s">
        <v>1697</v>
      </c>
      <c r="D1251" t="s">
        <v>21</v>
      </c>
      <c r="E1251" t="s">
        <v>1731</v>
      </c>
      <c r="F1251" t="s">
        <v>832</v>
      </c>
      <c r="G1251">
        <v>1</v>
      </c>
      <c r="H1251">
        <v>0</v>
      </c>
      <c r="I1251">
        <v>1</v>
      </c>
      <c r="J1251">
        <v>1</v>
      </c>
      <c r="K1251">
        <v>0</v>
      </c>
      <c r="L1251">
        <v>0</v>
      </c>
      <c r="M1251">
        <v>1</v>
      </c>
      <c r="N1251">
        <f t="shared" si="19"/>
        <v>4</v>
      </c>
      <c r="O1251" t="str">
        <f>IF(AND($A1251=Dashboard!$B$3,$B1251=Dashboard!$G$3,$D1251&lt;&gt;"NO_SERVICE"),ROW(),"")</f>
        <v/>
      </c>
    </row>
    <row r="1252" spans="1:15" x14ac:dyDescent="0.25">
      <c r="A1252" t="s">
        <v>4</v>
      </c>
      <c r="B1252" t="s">
        <v>353</v>
      </c>
      <c r="C1252" t="s">
        <v>1697</v>
      </c>
      <c r="D1252" t="s">
        <v>21</v>
      </c>
      <c r="E1252" t="s">
        <v>1732</v>
      </c>
      <c r="F1252" t="s">
        <v>212</v>
      </c>
      <c r="G1252">
        <v>0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f t="shared" si="19"/>
        <v>6</v>
      </c>
      <c r="O1252" t="str">
        <f>IF(AND($A1252=Dashboard!$B$3,$B1252=Dashboard!$G$3,$D1252&lt;&gt;"NO_SERVICE"),ROW(),"")</f>
        <v/>
      </c>
    </row>
    <row r="1253" spans="1:15" x14ac:dyDescent="0.25">
      <c r="A1253" t="s">
        <v>4</v>
      </c>
      <c r="B1253" t="s">
        <v>353</v>
      </c>
      <c r="C1253" t="s">
        <v>1697</v>
      </c>
      <c r="D1253" t="s">
        <v>21</v>
      </c>
      <c r="E1253" t="s">
        <v>1733</v>
      </c>
      <c r="F1253" t="s">
        <v>204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f t="shared" si="19"/>
        <v>7</v>
      </c>
      <c r="O1253" t="str">
        <f>IF(AND($A1253=Dashboard!$B$3,$B1253=Dashboard!$G$3,$D1253&lt;&gt;"NO_SERVICE"),ROW(),"")</f>
        <v/>
      </c>
    </row>
    <row r="1254" spans="1:15" x14ac:dyDescent="0.25">
      <c r="A1254" t="s">
        <v>4</v>
      </c>
      <c r="B1254" t="s">
        <v>353</v>
      </c>
      <c r="C1254" t="s">
        <v>1697</v>
      </c>
      <c r="D1254" t="s">
        <v>21</v>
      </c>
      <c r="E1254" t="s">
        <v>1734</v>
      </c>
      <c r="F1254" t="s">
        <v>390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f t="shared" si="19"/>
        <v>7</v>
      </c>
      <c r="O1254" t="str">
        <f>IF(AND($A1254=Dashboard!$B$3,$B1254=Dashboard!$G$3,$D1254&lt;&gt;"NO_SERVICE"),ROW(),"")</f>
        <v/>
      </c>
    </row>
    <row r="1255" spans="1:15" x14ac:dyDescent="0.25">
      <c r="A1255" t="s">
        <v>4</v>
      </c>
      <c r="B1255" t="s">
        <v>353</v>
      </c>
      <c r="C1255" t="s">
        <v>1697</v>
      </c>
      <c r="D1255" t="s">
        <v>21</v>
      </c>
      <c r="E1255" t="s">
        <v>1735</v>
      </c>
      <c r="F1255" t="s">
        <v>219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f t="shared" si="19"/>
        <v>7</v>
      </c>
      <c r="O1255" t="str">
        <f>IF(AND($A1255=Dashboard!$B$3,$B1255=Dashboard!$G$3,$D1255&lt;&gt;"NO_SERVICE"),ROW(),"")</f>
        <v/>
      </c>
    </row>
    <row r="1256" spans="1:15" x14ac:dyDescent="0.25">
      <c r="A1256" t="s">
        <v>4</v>
      </c>
      <c r="B1256" t="s">
        <v>353</v>
      </c>
      <c r="C1256" t="s">
        <v>1697</v>
      </c>
      <c r="D1256" t="s">
        <v>21</v>
      </c>
      <c r="E1256" t="s">
        <v>1736</v>
      </c>
      <c r="F1256" t="s">
        <v>413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f t="shared" si="19"/>
        <v>7</v>
      </c>
      <c r="O1256" t="str">
        <f>IF(AND($A1256=Dashboard!$B$3,$B1256=Dashboard!$G$3,$D1256&lt;&gt;"NO_SERVICE"),ROW(),"")</f>
        <v/>
      </c>
    </row>
    <row r="1257" spans="1:15" x14ac:dyDescent="0.25">
      <c r="A1257" t="s">
        <v>4</v>
      </c>
      <c r="B1257" t="s">
        <v>353</v>
      </c>
      <c r="C1257" t="s">
        <v>1697</v>
      </c>
      <c r="D1257" t="s">
        <v>21</v>
      </c>
      <c r="E1257" t="s">
        <v>1737</v>
      </c>
      <c r="F1257" t="s">
        <v>530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0</v>
      </c>
      <c r="N1257">
        <f t="shared" si="19"/>
        <v>6</v>
      </c>
      <c r="O1257" t="str">
        <f>IF(AND($A1257=Dashboard!$B$3,$B1257=Dashboard!$G$3,$D1257&lt;&gt;"NO_SERVICE"),ROW(),"")</f>
        <v/>
      </c>
    </row>
    <row r="1258" spans="1:15" x14ac:dyDescent="0.25">
      <c r="A1258" t="s">
        <v>4</v>
      </c>
      <c r="B1258" t="s">
        <v>353</v>
      </c>
      <c r="C1258" t="s">
        <v>1697</v>
      </c>
      <c r="D1258" t="s">
        <v>21</v>
      </c>
      <c r="E1258" t="s">
        <v>1738</v>
      </c>
      <c r="F1258" t="s">
        <v>266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f t="shared" si="19"/>
        <v>7</v>
      </c>
      <c r="O1258" t="str">
        <f>IF(AND($A1258=Dashboard!$B$3,$B1258=Dashboard!$G$3,$D1258&lt;&gt;"NO_SERVICE"),ROW(),"")</f>
        <v/>
      </c>
    </row>
    <row r="1259" spans="1:15" x14ac:dyDescent="0.25">
      <c r="A1259" t="s">
        <v>4</v>
      </c>
      <c r="B1259" t="s">
        <v>353</v>
      </c>
      <c r="C1259" t="s">
        <v>1697</v>
      </c>
      <c r="D1259" t="s">
        <v>21</v>
      </c>
      <c r="E1259" t="s">
        <v>1739</v>
      </c>
      <c r="F1259" t="s">
        <v>293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f t="shared" si="19"/>
        <v>7</v>
      </c>
      <c r="O1259" t="str">
        <f>IF(AND($A1259=Dashboard!$B$3,$B1259=Dashboard!$G$3,$D1259&lt;&gt;"NO_SERVICE"),ROW(),"")</f>
        <v/>
      </c>
    </row>
    <row r="1260" spans="1:15" x14ac:dyDescent="0.25">
      <c r="A1260" t="s">
        <v>4</v>
      </c>
      <c r="B1260" t="s">
        <v>353</v>
      </c>
      <c r="C1260" t="s">
        <v>1697</v>
      </c>
      <c r="D1260" t="s">
        <v>21</v>
      </c>
      <c r="E1260" t="s">
        <v>1740</v>
      </c>
      <c r="F1260" t="s">
        <v>949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f t="shared" si="19"/>
        <v>7</v>
      </c>
      <c r="O1260" t="str">
        <f>IF(AND($A1260=Dashboard!$B$3,$B1260=Dashboard!$G$3,$D1260&lt;&gt;"NO_SERVICE"),ROW(),"")</f>
        <v/>
      </c>
    </row>
    <row r="1261" spans="1:15" x14ac:dyDescent="0.25">
      <c r="A1261" t="s">
        <v>4</v>
      </c>
      <c r="B1261" t="s">
        <v>353</v>
      </c>
      <c r="C1261" t="s">
        <v>1697</v>
      </c>
      <c r="D1261" t="s">
        <v>21</v>
      </c>
      <c r="E1261" t="s">
        <v>1741</v>
      </c>
      <c r="F1261" t="s">
        <v>317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f t="shared" si="19"/>
        <v>7</v>
      </c>
      <c r="O1261" t="str">
        <f>IF(AND($A1261=Dashboard!$B$3,$B1261=Dashboard!$G$3,$D1261&lt;&gt;"NO_SERVICE"),ROW(),"")</f>
        <v/>
      </c>
    </row>
    <row r="1262" spans="1:15" x14ac:dyDescent="0.25">
      <c r="A1262" t="s">
        <v>4</v>
      </c>
      <c r="B1262" t="s">
        <v>353</v>
      </c>
      <c r="C1262" t="s">
        <v>1697</v>
      </c>
      <c r="D1262" t="s">
        <v>21</v>
      </c>
      <c r="E1262" t="s">
        <v>1742</v>
      </c>
      <c r="F1262" t="s">
        <v>62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f t="shared" si="19"/>
        <v>7</v>
      </c>
      <c r="O1262" t="str">
        <f>IF(AND($A1262=Dashboard!$B$3,$B1262=Dashboard!$G$3,$D1262&lt;&gt;"NO_SERVICE"),ROW(),"")</f>
        <v/>
      </c>
    </row>
    <row r="1263" spans="1:15" x14ac:dyDescent="0.25">
      <c r="A1263" t="s">
        <v>4</v>
      </c>
      <c r="B1263" t="s">
        <v>353</v>
      </c>
      <c r="C1263" t="s">
        <v>1697</v>
      </c>
      <c r="D1263" t="s">
        <v>21</v>
      </c>
      <c r="E1263" t="s">
        <v>1743</v>
      </c>
      <c r="F1263" t="s">
        <v>674</v>
      </c>
      <c r="G1263">
        <v>1</v>
      </c>
      <c r="H1263">
        <v>0</v>
      </c>
      <c r="I1263">
        <v>1</v>
      </c>
      <c r="J1263">
        <v>1</v>
      </c>
      <c r="K1263">
        <v>1</v>
      </c>
      <c r="L1263">
        <v>0</v>
      </c>
      <c r="M1263">
        <v>1</v>
      </c>
      <c r="N1263">
        <f t="shared" si="19"/>
        <v>5</v>
      </c>
      <c r="O1263" t="str">
        <f>IF(AND($A1263=Dashboard!$B$3,$B1263=Dashboard!$G$3,$D1263&lt;&gt;"NO_SERVICE"),ROW(),"")</f>
        <v/>
      </c>
    </row>
    <row r="1264" spans="1:15" x14ac:dyDescent="0.25">
      <c r="A1264" t="s">
        <v>4</v>
      </c>
      <c r="B1264" t="s">
        <v>353</v>
      </c>
      <c r="C1264" t="s">
        <v>1697</v>
      </c>
      <c r="D1264" t="s">
        <v>21</v>
      </c>
      <c r="E1264" t="s">
        <v>1744</v>
      </c>
      <c r="F1264" t="s">
        <v>272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f t="shared" si="19"/>
        <v>7</v>
      </c>
      <c r="O1264" t="str">
        <f>IF(AND($A1264=Dashboard!$B$3,$B1264=Dashboard!$G$3,$D1264&lt;&gt;"NO_SERVICE"),ROW(),"")</f>
        <v/>
      </c>
    </row>
    <row r="1265" spans="1:15" x14ac:dyDescent="0.25">
      <c r="A1265" t="s">
        <v>4</v>
      </c>
      <c r="B1265" t="s">
        <v>353</v>
      </c>
      <c r="C1265" t="s">
        <v>1697</v>
      </c>
      <c r="D1265" t="s">
        <v>21</v>
      </c>
      <c r="E1265" t="s">
        <v>1745</v>
      </c>
      <c r="F1265" t="s">
        <v>303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f t="shared" si="19"/>
        <v>7</v>
      </c>
      <c r="O1265" t="str">
        <f>IF(AND($A1265=Dashboard!$B$3,$B1265=Dashboard!$G$3,$D1265&lt;&gt;"NO_SERVICE"),ROW(),"")</f>
        <v/>
      </c>
    </row>
    <row r="1266" spans="1:15" x14ac:dyDescent="0.25">
      <c r="A1266" t="s">
        <v>4</v>
      </c>
      <c r="B1266" t="s">
        <v>353</v>
      </c>
      <c r="C1266" t="s">
        <v>1697</v>
      </c>
      <c r="D1266" t="s">
        <v>21</v>
      </c>
      <c r="E1266" t="s">
        <v>1746</v>
      </c>
      <c r="F1266" t="s">
        <v>1207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f t="shared" si="19"/>
        <v>7</v>
      </c>
      <c r="O1266" t="str">
        <f>IF(AND($A1266=Dashboard!$B$3,$B1266=Dashboard!$G$3,$D1266&lt;&gt;"NO_SERVICE"),ROW(),"")</f>
        <v/>
      </c>
    </row>
    <row r="1267" spans="1:15" x14ac:dyDescent="0.25">
      <c r="A1267" t="s">
        <v>4</v>
      </c>
      <c r="B1267" t="s">
        <v>353</v>
      </c>
      <c r="C1267" t="s">
        <v>1697</v>
      </c>
      <c r="D1267" t="s">
        <v>21</v>
      </c>
      <c r="E1267" t="s">
        <v>1747</v>
      </c>
      <c r="F1267" t="s">
        <v>1212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f t="shared" si="19"/>
        <v>7</v>
      </c>
      <c r="O1267" t="str">
        <f>IF(AND($A1267=Dashboard!$B$3,$B1267=Dashboard!$G$3,$D1267&lt;&gt;"NO_SERVICE"),ROW(),"")</f>
        <v/>
      </c>
    </row>
    <row r="1268" spans="1:15" x14ac:dyDescent="0.25">
      <c r="A1268" t="s">
        <v>4</v>
      </c>
      <c r="B1268" t="s">
        <v>353</v>
      </c>
      <c r="C1268" t="s">
        <v>1697</v>
      </c>
      <c r="D1268" t="s">
        <v>21</v>
      </c>
      <c r="E1268" t="s">
        <v>1748</v>
      </c>
      <c r="F1268" t="s">
        <v>1376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f t="shared" si="19"/>
        <v>7</v>
      </c>
      <c r="O1268" t="str">
        <f>IF(AND($A1268=Dashboard!$B$3,$B1268=Dashboard!$G$3,$D1268&lt;&gt;"NO_SERVICE"),ROW(),"")</f>
        <v/>
      </c>
    </row>
    <row r="1269" spans="1:15" x14ac:dyDescent="0.25">
      <c r="A1269" t="s">
        <v>4</v>
      </c>
      <c r="B1269" t="s">
        <v>353</v>
      </c>
      <c r="C1269" t="s">
        <v>1697</v>
      </c>
      <c r="D1269" t="s">
        <v>21</v>
      </c>
      <c r="E1269" t="s">
        <v>1749</v>
      </c>
      <c r="F1269" t="s">
        <v>352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f t="shared" si="19"/>
        <v>7</v>
      </c>
      <c r="O1269" t="str">
        <f>IF(AND($A1269=Dashboard!$B$3,$B1269=Dashboard!$G$3,$D1269&lt;&gt;"NO_SERVICE"),ROW(),"")</f>
        <v/>
      </c>
    </row>
    <row r="1270" spans="1:15" x14ac:dyDescent="0.25">
      <c r="A1270" t="s">
        <v>4</v>
      </c>
      <c r="B1270" t="s">
        <v>353</v>
      </c>
      <c r="C1270" t="s">
        <v>1697</v>
      </c>
      <c r="D1270" t="s">
        <v>29</v>
      </c>
      <c r="E1270" t="s">
        <v>1750</v>
      </c>
      <c r="F1270" t="s">
        <v>476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f t="shared" si="19"/>
        <v>7</v>
      </c>
      <c r="O1270" t="str">
        <f>IF(AND($A1270=Dashboard!$B$3,$B1270=Dashboard!$G$3,$D1270&lt;&gt;"NO_SERVICE"),ROW(),"")</f>
        <v/>
      </c>
    </row>
    <row r="1271" spans="1:15" x14ac:dyDescent="0.25">
      <c r="A1271" t="s">
        <v>4</v>
      </c>
      <c r="B1271" t="s">
        <v>353</v>
      </c>
      <c r="C1271" t="s">
        <v>1697</v>
      </c>
      <c r="D1271" t="s">
        <v>29</v>
      </c>
      <c r="E1271" t="s">
        <v>1751</v>
      </c>
      <c r="F1271" t="s">
        <v>678</v>
      </c>
      <c r="G1271">
        <v>0</v>
      </c>
      <c r="H1271">
        <v>0</v>
      </c>
      <c r="I1271">
        <v>0</v>
      </c>
      <c r="J1271">
        <v>1</v>
      </c>
      <c r="K1271">
        <v>1</v>
      </c>
      <c r="L1271">
        <v>1</v>
      </c>
      <c r="M1271">
        <v>1</v>
      </c>
      <c r="N1271">
        <f t="shared" si="19"/>
        <v>4</v>
      </c>
      <c r="O1271" t="str">
        <f>IF(AND($A1271=Dashboard!$B$3,$B1271=Dashboard!$G$3,$D1271&lt;&gt;"NO_SERVICE"),ROW(),"")</f>
        <v/>
      </c>
    </row>
    <row r="1272" spans="1:15" x14ac:dyDescent="0.25">
      <c r="A1272" t="s">
        <v>4</v>
      </c>
      <c r="B1272" t="s">
        <v>353</v>
      </c>
      <c r="C1272" t="s">
        <v>1697</v>
      </c>
      <c r="D1272" t="s">
        <v>29</v>
      </c>
      <c r="E1272" t="s">
        <v>1283</v>
      </c>
      <c r="F1272" t="s">
        <v>419</v>
      </c>
      <c r="G1272">
        <v>1</v>
      </c>
      <c r="H1272">
        <v>1</v>
      </c>
      <c r="I1272">
        <v>0</v>
      </c>
      <c r="J1272">
        <v>1</v>
      </c>
      <c r="K1272">
        <v>1</v>
      </c>
      <c r="L1272">
        <v>1</v>
      </c>
      <c r="M1272">
        <v>1</v>
      </c>
      <c r="N1272">
        <f t="shared" si="19"/>
        <v>6</v>
      </c>
      <c r="O1272" t="str">
        <f>IF(AND($A1272=Dashboard!$B$3,$B1272=Dashboard!$G$3,$D1272&lt;&gt;"NO_SERVICE"),ROW(),"")</f>
        <v/>
      </c>
    </row>
    <row r="1273" spans="1:15" x14ac:dyDescent="0.25">
      <c r="A1273" t="s">
        <v>4</v>
      </c>
      <c r="B1273" t="s">
        <v>353</v>
      </c>
      <c r="C1273" t="s">
        <v>1697</v>
      </c>
      <c r="D1273" t="s">
        <v>29</v>
      </c>
      <c r="E1273" t="s">
        <v>1752</v>
      </c>
      <c r="F1273" t="s">
        <v>72</v>
      </c>
      <c r="G1273">
        <v>0</v>
      </c>
      <c r="H1273">
        <v>0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f t="shared" si="19"/>
        <v>5</v>
      </c>
      <c r="O1273" t="str">
        <f>IF(AND($A1273=Dashboard!$B$3,$B1273=Dashboard!$G$3,$D1273&lt;&gt;"NO_SERVICE"),ROW(),"")</f>
        <v/>
      </c>
    </row>
    <row r="1274" spans="1:15" x14ac:dyDescent="0.25">
      <c r="A1274" t="s">
        <v>4</v>
      </c>
      <c r="B1274" t="s">
        <v>353</v>
      </c>
      <c r="C1274" t="s">
        <v>1697</v>
      </c>
      <c r="D1274" t="s">
        <v>29</v>
      </c>
      <c r="E1274" t="s">
        <v>1753</v>
      </c>
      <c r="F1274" t="s">
        <v>303</v>
      </c>
      <c r="G1274">
        <v>1</v>
      </c>
      <c r="H1274">
        <v>0</v>
      </c>
      <c r="I1274">
        <v>1</v>
      </c>
      <c r="J1274">
        <v>0</v>
      </c>
      <c r="K1274">
        <v>1</v>
      </c>
      <c r="L1274">
        <v>0</v>
      </c>
      <c r="M1274">
        <v>1</v>
      </c>
      <c r="N1274">
        <f t="shared" si="19"/>
        <v>4</v>
      </c>
      <c r="O1274" t="str">
        <f>IF(AND($A1274=Dashboard!$B$3,$B1274=Dashboard!$G$3,$D1274&lt;&gt;"NO_SERVICE"),ROW(),"")</f>
        <v/>
      </c>
    </row>
    <row r="1275" spans="1:15" x14ac:dyDescent="0.25">
      <c r="A1275" t="s">
        <v>4</v>
      </c>
      <c r="B1275" t="s">
        <v>353</v>
      </c>
      <c r="C1275" t="s">
        <v>1697</v>
      </c>
      <c r="D1275" t="s">
        <v>29</v>
      </c>
      <c r="E1275" t="s">
        <v>1754</v>
      </c>
      <c r="F1275" t="s">
        <v>1376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f t="shared" si="19"/>
        <v>7</v>
      </c>
      <c r="O1275" t="str">
        <f>IF(AND($A1275=Dashboard!$B$3,$B1275=Dashboard!$G$3,$D1275&lt;&gt;"NO_SERVICE"),ROW(),"")</f>
        <v/>
      </c>
    </row>
    <row r="1276" spans="1:15" x14ac:dyDescent="0.25">
      <c r="A1276" t="s">
        <v>4</v>
      </c>
      <c r="B1276" t="s">
        <v>353</v>
      </c>
      <c r="C1276" t="s">
        <v>1697</v>
      </c>
      <c r="D1276" t="s">
        <v>26</v>
      </c>
      <c r="E1276" t="s">
        <v>1755</v>
      </c>
      <c r="F1276" t="s">
        <v>339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f t="shared" si="19"/>
        <v>7</v>
      </c>
      <c r="O1276" t="str">
        <f>IF(AND($A1276=Dashboard!$B$3,$B1276=Dashboard!$G$3,$D1276&lt;&gt;"NO_SERVICE"),ROW(),"")</f>
        <v/>
      </c>
    </row>
    <row r="1277" spans="1:15" x14ac:dyDescent="0.25">
      <c r="A1277" t="s">
        <v>4</v>
      </c>
      <c r="B1277" t="s">
        <v>353</v>
      </c>
      <c r="C1277" t="s">
        <v>1697</v>
      </c>
      <c r="D1277" t="s">
        <v>26</v>
      </c>
      <c r="E1277" t="s">
        <v>1756</v>
      </c>
      <c r="F1277" t="s">
        <v>298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f t="shared" si="19"/>
        <v>7</v>
      </c>
      <c r="O1277" t="str">
        <f>IF(AND($A1277=Dashboard!$B$3,$B1277=Dashboard!$G$3,$D1277&lt;&gt;"NO_SERVICE"),ROW(),"")</f>
        <v/>
      </c>
    </row>
    <row r="1278" spans="1:15" x14ac:dyDescent="0.25">
      <c r="A1278" t="s">
        <v>4</v>
      </c>
      <c r="B1278" t="s">
        <v>353</v>
      </c>
      <c r="C1278" t="s">
        <v>1697</v>
      </c>
      <c r="D1278" t="s">
        <v>26</v>
      </c>
      <c r="E1278" t="s">
        <v>1757</v>
      </c>
      <c r="F1278" t="s">
        <v>260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f t="shared" si="19"/>
        <v>7</v>
      </c>
      <c r="O1278" t="str">
        <f>IF(AND($A1278=Dashboard!$B$3,$B1278=Dashboard!$G$3,$D1278&lt;&gt;"NO_SERVICE"),ROW(),"")</f>
        <v/>
      </c>
    </row>
    <row r="1279" spans="1:15" x14ac:dyDescent="0.25">
      <c r="A1279" t="s">
        <v>4</v>
      </c>
      <c r="B1279" t="s">
        <v>353</v>
      </c>
      <c r="C1279" t="s">
        <v>1697</v>
      </c>
      <c r="D1279" t="s">
        <v>26</v>
      </c>
      <c r="E1279" t="s">
        <v>1758</v>
      </c>
      <c r="F1279" t="s">
        <v>309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f t="shared" si="19"/>
        <v>7</v>
      </c>
      <c r="O1279" t="str">
        <f>IF(AND($A1279=Dashboard!$B$3,$B1279=Dashboard!$G$3,$D1279&lt;&gt;"NO_SERVICE"),ROW(),"")</f>
        <v/>
      </c>
    </row>
    <row r="1280" spans="1:15" x14ac:dyDescent="0.25">
      <c r="A1280" t="s">
        <v>4</v>
      </c>
      <c r="B1280" t="s">
        <v>353</v>
      </c>
      <c r="C1280" t="s">
        <v>1697</v>
      </c>
      <c r="D1280" t="s">
        <v>26</v>
      </c>
      <c r="E1280" t="s">
        <v>1759</v>
      </c>
      <c r="F1280" t="s">
        <v>999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f t="shared" si="19"/>
        <v>7</v>
      </c>
      <c r="O1280" t="str">
        <f>IF(AND($A1280=Dashboard!$B$3,$B1280=Dashboard!$G$3,$D1280&lt;&gt;"NO_SERVICE"),ROW(),"")</f>
        <v/>
      </c>
    </row>
    <row r="1281" spans="1:15" x14ac:dyDescent="0.25">
      <c r="A1281" t="s">
        <v>4</v>
      </c>
      <c r="B1281" t="s">
        <v>353</v>
      </c>
      <c r="C1281" t="s">
        <v>1697</v>
      </c>
      <c r="D1281" t="s">
        <v>26</v>
      </c>
      <c r="E1281" t="s">
        <v>713</v>
      </c>
      <c r="F1281" t="s">
        <v>388</v>
      </c>
      <c r="G1281">
        <v>0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f t="shared" si="19"/>
        <v>1</v>
      </c>
      <c r="O1281" t="str">
        <f>IF(AND($A1281=Dashboard!$B$3,$B1281=Dashboard!$G$3,$D1281&lt;&gt;"NO_SERVICE"),ROW(),"")</f>
        <v/>
      </c>
    </row>
    <row r="1282" spans="1:15" x14ac:dyDescent="0.25">
      <c r="A1282" t="s">
        <v>4</v>
      </c>
      <c r="B1282" t="s">
        <v>353</v>
      </c>
      <c r="C1282" t="s">
        <v>1697</v>
      </c>
      <c r="D1282" t="s">
        <v>26</v>
      </c>
      <c r="E1282" t="s">
        <v>1760</v>
      </c>
      <c r="F1282" t="s">
        <v>219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f t="shared" ref="N1282:N1345" si="20">SUM(G1282:M1282)</f>
        <v>7</v>
      </c>
      <c r="O1282" t="str">
        <f>IF(AND($A1282=Dashboard!$B$3,$B1282=Dashboard!$G$3,$D1282&lt;&gt;"NO_SERVICE"),ROW(),"")</f>
        <v/>
      </c>
    </row>
    <row r="1283" spans="1:15" x14ac:dyDescent="0.25">
      <c r="A1283" t="s">
        <v>4</v>
      </c>
      <c r="B1283" t="s">
        <v>353</v>
      </c>
      <c r="C1283" t="s">
        <v>1697</v>
      </c>
      <c r="D1283" t="s">
        <v>26</v>
      </c>
      <c r="E1283" t="s">
        <v>1761</v>
      </c>
      <c r="F1283" t="s">
        <v>266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f t="shared" si="20"/>
        <v>7</v>
      </c>
      <c r="O1283" t="str">
        <f>IF(AND($A1283=Dashboard!$B$3,$B1283=Dashboard!$G$3,$D1283&lt;&gt;"NO_SERVICE"),ROW(),"")</f>
        <v/>
      </c>
    </row>
    <row r="1284" spans="1:15" x14ac:dyDescent="0.25">
      <c r="A1284" t="s">
        <v>4</v>
      </c>
      <c r="B1284" t="s">
        <v>353</v>
      </c>
      <c r="C1284" t="s">
        <v>1697</v>
      </c>
      <c r="D1284" t="s">
        <v>26</v>
      </c>
      <c r="E1284" t="s">
        <v>1762</v>
      </c>
      <c r="F1284" t="s">
        <v>174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f t="shared" si="20"/>
        <v>7</v>
      </c>
      <c r="O1284" t="str">
        <f>IF(AND($A1284=Dashboard!$B$3,$B1284=Dashboard!$G$3,$D1284&lt;&gt;"NO_SERVICE"),ROW(),"")</f>
        <v/>
      </c>
    </row>
    <row r="1285" spans="1:15" x14ac:dyDescent="0.25">
      <c r="A1285" t="s">
        <v>4</v>
      </c>
      <c r="B1285" t="s">
        <v>353</v>
      </c>
      <c r="C1285" t="s">
        <v>1697</v>
      </c>
      <c r="D1285" t="s">
        <v>21</v>
      </c>
      <c r="E1285" t="s">
        <v>1763</v>
      </c>
      <c r="F1285" t="s">
        <v>746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f t="shared" si="20"/>
        <v>7</v>
      </c>
      <c r="O1285" t="str">
        <f>IF(AND($A1285=Dashboard!$B$3,$B1285=Dashboard!$G$3,$D1285&lt;&gt;"NO_SERVICE"),ROW(),"")</f>
        <v/>
      </c>
    </row>
    <row r="1286" spans="1:15" x14ac:dyDescent="0.25">
      <c r="A1286" t="s">
        <v>4</v>
      </c>
      <c r="B1286" t="s">
        <v>353</v>
      </c>
      <c r="C1286" t="s">
        <v>1697</v>
      </c>
      <c r="D1286" t="s">
        <v>21</v>
      </c>
      <c r="E1286" t="s">
        <v>1764</v>
      </c>
      <c r="F1286" t="s">
        <v>628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f t="shared" si="20"/>
        <v>7</v>
      </c>
      <c r="O1286" t="str">
        <f>IF(AND($A1286=Dashboard!$B$3,$B1286=Dashboard!$G$3,$D1286&lt;&gt;"NO_SERVICE"),ROW(),"")</f>
        <v/>
      </c>
    </row>
    <row r="1287" spans="1:15" x14ac:dyDescent="0.25">
      <c r="A1287" t="s">
        <v>4</v>
      </c>
      <c r="B1287" t="s">
        <v>154</v>
      </c>
      <c r="C1287" t="s">
        <v>1765</v>
      </c>
      <c r="D1287" t="s">
        <v>24</v>
      </c>
      <c r="E1287" t="s">
        <v>1766</v>
      </c>
      <c r="F1287" t="s">
        <v>1129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f t="shared" si="20"/>
        <v>7</v>
      </c>
      <c r="O1287" t="str">
        <f>IF(AND($A1287=Dashboard!$B$3,$B1287=Dashboard!$G$3,$D1287&lt;&gt;"NO_SERVICE"),ROW(),"")</f>
        <v/>
      </c>
    </row>
    <row r="1288" spans="1:15" x14ac:dyDescent="0.25">
      <c r="A1288" t="s">
        <v>4</v>
      </c>
      <c r="B1288" t="s">
        <v>154</v>
      </c>
      <c r="C1288" t="s">
        <v>1765</v>
      </c>
      <c r="D1288" t="s">
        <v>24</v>
      </c>
      <c r="E1288" t="s">
        <v>1767</v>
      </c>
      <c r="F1288" t="s">
        <v>464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f t="shared" si="20"/>
        <v>7</v>
      </c>
      <c r="O1288" t="str">
        <f>IF(AND($A1288=Dashboard!$B$3,$B1288=Dashboard!$G$3,$D1288&lt;&gt;"NO_SERVICE"),ROW(),"")</f>
        <v/>
      </c>
    </row>
    <row r="1289" spans="1:15" x14ac:dyDescent="0.25">
      <c r="A1289" t="s">
        <v>4</v>
      </c>
      <c r="B1289" t="s">
        <v>154</v>
      </c>
      <c r="C1289" t="s">
        <v>1765</v>
      </c>
      <c r="D1289" t="s">
        <v>24</v>
      </c>
      <c r="E1289" t="s">
        <v>1768</v>
      </c>
      <c r="F1289" t="s">
        <v>168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f t="shared" si="20"/>
        <v>7</v>
      </c>
      <c r="O1289" t="str">
        <f>IF(AND($A1289=Dashboard!$B$3,$B1289=Dashboard!$G$3,$D1289&lt;&gt;"NO_SERVICE"),ROW(),"")</f>
        <v/>
      </c>
    </row>
    <row r="1290" spans="1:15" x14ac:dyDescent="0.25">
      <c r="A1290" t="s">
        <v>4</v>
      </c>
      <c r="B1290" t="s">
        <v>154</v>
      </c>
      <c r="C1290" t="s">
        <v>1765</v>
      </c>
      <c r="D1290" t="s">
        <v>24</v>
      </c>
      <c r="E1290" t="s">
        <v>1769</v>
      </c>
      <c r="F1290" t="s">
        <v>240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f t="shared" si="20"/>
        <v>7</v>
      </c>
      <c r="O1290" t="str">
        <f>IF(AND($A1290=Dashboard!$B$3,$B1290=Dashboard!$G$3,$D1290&lt;&gt;"NO_SERVICE"),ROW(),"")</f>
        <v/>
      </c>
    </row>
    <row r="1291" spans="1:15" x14ac:dyDescent="0.25">
      <c r="A1291" t="s">
        <v>4</v>
      </c>
      <c r="B1291" t="s">
        <v>154</v>
      </c>
      <c r="C1291" t="s">
        <v>1765</v>
      </c>
      <c r="D1291" t="s">
        <v>24</v>
      </c>
      <c r="E1291" t="s">
        <v>1770</v>
      </c>
      <c r="F1291" t="s">
        <v>1030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f t="shared" si="20"/>
        <v>7</v>
      </c>
      <c r="O1291" t="str">
        <f>IF(AND($A1291=Dashboard!$B$3,$B1291=Dashboard!$G$3,$D1291&lt;&gt;"NO_SERVICE"),ROW(),"")</f>
        <v/>
      </c>
    </row>
    <row r="1292" spans="1:15" x14ac:dyDescent="0.25">
      <c r="A1292" t="s">
        <v>4</v>
      </c>
      <c r="B1292" t="s">
        <v>154</v>
      </c>
      <c r="C1292" t="s">
        <v>1765</v>
      </c>
      <c r="D1292" t="s">
        <v>24</v>
      </c>
      <c r="E1292" t="s">
        <v>1771</v>
      </c>
      <c r="F1292" t="s">
        <v>484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f t="shared" si="20"/>
        <v>7</v>
      </c>
      <c r="O1292" t="str">
        <f>IF(AND($A1292=Dashboard!$B$3,$B1292=Dashboard!$G$3,$D1292&lt;&gt;"NO_SERVICE"),ROW(),"")</f>
        <v/>
      </c>
    </row>
    <row r="1293" spans="1:15" x14ac:dyDescent="0.25">
      <c r="A1293" t="s">
        <v>4</v>
      </c>
      <c r="B1293" t="s">
        <v>154</v>
      </c>
      <c r="C1293" t="s">
        <v>1765</v>
      </c>
      <c r="D1293" t="s">
        <v>24</v>
      </c>
      <c r="E1293" t="s">
        <v>1772</v>
      </c>
      <c r="F1293" t="s">
        <v>784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f t="shared" si="20"/>
        <v>7</v>
      </c>
      <c r="O1293" t="str">
        <f>IF(AND($A1293=Dashboard!$B$3,$B1293=Dashboard!$G$3,$D1293&lt;&gt;"NO_SERVICE"),ROW(),"")</f>
        <v/>
      </c>
    </row>
    <row r="1294" spans="1:15" x14ac:dyDescent="0.25">
      <c r="A1294" t="s">
        <v>4</v>
      </c>
      <c r="B1294" t="s">
        <v>154</v>
      </c>
      <c r="C1294" t="s">
        <v>1765</v>
      </c>
      <c r="D1294" t="s">
        <v>24</v>
      </c>
      <c r="E1294" t="s">
        <v>1773</v>
      </c>
      <c r="F1294" t="s">
        <v>664</v>
      </c>
      <c r="G1294">
        <v>1</v>
      </c>
      <c r="H1294">
        <v>0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f t="shared" si="20"/>
        <v>6</v>
      </c>
      <c r="O1294" t="str">
        <f>IF(AND($A1294=Dashboard!$B$3,$B1294=Dashboard!$G$3,$D1294&lt;&gt;"NO_SERVICE"),ROW(),"")</f>
        <v/>
      </c>
    </row>
    <row r="1295" spans="1:15" x14ac:dyDescent="0.25">
      <c r="A1295" t="s">
        <v>4</v>
      </c>
      <c r="B1295" t="s">
        <v>154</v>
      </c>
      <c r="C1295" t="s">
        <v>1765</v>
      </c>
      <c r="D1295" t="s">
        <v>24</v>
      </c>
      <c r="E1295" t="s">
        <v>1774</v>
      </c>
      <c r="F1295" t="s">
        <v>678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f t="shared" si="20"/>
        <v>7</v>
      </c>
      <c r="O1295" t="str">
        <f>IF(AND($A1295=Dashboard!$B$3,$B1295=Dashboard!$G$3,$D1295&lt;&gt;"NO_SERVICE"),ROW(),"")</f>
        <v/>
      </c>
    </row>
    <row r="1296" spans="1:15" x14ac:dyDescent="0.25">
      <c r="A1296" t="s">
        <v>4</v>
      </c>
      <c r="B1296" t="s">
        <v>154</v>
      </c>
      <c r="C1296" t="s">
        <v>1765</v>
      </c>
      <c r="D1296" t="s">
        <v>24</v>
      </c>
      <c r="E1296" t="s">
        <v>1775</v>
      </c>
      <c r="F1296" t="s">
        <v>364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f t="shared" si="20"/>
        <v>7</v>
      </c>
      <c r="O1296" t="str">
        <f>IF(AND($A1296=Dashboard!$B$3,$B1296=Dashboard!$G$3,$D1296&lt;&gt;"NO_SERVICE"),ROW(),"")</f>
        <v/>
      </c>
    </row>
    <row r="1297" spans="1:15" x14ac:dyDescent="0.25">
      <c r="A1297" t="s">
        <v>4</v>
      </c>
      <c r="B1297" t="s">
        <v>154</v>
      </c>
      <c r="C1297" t="s">
        <v>1765</v>
      </c>
      <c r="D1297" t="s">
        <v>24</v>
      </c>
      <c r="E1297" t="s">
        <v>1776</v>
      </c>
      <c r="F1297" t="s">
        <v>530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f t="shared" si="20"/>
        <v>7</v>
      </c>
      <c r="O1297" t="str">
        <f>IF(AND($A1297=Dashboard!$B$3,$B1297=Dashboard!$G$3,$D1297&lt;&gt;"NO_SERVICE"),ROW(),"")</f>
        <v/>
      </c>
    </row>
    <row r="1298" spans="1:15" x14ac:dyDescent="0.25">
      <c r="A1298" t="s">
        <v>4</v>
      </c>
      <c r="B1298" t="s">
        <v>154</v>
      </c>
      <c r="C1298" t="s">
        <v>1765</v>
      </c>
      <c r="D1298" t="s">
        <v>24</v>
      </c>
      <c r="E1298" t="s">
        <v>1777</v>
      </c>
      <c r="F1298" t="s">
        <v>221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f t="shared" si="20"/>
        <v>7</v>
      </c>
      <c r="O1298" t="str">
        <f>IF(AND($A1298=Dashboard!$B$3,$B1298=Dashboard!$G$3,$D1298&lt;&gt;"NO_SERVICE"),ROW(),"")</f>
        <v/>
      </c>
    </row>
    <row r="1299" spans="1:15" x14ac:dyDescent="0.25">
      <c r="A1299" t="s">
        <v>4</v>
      </c>
      <c r="B1299" t="s">
        <v>154</v>
      </c>
      <c r="C1299" t="s">
        <v>1765</v>
      </c>
      <c r="D1299" t="s">
        <v>24</v>
      </c>
      <c r="E1299" t="s">
        <v>1778</v>
      </c>
      <c r="F1299" t="s">
        <v>62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f t="shared" si="20"/>
        <v>7</v>
      </c>
      <c r="O1299" t="str">
        <f>IF(AND($A1299=Dashboard!$B$3,$B1299=Dashboard!$G$3,$D1299&lt;&gt;"NO_SERVICE"),ROW(),"")</f>
        <v/>
      </c>
    </row>
    <row r="1300" spans="1:15" x14ac:dyDescent="0.25">
      <c r="A1300" t="s">
        <v>4</v>
      </c>
      <c r="B1300" t="s">
        <v>154</v>
      </c>
      <c r="C1300" t="s">
        <v>1765</v>
      </c>
      <c r="D1300" t="s">
        <v>24</v>
      </c>
      <c r="E1300" t="s">
        <v>1779</v>
      </c>
      <c r="F1300" t="s">
        <v>458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f t="shared" si="20"/>
        <v>7</v>
      </c>
      <c r="O1300" t="str">
        <f>IF(AND($A1300=Dashboard!$B$3,$B1300=Dashboard!$G$3,$D1300&lt;&gt;"NO_SERVICE"),ROW(),"")</f>
        <v/>
      </c>
    </row>
    <row r="1301" spans="1:15" x14ac:dyDescent="0.25">
      <c r="A1301" t="s">
        <v>4</v>
      </c>
      <c r="B1301" t="s">
        <v>154</v>
      </c>
      <c r="C1301" t="s">
        <v>1765</v>
      </c>
      <c r="D1301" t="s">
        <v>24</v>
      </c>
      <c r="E1301" t="s">
        <v>1780</v>
      </c>
      <c r="F1301" t="s">
        <v>1212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f t="shared" si="20"/>
        <v>7</v>
      </c>
      <c r="O1301" t="str">
        <f>IF(AND($A1301=Dashboard!$B$3,$B1301=Dashboard!$G$3,$D1301&lt;&gt;"NO_SERVICE"),ROW(),"")</f>
        <v/>
      </c>
    </row>
    <row r="1302" spans="1:15" x14ac:dyDescent="0.25">
      <c r="A1302" t="s">
        <v>4</v>
      </c>
      <c r="B1302" t="s">
        <v>154</v>
      </c>
      <c r="C1302" t="s">
        <v>1765</v>
      </c>
      <c r="D1302" t="s">
        <v>24</v>
      </c>
      <c r="E1302" t="s">
        <v>1781</v>
      </c>
      <c r="F1302" t="s">
        <v>1108</v>
      </c>
      <c r="G1302">
        <v>1</v>
      </c>
      <c r="H1302">
        <v>1</v>
      </c>
      <c r="I1302">
        <v>0</v>
      </c>
      <c r="J1302">
        <v>1</v>
      </c>
      <c r="K1302">
        <v>1</v>
      </c>
      <c r="L1302">
        <v>0</v>
      </c>
      <c r="M1302">
        <v>1</v>
      </c>
      <c r="N1302">
        <f t="shared" si="20"/>
        <v>5</v>
      </c>
      <c r="O1302" t="str">
        <f>IF(AND($A1302=Dashboard!$B$3,$B1302=Dashboard!$G$3,$D1302&lt;&gt;"NO_SERVICE"),ROW(),"")</f>
        <v/>
      </c>
    </row>
    <row r="1303" spans="1:15" x14ac:dyDescent="0.25">
      <c r="A1303" t="s">
        <v>4</v>
      </c>
      <c r="B1303" t="s">
        <v>154</v>
      </c>
      <c r="C1303" t="s">
        <v>1765</v>
      </c>
      <c r="D1303" t="s">
        <v>21</v>
      </c>
      <c r="E1303" t="s">
        <v>1782</v>
      </c>
      <c r="F1303" t="s">
        <v>1509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f t="shared" si="20"/>
        <v>7</v>
      </c>
      <c r="O1303" t="str">
        <f>IF(AND($A1303=Dashboard!$B$3,$B1303=Dashboard!$G$3,$D1303&lt;&gt;"NO_SERVICE"),ROW(),"")</f>
        <v/>
      </c>
    </row>
    <row r="1304" spans="1:15" x14ac:dyDescent="0.25">
      <c r="A1304" t="s">
        <v>4</v>
      </c>
      <c r="B1304" t="s">
        <v>154</v>
      </c>
      <c r="C1304" t="s">
        <v>1765</v>
      </c>
      <c r="D1304" t="s">
        <v>21</v>
      </c>
      <c r="E1304" t="s">
        <v>1783</v>
      </c>
      <c r="F1304" t="s">
        <v>1784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f t="shared" si="20"/>
        <v>7</v>
      </c>
      <c r="O1304" t="str">
        <f>IF(AND($A1304=Dashboard!$B$3,$B1304=Dashboard!$G$3,$D1304&lt;&gt;"NO_SERVICE"),ROW(),"")</f>
        <v/>
      </c>
    </row>
    <row r="1305" spans="1:15" x14ac:dyDescent="0.25">
      <c r="A1305" t="s">
        <v>4</v>
      </c>
      <c r="B1305" t="s">
        <v>154</v>
      </c>
      <c r="C1305" t="s">
        <v>1765</v>
      </c>
      <c r="D1305" t="s">
        <v>21</v>
      </c>
      <c r="E1305" t="s">
        <v>1785</v>
      </c>
      <c r="F1305" t="s">
        <v>480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f t="shared" si="20"/>
        <v>7</v>
      </c>
      <c r="O1305" t="str">
        <f>IF(AND($A1305=Dashboard!$B$3,$B1305=Dashboard!$G$3,$D1305&lt;&gt;"NO_SERVICE"),ROW(),"")</f>
        <v/>
      </c>
    </row>
    <row r="1306" spans="1:15" x14ac:dyDescent="0.25">
      <c r="A1306" t="s">
        <v>4</v>
      </c>
      <c r="B1306" t="s">
        <v>154</v>
      </c>
      <c r="C1306" t="s">
        <v>1765</v>
      </c>
      <c r="D1306" t="s">
        <v>21</v>
      </c>
      <c r="E1306" t="s">
        <v>1786</v>
      </c>
      <c r="F1306" t="s">
        <v>515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f t="shared" si="20"/>
        <v>7</v>
      </c>
      <c r="O1306" t="str">
        <f>IF(AND($A1306=Dashboard!$B$3,$B1306=Dashboard!$G$3,$D1306&lt;&gt;"NO_SERVICE"),ROW(),"")</f>
        <v/>
      </c>
    </row>
    <row r="1307" spans="1:15" x14ac:dyDescent="0.25">
      <c r="A1307" t="s">
        <v>4</v>
      </c>
      <c r="B1307" t="s">
        <v>154</v>
      </c>
      <c r="C1307" t="s">
        <v>1765</v>
      </c>
      <c r="D1307" t="s">
        <v>21</v>
      </c>
      <c r="E1307" t="s">
        <v>1787</v>
      </c>
      <c r="F1307" t="s">
        <v>157</v>
      </c>
      <c r="G1307">
        <v>1</v>
      </c>
      <c r="H1307">
        <v>1</v>
      </c>
      <c r="I1307">
        <v>1</v>
      </c>
      <c r="J1307">
        <v>1</v>
      </c>
      <c r="K1307">
        <v>0</v>
      </c>
      <c r="L1307">
        <v>0</v>
      </c>
      <c r="M1307">
        <v>0</v>
      </c>
      <c r="N1307">
        <f t="shared" si="20"/>
        <v>4</v>
      </c>
      <c r="O1307" t="str">
        <f>IF(AND($A1307=Dashboard!$B$3,$B1307=Dashboard!$G$3,$D1307&lt;&gt;"NO_SERVICE"),ROW(),"")</f>
        <v/>
      </c>
    </row>
    <row r="1308" spans="1:15" x14ac:dyDescent="0.25">
      <c r="A1308" t="s">
        <v>4</v>
      </c>
      <c r="B1308" t="s">
        <v>154</v>
      </c>
      <c r="C1308" t="s">
        <v>1765</v>
      </c>
      <c r="D1308" t="s">
        <v>21</v>
      </c>
      <c r="E1308" t="s">
        <v>1788</v>
      </c>
      <c r="F1308" t="s">
        <v>953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f t="shared" si="20"/>
        <v>7</v>
      </c>
      <c r="O1308" t="str">
        <f>IF(AND($A1308=Dashboard!$B$3,$B1308=Dashboard!$G$3,$D1308&lt;&gt;"NO_SERVICE"),ROW(),"")</f>
        <v/>
      </c>
    </row>
    <row r="1309" spans="1:15" x14ac:dyDescent="0.25">
      <c r="A1309" t="s">
        <v>4</v>
      </c>
      <c r="B1309" t="s">
        <v>154</v>
      </c>
      <c r="C1309" t="s">
        <v>1765</v>
      </c>
      <c r="D1309" t="s">
        <v>21</v>
      </c>
      <c r="E1309" t="s">
        <v>1789</v>
      </c>
      <c r="F1309" t="s">
        <v>298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f t="shared" si="20"/>
        <v>1</v>
      </c>
      <c r="O1309" t="str">
        <f>IF(AND($A1309=Dashboard!$B$3,$B1309=Dashboard!$G$3,$D1309&lt;&gt;"NO_SERVICE"),ROW(),"")</f>
        <v/>
      </c>
    </row>
    <row r="1310" spans="1:15" x14ac:dyDescent="0.25">
      <c r="A1310" t="s">
        <v>4</v>
      </c>
      <c r="B1310" t="s">
        <v>154</v>
      </c>
      <c r="C1310" t="s">
        <v>1765</v>
      </c>
      <c r="D1310" t="s">
        <v>21</v>
      </c>
      <c r="E1310" t="s">
        <v>1790</v>
      </c>
      <c r="F1310" t="s">
        <v>1030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f t="shared" si="20"/>
        <v>7</v>
      </c>
      <c r="O1310" t="str">
        <f>IF(AND($A1310=Dashboard!$B$3,$B1310=Dashboard!$G$3,$D1310&lt;&gt;"NO_SERVICE"),ROW(),"")</f>
        <v/>
      </c>
    </row>
    <row r="1311" spans="1:15" x14ac:dyDescent="0.25">
      <c r="A1311" t="s">
        <v>4</v>
      </c>
      <c r="B1311" t="s">
        <v>154</v>
      </c>
      <c r="C1311" t="s">
        <v>1765</v>
      </c>
      <c r="D1311" t="s">
        <v>21</v>
      </c>
      <c r="E1311" t="s">
        <v>1791</v>
      </c>
      <c r="F1311" t="s">
        <v>212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f t="shared" si="20"/>
        <v>7</v>
      </c>
      <c r="O1311" t="str">
        <f>IF(AND($A1311=Dashboard!$B$3,$B1311=Dashboard!$G$3,$D1311&lt;&gt;"NO_SERVICE"),ROW(),"")</f>
        <v/>
      </c>
    </row>
    <row r="1312" spans="1:15" x14ac:dyDescent="0.25">
      <c r="A1312" t="s">
        <v>4</v>
      </c>
      <c r="B1312" t="s">
        <v>154</v>
      </c>
      <c r="C1312" t="s">
        <v>1765</v>
      </c>
      <c r="D1312" t="s">
        <v>21</v>
      </c>
      <c r="E1312" t="s">
        <v>1792</v>
      </c>
      <c r="F1312" t="s">
        <v>1319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f t="shared" si="20"/>
        <v>7</v>
      </c>
      <c r="O1312" t="str">
        <f>IF(AND($A1312=Dashboard!$B$3,$B1312=Dashboard!$G$3,$D1312&lt;&gt;"NO_SERVICE"),ROW(),"")</f>
        <v/>
      </c>
    </row>
    <row r="1313" spans="1:15" x14ac:dyDescent="0.25">
      <c r="A1313" t="s">
        <v>4</v>
      </c>
      <c r="B1313" t="s">
        <v>154</v>
      </c>
      <c r="C1313" t="s">
        <v>1765</v>
      </c>
      <c r="D1313" t="s">
        <v>21</v>
      </c>
      <c r="E1313" t="s">
        <v>1793</v>
      </c>
      <c r="F1313" t="s">
        <v>165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f t="shared" si="20"/>
        <v>7</v>
      </c>
      <c r="O1313" t="str">
        <f>IF(AND($A1313=Dashboard!$B$3,$B1313=Dashboard!$G$3,$D1313&lt;&gt;"NO_SERVICE"),ROW(),"")</f>
        <v/>
      </c>
    </row>
    <row r="1314" spans="1:15" x14ac:dyDescent="0.25">
      <c r="A1314" t="s">
        <v>4</v>
      </c>
      <c r="B1314" t="s">
        <v>154</v>
      </c>
      <c r="C1314" t="s">
        <v>1765</v>
      </c>
      <c r="D1314" t="s">
        <v>21</v>
      </c>
      <c r="E1314" t="s">
        <v>1794</v>
      </c>
      <c r="F1314" t="s">
        <v>413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0</v>
      </c>
      <c r="M1314">
        <v>1</v>
      </c>
      <c r="N1314">
        <f t="shared" si="20"/>
        <v>6</v>
      </c>
      <c r="O1314" t="str">
        <f>IF(AND($A1314=Dashboard!$B$3,$B1314=Dashboard!$G$3,$D1314&lt;&gt;"NO_SERVICE"),ROW(),"")</f>
        <v/>
      </c>
    </row>
    <row r="1315" spans="1:15" x14ac:dyDescent="0.25">
      <c r="A1315" t="s">
        <v>4</v>
      </c>
      <c r="B1315" t="s">
        <v>154</v>
      </c>
      <c r="C1315" t="s">
        <v>1765</v>
      </c>
      <c r="D1315" t="s">
        <v>21</v>
      </c>
      <c r="E1315" t="s">
        <v>1795</v>
      </c>
      <c r="F1315" t="s">
        <v>413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f t="shared" si="20"/>
        <v>1</v>
      </c>
      <c r="O1315" t="str">
        <f>IF(AND($A1315=Dashboard!$B$3,$B1315=Dashboard!$G$3,$D1315&lt;&gt;"NO_SERVICE"),ROW(),"")</f>
        <v/>
      </c>
    </row>
    <row r="1316" spans="1:15" x14ac:dyDescent="0.25">
      <c r="A1316" t="s">
        <v>4</v>
      </c>
      <c r="B1316" t="s">
        <v>154</v>
      </c>
      <c r="C1316" t="s">
        <v>1765</v>
      </c>
      <c r="D1316" t="s">
        <v>21</v>
      </c>
      <c r="E1316" t="s">
        <v>405</v>
      </c>
      <c r="F1316" t="s">
        <v>293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f t="shared" si="20"/>
        <v>7</v>
      </c>
      <c r="O1316" t="str">
        <f>IF(AND($A1316=Dashboard!$B$3,$B1316=Dashboard!$G$3,$D1316&lt;&gt;"NO_SERVICE"),ROW(),"")</f>
        <v/>
      </c>
    </row>
    <row r="1317" spans="1:15" x14ac:dyDescent="0.25">
      <c r="A1317" t="s">
        <v>4</v>
      </c>
      <c r="B1317" t="s">
        <v>154</v>
      </c>
      <c r="C1317" t="s">
        <v>1765</v>
      </c>
      <c r="D1317" t="s">
        <v>21</v>
      </c>
      <c r="E1317" t="s">
        <v>1796</v>
      </c>
      <c r="F1317" t="s">
        <v>108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f t="shared" si="20"/>
        <v>7</v>
      </c>
      <c r="O1317" t="str">
        <f>IF(AND($A1317=Dashboard!$B$3,$B1317=Dashboard!$G$3,$D1317&lt;&gt;"NO_SERVICE"),ROW(),"")</f>
        <v/>
      </c>
    </row>
    <row r="1318" spans="1:15" x14ac:dyDescent="0.25">
      <c r="A1318" t="s">
        <v>4</v>
      </c>
      <c r="B1318" t="s">
        <v>154</v>
      </c>
      <c r="C1318" t="s">
        <v>1765</v>
      </c>
      <c r="D1318" t="s">
        <v>21</v>
      </c>
      <c r="E1318" t="s">
        <v>1797</v>
      </c>
      <c r="F1318" t="s">
        <v>317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f t="shared" si="20"/>
        <v>7</v>
      </c>
      <c r="O1318" t="str">
        <f>IF(AND($A1318=Dashboard!$B$3,$B1318=Dashboard!$G$3,$D1318&lt;&gt;"NO_SERVICE"),ROW(),"")</f>
        <v/>
      </c>
    </row>
    <row r="1319" spans="1:15" x14ac:dyDescent="0.25">
      <c r="A1319" t="s">
        <v>4</v>
      </c>
      <c r="B1319" t="s">
        <v>154</v>
      </c>
      <c r="C1319" t="s">
        <v>1765</v>
      </c>
      <c r="D1319" t="s">
        <v>21</v>
      </c>
      <c r="E1319" t="s">
        <v>1798</v>
      </c>
      <c r="F1319" t="s">
        <v>62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f t="shared" si="20"/>
        <v>7</v>
      </c>
      <c r="O1319" t="str">
        <f>IF(AND($A1319=Dashboard!$B$3,$B1319=Dashboard!$G$3,$D1319&lt;&gt;"NO_SERVICE"),ROW(),"")</f>
        <v/>
      </c>
    </row>
    <row r="1320" spans="1:15" x14ac:dyDescent="0.25">
      <c r="A1320" t="s">
        <v>4</v>
      </c>
      <c r="B1320" t="s">
        <v>154</v>
      </c>
      <c r="C1320" t="s">
        <v>1765</v>
      </c>
      <c r="D1320" t="s">
        <v>21</v>
      </c>
      <c r="E1320" t="s">
        <v>1799</v>
      </c>
      <c r="F1320" t="s">
        <v>1207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f t="shared" si="20"/>
        <v>7</v>
      </c>
      <c r="O1320" t="str">
        <f>IF(AND($A1320=Dashboard!$B$3,$B1320=Dashboard!$G$3,$D1320&lt;&gt;"NO_SERVICE"),ROW(),"")</f>
        <v/>
      </c>
    </row>
    <row r="1321" spans="1:15" x14ac:dyDescent="0.25">
      <c r="A1321" t="s">
        <v>4</v>
      </c>
      <c r="B1321" t="s">
        <v>154</v>
      </c>
      <c r="C1321" t="s">
        <v>1765</v>
      </c>
      <c r="D1321" t="s">
        <v>21</v>
      </c>
      <c r="E1321" t="s">
        <v>1800</v>
      </c>
      <c r="F1321" t="s">
        <v>1376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f t="shared" si="20"/>
        <v>7</v>
      </c>
      <c r="O1321" t="str">
        <f>IF(AND($A1321=Dashboard!$B$3,$B1321=Dashboard!$G$3,$D1321&lt;&gt;"NO_SERVICE"),ROW(),"")</f>
        <v/>
      </c>
    </row>
    <row r="1322" spans="1:15" x14ac:dyDescent="0.25">
      <c r="A1322" t="s">
        <v>4</v>
      </c>
      <c r="B1322" t="s">
        <v>154</v>
      </c>
      <c r="C1322" t="s">
        <v>1765</v>
      </c>
      <c r="D1322" t="s">
        <v>26</v>
      </c>
      <c r="E1322" t="s">
        <v>1801</v>
      </c>
      <c r="F1322" t="s">
        <v>711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f t="shared" si="20"/>
        <v>1</v>
      </c>
      <c r="O1322" t="str">
        <f>IF(AND($A1322=Dashboard!$B$3,$B1322=Dashboard!$G$3,$D1322&lt;&gt;"NO_SERVICE"),ROW(),"")</f>
        <v/>
      </c>
    </row>
    <row r="1323" spans="1:15" x14ac:dyDescent="0.25">
      <c r="A1323" t="s">
        <v>4</v>
      </c>
      <c r="B1323" t="s">
        <v>154</v>
      </c>
      <c r="C1323" t="s">
        <v>1765</v>
      </c>
      <c r="D1323" t="s">
        <v>26</v>
      </c>
      <c r="E1323" t="s">
        <v>1802</v>
      </c>
      <c r="F1323" t="s">
        <v>400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f t="shared" si="20"/>
        <v>7</v>
      </c>
      <c r="O1323" t="str">
        <f>IF(AND($A1323=Dashboard!$B$3,$B1323=Dashboard!$G$3,$D1323&lt;&gt;"NO_SERVICE"),ROW(),"")</f>
        <v/>
      </c>
    </row>
    <row r="1324" spans="1:15" x14ac:dyDescent="0.25">
      <c r="A1324" t="s">
        <v>4</v>
      </c>
      <c r="B1324" t="s">
        <v>154</v>
      </c>
      <c r="C1324" t="s">
        <v>1765</v>
      </c>
      <c r="D1324" t="s">
        <v>26</v>
      </c>
      <c r="E1324" t="s">
        <v>1803</v>
      </c>
      <c r="F1324" t="s">
        <v>72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f t="shared" si="20"/>
        <v>7</v>
      </c>
      <c r="O1324" t="str">
        <f>IF(AND($A1324=Dashboard!$B$3,$B1324=Dashboard!$G$3,$D1324&lt;&gt;"NO_SERVICE"),ROW(),"")</f>
        <v/>
      </c>
    </row>
    <row r="1325" spans="1:15" x14ac:dyDescent="0.25">
      <c r="A1325" t="s">
        <v>4</v>
      </c>
      <c r="B1325" t="s">
        <v>154</v>
      </c>
      <c r="C1325" t="s">
        <v>1765</v>
      </c>
      <c r="D1325" t="s">
        <v>26</v>
      </c>
      <c r="E1325" t="s">
        <v>1804</v>
      </c>
      <c r="F1325" t="s">
        <v>1217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f t="shared" si="20"/>
        <v>7</v>
      </c>
      <c r="O1325" t="str">
        <f>IF(AND($A1325=Dashboard!$B$3,$B1325=Dashboard!$G$3,$D1325&lt;&gt;"NO_SERVICE"),ROW(),"")</f>
        <v/>
      </c>
    </row>
    <row r="1326" spans="1:15" x14ac:dyDescent="0.25">
      <c r="A1326" t="s">
        <v>4</v>
      </c>
      <c r="B1326" t="s">
        <v>154</v>
      </c>
      <c r="C1326" t="s">
        <v>1765</v>
      </c>
      <c r="D1326" t="s">
        <v>26</v>
      </c>
      <c r="E1326" t="s">
        <v>1805</v>
      </c>
      <c r="F1326" t="s">
        <v>651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f t="shared" si="20"/>
        <v>7</v>
      </c>
      <c r="O1326" t="str">
        <f>IF(AND($A1326=Dashboard!$B$3,$B1326=Dashboard!$G$3,$D1326&lt;&gt;"NO_SERVICE"),ROW(),"")</f>
        <v/>
      </c>
    </row>
    <row r="1327" spans="1:15" x14ac:dyDescent="0.25">
      <c r="A1327" t="s">
        <v>4</v>
      </c>
      <c r="B1327" t="s">
        <v>154</v>
      </c>
      <c r="C1327" t="s">
        <v>1765</v>
      </c>
      <c r="D1327" t="s">
        <v>26</v>
      </c>
      <c r="E1327" t="s">
        <v>1806</v>
      </c>
      <c r="F1327" t="s">
        <v>855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f t="shared" si="20"/>
        <v>7</v>
      </c>
      <c r="O1327" t="str">
        <f>IF(AND($A1327=Dashboard!$B$3,$B1327=Dashboard!$G$3,$D1327&lt;&gt;"NO_SERVICE"),ROW(),"")</f>
        <v/>
      </c>
    </row>
    <row r="1328" spans="1:15" x14ac:dyDescent="0.25">
      <c r="A1328" t="s">
        <v>4</v>
      </c>
      <c r="B1328" t="s">
        <v>154</v>
      </c>
      <c r="C1328" t="s">
        <v>1765</v>
      </c>
      <c r="D1328" t="s">
        <v>21</v>
      </c>
      <c r="E1328" t="s">
        <v>1807</v>
      </c>
      <c r="F1328" t="s">
        <v>953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f t="shared" si="20"/>
        <v>7</v>
      </c>
      <c r="O1328" t="str">
        <f>IF(AND($A1328=Dashboard!$B$3,$B1328=Dashboard!$G$3,$D1328&lt;&gt;"NO_SERVICE"),ROW(),"")</f>
        <v/>
      </c>
    </row>
    <row r="1329" spans="1:15" x14ac:dyDescent="0.25">
      <c r="A1329" t="s">
        <v>4</v>
      </c>
      <c r="B1329" t="s">
        <v>154</v>
      </c>
      <c r="C1329" t="s">
        <v>1765</v>
      </c>
      <c r="D1329" t="s">
        <v>21</v>
      </c>
      <c r="E1329" t="s">
        <v>1808</v>
      </c>
      <c r="F1329" t="s">
        <v>419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f t="shared" si="20"/>
        <v>7</v>
      </c>
      <c r="O1329" t="str">
        <f>IF(AND($A1329=Dashboard!$B$3,$B1329=Dashboard!$G$3,$D1329&lt;&gt;"NO_SERVICE"),ROW(),"")</f>
        <v/>
      </c>
    </row>
    <row r="1330" spans="1:15" x14ac:dyDescent="0.25">
      <c r="A1330" t="s">
        <v>4</v>
      </c>
      <c r="B1330" t="s">
        <v>154</v>
      </c>
      <c r="C1330" t="s">
        <v>1765</v>
      </c>
      <c r="D1330" t="s">
        <v>21</v>
      </c>
      <c r="E1330" t="s">
        <v>1809</v>
      </c>
      <c r="F1330" t="s">
        <v>752</v>
      </c>
      <c r="G1330">
        <v>0</v>
      </c>
      <c r="H1330">
        <v>0</v>
      </c>
      <c r="I1330">
        <v>0</v>
      </c>
      <c r="J1330">
        <v>0</v>
      </c>
      <c r="K1330">
        <v>1</v>
      </c>
      <c r="L1330">
        <v>0</v>
      </c>
      <c r="M1330">
        <v>0</v>
      </c>
      <c r="N1330">
        <f t="shared" si="20"/>
        <v>1</v>
      </c>
      <c r="O1330" t="str">
        <f>IF(AND($A1330=Dashboard!$B$3,$B1330=Dashboard!$G$3,$D1330&lt;&gt;"NO_SERVICE"),ROW(),"")</f>
        <v/>
      </c>
    </row>
    <row r="1331" spans="1:15" x14ac:dyDescent="0.25">
      <c r="A1331" t="s">
        <v>4</v>
      </c>
      <c r="B1331" t="s">
        <v>541</v>
      </c>
      <c r="C1331" t="s">
        <v>1810</v>
      </c>
      <c r="D1331" t="s">
        <v>24</v>
      </c>
      <c r="E1331" t="s">
        <v>1811</v>
      </c>
      <c r="F1331" t="s">
        <v>451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f t="shared" si="20"/>
        <v>7</v>
      </c>
      <c r="O1331" t="str">
        <f>IF(AND($A1331=Dashboard!$B$3,$B1331=Dashboard!$G$3,$D1331&lt;&gt;"NO_SERVICE"),ROW(),"")</f>
        <v/>
      </c>
    </row>
    <row r="1332" spans="1:15" x14ac:dyDescent="0.25">
      <c r="A1332" t="s">
        <v>4</v>
      </c>
      <c r="B1332" t="s">
        <v>541</v>
      </c>
      <c r="C1332" t="s">
        <v>1810</v>
      </c>
      <c r="D1332" t="s">
        <v>24</v>
      </c>
      <c r="E1332" t="s">
        <v>1812</v>
      </c>
      <c r="F1332" t="s">
        <v>307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f t="shared" si="20"/>
        <v>7</v>
      </c>
      <c r="O1332" t="str">
        <f>IF(AND($A1332=Dashboard!$B$3,$B1332=Dashboard!$G$3,$D1332&lt;&gt;"NO_SERVICE"),ROW(),"")</f>
        <v/>
      </c>
    </row>
    <row r="1333" spans="1:15" x14ac:dyDescent="0.25">
      <c r="A1333" t="s">
        <v>4</v>
      </c>
      <c r="B1333" t="s">
        <v>541</v>
      </c>
      <c r="C1333" t="s">
        <v>1810</v>
      </c>
      <c r="D1333" t="s">
        <v>24</v>
      </c>
      <c r="E1333" t="s">
        <v>1813</v>
      </c>
      <c r="F1333" t="s">
        <v>953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0</v>
      </c>
      <c r="N1333">
        <f t="shared" si="20"/>
        <v>6</v>
      </c>
      <c r="O1333" t="str">
        <f>IF(AND($A1333=Dashboard!$B$3,$B1333=Dashboard!$G$3,$D1333&lt;&gt;"NO_SERVICE"),ROW(),"")</f>
        <v/>
      </c>
    </row>
    <row r="1334" spans="1:15" x14ac:dyDescent="0.25">
      <c r="A1334" t="s">
        <v>4</v>
      </c>
      <c r="B1334" t="s">
        <v>541</v>
      </c>
      <c r="C1334" t="s">
        <v>1810</v>
      </c>
      <c r="D1334" t="s">
        <v>24</v>
      </c>
      <c r="E1334" t="s">
        <v>1814</v>
      </c>
      <c r="F1334" t="s">
        <v>836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f t="shared" si="20"/>
        <v>7</v>
      </c>
      <c r="O1334" t="str">
        <f>IF(AND($A1334=Dashboard!$B$3,$B1334=Dashboard!$G$3,$D1334&lt;&gt;"NO_SERVICE"),ROW(),"")</f>
        <v/>
      </c>
    </row>
    <row r="1335" spans="1:15" x14ac:dyDescent="0.25">
      <c r="A1335" t="s">
        <v>4</v>
      </c>
      <c r="B1335" t="s">
        <v>541</v>
      </c>
      <c r="C1335" t="s">
        <v>1810</v>
      </c>
      <c r="D1335" t="s">
        <v>24</v>
      </c>
      <c r="E1335" t="s">
        <v>1815</v>
      </c>
      <c r="F1335" t="s">
        <v>237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f t="shared" si="20"/>
        <v>1</v>
      </c>
      <c r="O1335" t="str">
        <f>IF(AND($A1335=Dashboard!$B$3,$B1335=Dashboard!$G$3,$D1335&lt;&gt;"NO_SERVICE"),ROW(),"")</f>
        <v/>
      </c>
    </row>
    <row r="1336" spans="1:15" x14ac:dyDescent="0.25">
      <c r="A1336" t="s">
        <v>4</v>
      </c>
      <c r="B1336" t="s">
        <v>541</v>
      </c>
      <c r="C1336" t="s">
        <v>1810</v>
      </c>
      <c r="D1336" t="s">
        <v>24</v>
      </c>
      <c r="E1336" t="s">
        <v>1816</v>
      </c>
      <c r="F1336" t="s">
        <v>368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f t="shared" si="20"/>
        <v>7</v>
      </c>
      <c r="O1336" t="str">
        <f>IF(AND($A1336=Dashboard!$B$3,$B1336=Dashboard!$G$3,$D1336&lt;&gt;"NO_SERVICE"),ROW(),"")</f>
        <v/>
      </c>
    </row>
    <row r="1337" spans="1:15" x14ac:dyDescent="0.25">
      <c r="A1337" t="s">
        <v>4</v>
      </c>
      <c r="B1337" t="s">
        <v>541</v>
      </c>
      <c r="C1337" t="s">
        <v>1810</v>
      </c>
      <c r="D1337" t="s">
        <v>24</v>
      </c>
      <c r="E1337" t="s">
        <v>1817</v>
      </c>
      <c r="F1337" t="s">
        <v>195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f t="shared" si="20"/>
        <v>7</v>
      </c>
      <c r="O1337" t="str">
        <f>IF(AND($A1337=Dashboard!$B$3,$B1337=Dashboard!$G$3,$D1337&lt;&gt;"NO_SERVICE"),ROW(),"")</f>
        <v/>
      </c>
    </row>
    <row r="1338" spans="1:15" x14ac:dyDescent="0.25">
      <c r="A1338" t="s">
        <v>4</v>
      </c>
      <c r="B1338" t="s">
        <v>541</v>
      </c>
      <c r="C1338" t="s">
        <v>1810</v>
      </c>
      <c r="D1338" t="s">
        <v>24</v>
      </c>
      <c r="E1338" t="s">
        <v>1818</v>
      </c>
      <c r="F1338" t="s">
        <v>219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f t="shared" si="20"/>
        <v>7</v>
      </c>
      <c r="O1338" t="str">
        <f>IF(AND($A1338=Dashboard!$B$3,$B1338=Dashboard!$G$3,$D1338&lt;&gt;"NO_SERVICE"),ROW(),"")</f>
        <v/>
      </c>
    </row>
    <row r="1339" spans="1:15" x14ac:dyDescent="0.25">
      <c r="A1339" t="s">
        <v>4</v>
      </c>
      <c r="B1339" t="s">
        <v>541</v>
      </c>
      <c r="C1339" t="s">
        <v>1810</v>
      </c>
      <c r="D1339" t="s">
        <v>24</v>
      </c>
      <c r="E1339" t="s">
        <v>1819</v>
      </c>
      <c r="F1339" t="s">
        <v>49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f t="shared" si="20"/>
        <v>7</v>
      </c>
      <c r="O1339" t="str">
        <f>IF(AND($A1339=Dashboard!$B$3,$B1339=Dashboard!$G$3,$D1339&lt;&gt;"NO_SERVICE"),ROW(),"")</f>
        <v/>
      </c>
    </row>
    <row r="1340" spans="1:15" x14ac:dyDescent="0.25">
      <c r="A1340" t="s">
        <v>4</v>
      </c>
      <c r="B1340" t="s">
        <v>541</v>
      </c>
      <c r="C1340" t="s">
        <v>1810</v>
      </c>
      <c r="D1340" t="s">
        <v>24</v>
      </c>
      <c r="E1340" t="s">
        <v>1820</v>
      </c>
      <c r="F1340" t="s">
        <v>62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f t="shared" si="20"/>
        <v>7</v>
      </c>
      <c r="O1340" t="str">
        <f>IF(AND($A1340=Dashboard!$B$3,$B1340=Dashboard!$G$3,$D1340&lt;&gt;"NO_SERVICE"),ROW(),"")</f>
        <v/>
      </c>
    </row>
    <row r="1341" spans="1:15" x14ac:dyDescent="0.25">
      <c r="A1341" t="s">
        <v>4</v>
      </c>
      <c r="B1341" t="s">
        <v>541</v>
      </c>
      <c r="C1341" t="s">
        <v>1810</v>
      </c>
      <c r="D1341" t="s">
        <v>24</v>
      </c>
      <c r="E1341" t="s">
        <v>1821</v>
      </c>
      <c r="F1341" t="s">
        <v>974</v>
      </c>
      <c r="G1341">
        <v>0</v>
      </c>
      <c r="H1341">
        <v>1</v>
      </c>
      <c r="I1341">
        <v>1</v>
      </c>
      <c r="J1341">
        <v>1</v>
      </c>
      <c r="K1341">
        <v>1</v>
      </c>
      <c r="L1341">
        <v>0</v>
      </c>
      <c r="M1341">
        <v>1</v>
      </c>
      <c r="N1341">
        <f t="shared" si="20"/>
        <v>5</v>
      </c>
      <c r="O1341" t="str">
        <f>IF(AND($A1341=Dashboard!$B$3,$B1341=Dashboard!$G$3,$D1341&lt;&gt;"NO_SERVICE"),ROW(),"")</f>
        <v/>
      </c>
    </row>
    <row r="1342" spans="1:15" x14ac:dyDescent="0.25">
      <c r="A1342" t="s">
        <v>4</v>
      </c>
      <c r="B1342" t="s">
        <v>541</v>
      </c>
      <c r="C1342" t="s">
        <v>1810</v>
      </c>
      <c r="D1342" t="s">
        <v>24</v>
      </c>
      <c r="E1342" t="s">
        <v>1822</v>
      </c>
      <c r="F1342" t="s">
        <v>1108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f t="shared" si="20"/>
        <v>7</v>
      </c>
      <c r="O1342" t="str">
        <f>IF(AND($A1342=Dashboard!$B$3,$B1342=Dashboard!$G$3,$D1342&lt;&gt;"NO_SERVICE"),ROW(),"")</f>
        <v/>
      </c>
    </row>
    <row r="1343" spans="1:15" x14ac:dyDescent="0.25">
      <c r="A1343" t="s">
        <v>4</v>
      </c>
      <c r="B1343" t="s">
        <v>541</v>
      </c>
      <c r="C1343" t="s">
        <v>1810</v>
      </c>
      <c r="D1343" t="s">
        <v>21</v>
      </c>
      <c r="E1343" t="s">
        <v>1823</v>
      </c>
      <c r="F1343" t="s">
        <v>1185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f t="shared" si="20"/>
        <v>7</v>
      </c>
      <c r="O1343" t="str">
        <f>IF(AND($A1343=Dashboard!$B$3,$B1343=Dashboard!$G$3,$D1343&lt;&gt;"NO_SERVICE"),ROW(),"")</f>
        <v/>
      </c>
    </row>
    <row r="1344" spans="1:15" x14ac:dyDescent="0.25">
      <c r="A1344" t="s">
        <v>4</v>
      </c>
      <c r="B1344" t="s">
        <v>541</v>
      </c>
      <c r="C1344" t="s">
        <v>1810</v>
      </c>
      <c r="D1344" t="s">
        <v>21</v>
      </c>
      <c r="E1344" t="s">
        <v>1824</v>
      </c>
      <c r="F1344" t="s">
        <v>1825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f t="shared" si="20"/>
        <v>1</v>
      </c>
      <c r="O1344" t="str">
        <f>IF(AND($A1344=Dashboard!$B$3,$B1344=Dashboard!$G$3,$D1344&lt;&gt;"NO_SERVICE"),ROW(),"")</f>
        <v/>
      </c>
    </row>
    <row r="1345" spans="1:15" x14ac:dyDescent="0.25">
      <c r="A1345" t="s">
        <v>4</v>
      </c>
      <c r="B1345" t="s">
        <v>541</v>
      </c>
      <c r="C1345" t="s">
        <v>1810</v>
      </c>
      <c r="D1345" t="s">
        <v>21</v>
      </c>
      <c r="E1345" t="s">
        <v>1826</v>
      </c>
      <c r="F1345" t="s">
        <v>1827</v>
      </c>
      <c r="G1345">
        <v>1</v>
      </c>
      <c r="H1345">
        <v>0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f t="shared" si="20"/>
        <v>6</v>
      </c>
      <c r="O1345" t="str">
        <f>IF(AND($A1345=Dashboard!$B$3,$B1345=Dashboard!$G$3,$D1345&lt;&gt;"NO_SERVICE"),ROW(),"")</f>
        <v/>
      </c>
    </row>
    <row r="1346" spans="1:15" x14ac:dyDescent="0.25">
      <c r="A1346" t="s">
        <v>4</v>
      </c>
      <c r="B1346" t="s">
        <v>541</v>
      </c>
      <c r="C1346" t="s">
        <v>1810</v>
      </c>
      <c r="D1346" t="s">
        <v>21</v>
      </c>
      <c r="E1346" t="s">
        <v>1828</v>
      </c>
      <c r="F1346" t="s">
        <v>86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f t="shared" ref="N1346:N1409" si="21">SUM(G1346:M1346)</f>
        <v>1</v>
      </c>
      <c r="O1346" t="str">
        <f>IF(AND($A1346=Dashboard!$B$3,$B1346=Dashboard!$G$3,$D1346&lt;&gt;"NO_SERVICE"),ROW(),"")</f>
        <v/>
      </c>
    </row>
    <row r="1347" spans="1:15" x14ac:dyDescent="0.25">
      <c r="A1347" t="s">
        <v>4</v>
      </c>
      <c r="B1347" t="s">
        <v>541</v>
      </c>
      <c r="C1347" t="s">
        <v>1810</v>
      </c>
      <c r="D1347" t="s">
        <v>21</v>
      </c>
      <c r="E1347" t="s">
        <v>1828</v>
      </c>
      <c r="F1347" t="s">
        <v>676</v>
      </c>
      <c r="G1347">
        <v>0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f t="shared" si="21"/>
        <v>6</v>
      </c>
      <c r="O1347" t="str">
        <f>IF(AND($A1347=Dashboard!$B$3,$B1347=Dashboard!$G$3,$D1347&lt;&gt;"NO_SERVICE"),ROW(),"")</f>
        <v/>
      </c>
    </row>
    <row r="1348" spans="1:15" x14ac:dyDescent="0.25">
      <c r="A1348" t="s">
        <v>4</v>
      </c>
      <c r="B1348" t="s">
        <v>541</v>
      </c>
      <c r="C1348" t="s">
        <v>1810</v>
      </c>
      <c r="D1348" t="s">
        <v>21</v>
      </c>
      <c r="E1348" t="s">
        <v>1829</v>
      </c>
      <c r="F1348" t="s">
        <v>157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f t="shared" si="21"/>
        <v>7</v>
      </c>
      <c r="O1348" t="str">
        <f>IF(AND($A1348=Dashboard!$B$3,$B1348=Dashboard!$G$3,$D1348&lt;&gt;"NO_SERVICE"),ROW(),"")</f>
        <v/>
      </c>
    </row>
    <row r="1349" spans="1:15" x14ac:dyDescent="0.25">
      <c r="A1349" t="s">
        <v>4</v>
      </c>
      <c r="B1349" t="s">
        <v>541</v>
      </c>
      <c r="C1349" t="s">
        <v>1810</v>
      </c>
      <c r="D1349" t="s">
        <v>21</v>
      </c>
      <c r="E1349" t="s">
        <v>1830</v>
      </c>
      <c r="F1349" t="s">
        <v>1030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f t="shared" si="21"/>
        <v>1</v>
      </c>
      <c r="O1349" t="str">
        <f>IF(AND($A1349=Dashboard!$B$3,$B1349=Dashboard!$G$3,$D1349&lt;&gt;"NO_SERVICE"),ROW(),"")</f>
        <v/>
      </c>
    </row>
    <row r="1350" spans="1:15" x14ac:dyDescent="0.25">
      <c r="A1350" t="s">
        <v>4</v>
      </c>
      <c r="B1350" t="s">
        <v>541</v>
      </c>
      <c r="C1350" t="s">
        <v>1810</v>
      </c>
      <c r="D1350" t="s">
        <v>21</v>
      </c>
      <c r="E1350" t="s">
        <v>1830</v>
      </c>
      <c r="F1350" t="s">
        <v>382</v>
      </c>
      <c r="G1350">
        <v>0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f t="shared" si="21"/>
        <v>6</v>
      </c>
      <c r="O1350" t="str">
        <f>IF(AND($A1350=Dashboard!$B$3,$B1350=Dashboard!$G$3,$D1350&lt;&gt;"NO_SERVICE"),ROW(),"")</f>
        <v/>
      </c>
    </row>
    <row r="1351" spans="1:15" x14ac:dyDescent="0.25">
      <c r="A1351" t="s">
        <v>4</v>
      </c>
      <c r="B1351" t="s">
        <v>541</v>
      </c>
      <c r="C1351" t="s">
        <v>1810</v>
      </c>
      <c r="D1351" t="s">
        <v>21</v>
      </c>
      <c r="E1351" t="s">
        <v>1831</v>
      </c>
      <c r="F1351" t="s">
        <v>443</v>
      </c>
      <c r="G1351">
        <v>0</v>
      </c>
      <c r="H1351">
        <v>1</v>
      </c>
      <c r="I1351">
        <v>0</v>
      </c>
      <c r="J1351">
        <v>1</v>
      </c>
      <c r="K1351">
        <v>0</v>
      </c>
      <c r="L1351">
        <v>1</v>
      </c>
      <c r="M1351">
        <v>0</v>
      </c>
      <c r="N1351">
        <f t="shared" si="21"/>
        <v>3</v>
      </c>
      <c r="O1351" t="str">
        <f>IF(AND($A1351=Dashboard!$B$3,$B1351=Dashboard!$G$3,$D1351&lt;&gt;"NO_SERVICE"),ROW(),"")</f>
        <v/>
      </c>
    </row>
    <row r="1352" spans="1:15" x14ac:dyDescent="0.25">
      <c r="A1352" t="s">
        <v>4</v>
      </c>
      <c r="B1352" t="s">
        <v>541</v>
      </c>
      <c r="C1352" t="s">
        <v>1810</v>
      </c>
      <c r="D1352" t="s">
        <v>21</v>
      </c>
      <c r="E1352" t="s">
        <v>1832</v>
      </c>
      <c r="F1352" t="s">
        <v>1319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f t="shared" si="21"/>
        <v>1</v>
      </c>
      <c r="O1352" t="str">
        <f>IF(AND($A1352=Dashboard!$B$3,$B1352=Dashboard!$G$3,$D1352&lt;&gt;"NO_SERVICE"),ROW(),"")</f>
        <v/>
      </c>
    </row>
    <row r="1353" spans="1:15" x14ac:dyDescent="0.25">
      <c r="A1353" t="s">
        <v>4</v>
      </c>
      <c r="B1353" t="s">
        <v>541</v>
      </c>
      <c r="C1353" t="s">
        <v>1810</v>
      </c>
      <c r="D1353" t="s">
        <v>21</v>
      </c>
      <c r="E1353" t="s">
        <v>1833</v>
      </c>
      <c r="F1353" t="s">
        <v>1319</v>
      </c>
      <c r="G1353">
        <v>0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f t="shared" si="21"/>
        <v>6</v>
      </c>
      <c r="O1353" t="str">
        <f>IF(AND($A1353=Dashboard!$B$3,$B1353=Dashboard!$G$3,$D1353&lt;&gt;"NO_SERVICE"),ROW(),"")</f>
        <v/>
      </c>
    </row>
    <row r="1354" spans="1:15" x14ac:dyDescent="0.25">
      <c r="A1354" t="s">
        <v>4</v>
      </c>
      <c r="B1354" t="s">
        <v>541</v>
      </c>
      <c r="C1354" t="s">
        <v>1810</v>
      </c>
      <c r="D1354" t="s">
        <v>21</v>
      </c>
      <c r="E1354" t="s">
        <v>1834</v>
      </c>
      <c r="F1354" t="s">
        <v>60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f t="shared" si="21"/>
        <v>7</v>
      </c>
      <c r="O1354" t="str">
        <f>IF(AND($A1354=Dashboard!$B$3,$B1354=Dashboard!$G$3,$D1354&lt;&gt;"NO_SERVICE"),ROW(),"")</f>
        <v/>
      </c>
    </row>
    <row r="1355" spans="1:15" x14ac:dyDescent="0.25">
      <c r="A1355" t="s">
        <v>4</v>
      </c>
      <c r="B1355" t="s">
        <v>541</v>
      </c>
      <c r="C1355" t="s">
        <v>1810</v>
      </c>
      <c r="D1355" t="s">
        <v>21</v>
      </c>
      <c r="E1355" t="s">
        <v>1835</v>
      </c>
      <c r="F1355" t="s">
        <v>293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f t="shared" si="21"/>
        <v>7</v>
      </c>
      <c r="O1355" t="str">
        <f>IF(AND($A1355=Dashboard!$B$3,$B1355=Dashboard!$G$3,$D1355&lt;&gt;"NO_SERVICE"),ROW(),"")</f>
        <v/>
      </c>
    </row>
    <row r="1356" spans="1:15" x14ac:dyDescent="0.25">
      <c r="A1356" t="s">
        <v>4</v>
      </c>
      <c r="B1356" t="s">
        <v>541</v>
      </c>
      <c r="C1356" t="s">
        <v>1810</v>
      </c>
      <c r="D1356" t="s">
        <v>21</v>
      </c>
      <c r="E1356" t="s">
        <v>1836</v>
      </c>
      <c r="F1356" t="s">
        <v>232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f t="shared" si="21"/>
        <v>1</v>
      </c>
      <c r="O1356" t="str">
        <f>IF(AND($A1356=Dashboard!$B$3,$B1356=Dashboard!$G$3,$D1356&lt;&gt;"NO_SERVICE"),ROW(),"")</f>
        <v/>
      </c>
    </row>
    <row r="1357" spans="1:15" x14ac:dyDescent="0.25">
      <c r="A1357" t="s">
        <v>4</v>
      </c>
      <c r="B1357" t="s">
        <v>541</v>
      </c>
      <c r="C1357" t="s">
        <v>1810</v>
      </c>
      <c r="D1357" t="s">
        <v>21</v>
      </c>
      <c r="E1357" t="s">
        <v>1836</v>
      </c>
      <c r="F1357" t="s">
        <v>693</v>
      </c>
      <c r="G1357">
        <v>0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f t="shared" si="21"/>
        <v>6</v>
      </c>
      <c r="O1357" t="str">
        <f>IF(AND($A1357=Dashboard!$B$3,$B1357=Dashboard!$G$3,$D1357&lt;&gt;"NO_SERVICE"),ROW(),"")</f>
        <v/>
      </c>
    </row>
    <row r="1358" spans="1:15" x14ac:dyDescent="0.25">
      <c r="A1358" t="s">
        <v>4</v>
      </c>
      <c r="B1358" t="s">
        <v>541</v>
      </c>
      <c r="C1358" t="s">
        <v>1810</v>
      </c>
      <c r="D1358" t="s">
        <v>21</v>
      </c>
      <c r="E1358" t="s">
        <v>1837</v>
      </c>
      <c r="F1358" t="s">
        <v>303</v>
      </c>
      <c r="G1358">
        <v>0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f t="shared" si="21"/>
        <v>6</v>
      </c>
      <c r="O1358" t="str">
        <f>IF(AND($A1358=Dashboard!$B$3,$B1358=Dashboard!$G$3,$D1358&lt;&gt;"NO_SERVICE"),ROW(),"")</f>
        <v/>
      </c>
    </row>
    <row r="1359" spans="1:15" x14ac:dyDescent="0.25">
      <c r="A1359" t="s">
        <v>4</v>
      </c>
      <c r="B1359" t="s">
        <v>541</v>
      </c>
      <c r="C1359" t="s">
        <v>1810</v>
      </c>
      <c r="D1359" t="s">
        <v>21</v>
      </c>
      <c r="E1359" t="s">
        <v>1838</v>
      </c>
      <c r="F1359" t="s">
        <v>1212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f t="shared" si="21"/>
        <v>1</v>
      </c>
      <c r="O1359" t="str">
        <f>IF(AND($A1359=Dashboard!$B$3,$B1359=Dashboard!$G$3,$D1359&lt;&gt;"NO_SERVICE"),ROW(),"")</f>
        <v/>
      </c>
    </row>
    <row r="1360" spans="1:15" x14ac:dyDescent="0.25">
      <c r="A1360" t="s">
        <v>4</v>
      </c>
      <c r="B1360" t="s">
        <v>541</v>
      </c>
      <c r="C1360" t="s">
        <v>1810</v>
      </c>
      <c r="D1360" t="s">
        <v>29</v>
      </c>
      <c r="E1360" t="s">
        <v>1839</v>
      </c>
      <c r="F1360" t="s">
        <v>72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f t="shared" si="21"/>
        <v>7</v>
      </c>
      <c r="O1360" t="str">
        <f>IF(AND($A1360=Dashboard!$B$3,$B1360=Dashboard!$G$3,$D1360&lt;&gt;"NO_SERVICE"),ROW(),"")</f>
        <v/>
      </c>
    </row>
    <row r="1361" spans="1:15" x14ac:dyDescent="0.25">
      <c r="A1361" t="s">
        <v>4</v>
      </c>
      <c r="B1361" t="s">
        <v>541</v>
      </c>
      <c r="C1361" t="s">
        <v>1810</v>
      </c>
      <c r="D1361" t="s">
        <v>26</v>
      </c>
      <c r="E1361" t="s">
        <v>1840</v>
      </c>
      <c r="F1361" t="s">
        <v>319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f t="shared" si="21"/>
        <v>7</v>
      </c>
      <c r="O1361" t="str">
        <f>IF(AND($A1361=Dashboard!$B$3,$B1361=Dashboard!$G$3,$D1361&lt;&gt;"NO_SERVICE"),ROW(),"")</f>
        <v/>
      </c>
    </row>
    <row r="1362" spans="1:15" x14ac:dyDescent="0.25">
      <c r="A1362" t="s">
        <v>4</v>
      </c>
      <c r="B1362" t="s">
        <v>541</v>
      </c>
      <c r="C1362" t="s">
        <v>1810</v>
      </c>
      <c r="D1362" t="s">
        <v>26</v>
      </c>
      <c r="E1362" t="s">
        <v>1841</v>
      </c>
      <c r="F1362" t="s">
        <v>466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0</v>
      </c>
      <c r="M1362">
        <v>1</v>
      </c>
      <c r="N1362">
        <f t="shared" si="21"/>
        <v>6</v>
      </c>
      <c r="O1362" t="str">
        <f>IF(AND($A1362=Dashboard!$B$3,$B1362=Dashboard!$G$3,$D1362&lt;&gt;"NO_SERVICE"),ROW(),"")</f>
        <v/>
      </c>
    </row>
    <row r="1363" spans="1:15" x14ac:dyDescent="0.25">
      <c r="A1363" t="s">
        <v>4</v>
      </c>
      <c r="B1363" t="s">
        <v>541</v>
      </c>
      <c r="C1363" t="s">
        <v>1810</v>
      </c>
      <c r="D1363" t="s">
        <v>26</v>
      </c>
      <c r="E1363" t="s">
        <v>1841</v>
      </c>
      <c r="F1363" t="s">
        <v>378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f t="shared" si="21"/>
        <v>1</v>
      </c>
      <c r="O1363" t="str">
        <f>IF(AND($A1363=Dashboard!$B$3,$B1363=Dashboard!$G$3,$D1363&lt;&gt;"NO_SERVICE"),ROW(),"")</f>
        <v/>
      </c>
    </row>
    <row r="1364" spans="1:15" x14ac:dyDescent="0.25">
      <c r="A1364" t="s">
        <v>4</v>
      </c>
      <c r="B1364" t="s">
        <v>904</v>
      </c>
      <c r="C1364" t="s">
        <v>1842</v>
      </c>
      <c r="D1364" t="s">
        <v>24</v>
      </c>
      <c r="E1364" t="s">
        <v>1843</v>
      </c>
      <c r="F1364" t="s">
        <v>1844</v>
      </c>
      <c r="G1364">
        <v>1</v>
      </c>
      <c r="H1364">
        <v>1</v>
      </c>
      <c r="I1364">
        <v>0</v>
      </c>
      <c r="J1364">
        <v>1</v>
      </c>
      <c r="K1364">
        <v>1</v>
      </c>
      <c r="L1364">
        <v>1</v>
      </c>
      <c r="M1364">
        <v>0</v>
      </c>
      <c r="N1364">
        <f t="shared" si="21"/>
        <v>5</v>
      </c>
      <c r="O1364" t="str">
        <f>IF(AND($A1364=Dashboard!$B$3,$B1364=Dashboard!$G$3,$D1364&lt;&gt;"NO_SERVICE"),ROW(),"")</f>
        <v/>
      </c>
    </row>
    <row r="1365" spans="1:15" x14ac:dyDescent="0.25">
      <c r="A1365" t="s">
        <v>4</v>
      </c>
      <c r="B1365" t="s">
        <v>904</v>
      </c>
      <c r="C1365" t="s">
        <v>1842</v>
      </c>
      <c r="D1365" t="s">
        <v>24</v>
      </c>
      <c r="E1365" t="s">
        <v>1845</v>
      </c>
      <c r="F1365" t="s">
        <v>215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f t="shared" si="21"/>
        <v>7</v>
      </c>
      <c r="O1365" t="str">
        <f>IF(AND($A1365=Dashboard!$B$3,$B1365=Dashboard!$G$3,$D1365&lt;&gt;"NO_SERVICE"),ROW(),"")</f>
        <v/>
      </c>
    </row>
    <row r="1366" spans="1:15" x14ac:dyDescent="0.25">
      <c r="A1366" t="s">
        <v>4</v>
      </c>
      <c r="B1366" t="s">
        <v>904</v>
      </c>
      <c r="C1366" t="s">
        <v>1842</v>
      </c>
      <c r="D1366" t="s">
        <v>24</v>
      </c>
      <c r="E1366" t="s">
        <v>1846</v>
      </c>
      <c r="F1366" t="s">
        <v>953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f t="shared" si="21"/>
        <v>7</v>
      </c>
      <c r="O1366" t="str">
        <f>IF(AND($A1366=Dashboard!$B$3,$B1366=Dashboard!$G$3,$D1366&lt;&gt;"NO_SERVICE"),ROW(),"")</f>
        <v/>
      </c>
    </row>
    <row r="1367" spans="1:15" x14ac:dyDescent="0.25">
      <c r="A1367" t="s">
        <v>4</v>
      </c>
      <c r="B1367" t="s">
        <v>904</v>
      </c>
      <c r="C1367" t="s">
        <v>1842</v>
      </c>
      <c r="D1367" t="s">
        <v>24</v>
      </c>
      <c r="E1367" t="s">
        <v>1847</v>
      </c>
      <c r="F1367" t="s">
        <v>382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f t="shared" si="21"/>
        <v>7</v>
      </c>
      <c r="O1367" t="str">
        <f>IF(AND($A1367=Dashboard!$B$3,$B1367=Dashboard!$G$3,$D1367&lt;&gt;"NO_SERVICE"),ROW(),"")</f>
        <v/>
      </c>
    </row>
    <row r="1368" spans="1:15" x14ac:dyDescent="0.25">
      <c r="A1368" t="s">
        <v>4</v>
      </c>
      <c r="B1368" t="s">
        <v>904</v>
      </c>
      <c r="C1368" t="s">
        <v>1842</v>
      </c>
      <c r="D1368" t="s">
        <v>24</v>
      </c>
      <c r="E1368" t="s">
        <v>1848</v>
      </c>
      <c r="F1368" t="s">
        <v>235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f t="shared" si="21"/>
        <v>7</v>
      </c>
      <c r="O1368" t="str">
        <f>IF(AND($A1368=Dashboard!$B$3,$B1368=Dashboard!$G$3,$D1368&lt;&gt;"NO_SERVICE"),ROW(),"")</f>
        <v/>
      </c>
    </row>
    <row r="1369" spans="1:15" x14ac:dyDescent="0.25">
      <c r="A1369" t="s">
        <v>4</v>
      </c>
      <c r="B1369" t="s">
        <v>904</v>
      </c>
      <c r="C1369" t="s">
        <v>1842</v>
      </c>
      <c r="D1369" t="s">
        <v>24</v>
      </c>
      <c r="E1369" t="s">
        <v>1849</v>
      </c>
      <c r="F1369" t="s">
        <v>204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f t="shared" si="21"/>
        <v>7</v>
      </c>
      <c r="O1369" t="str">
        <f>IF(AND($A1369=Dashboard!$B$3,$B1369=Dashboard!$G$3,$D1369&lt;&gt;"NO_SERVICE"),ROW(),"")</f>
        <v/>
      </c>
    </row>
    <row r="1370" spans="1:15" x14ac:dyDescent="0.25">
      <c r="A1370" t="s">
        <v>4</v>
      </c>
      <c r="B1370" t="s">
        <v>904</v>
      </c>
      <c r="C1370" t="s">
        <v>1842</v>
      </c>
      <c r="D1370" t="s">
        <v>24</v>
      </c>
      <c r="E1370" t="s">
        <v>1850</v>
      </c>
      <c r="F1370" t="s">
        <v>147</v>
      </c>
      <c r="G1370">
        <v>1</v>
      </c>
      <c r="H1370">
        <v>0</v>
      </c>
      <c r="I1370">
        <v>1</v>
      </c>
      <c r="J1370">
        <v>0</v>
      </c>
      <c r="K1370">
        <v>1</v>
      </c>
      <c r="L1370">
        <v>0</v>
      </c>
      <c r="M1370">
        <v>1</v>
      </c>
      <c r="N1370">
        <f t="shared" si="21"/>
        <v>4</v>
      </c>
      <c r="O1370" t="str">
        <f>IF(AND($A1370=Dashboard!$B$3,$B1370=Dashboard!$G$3,$D1370&lt;&gt;"NO_SERVICE"),ROW(),"")</f>
        <v/>
      </c>
    </row>
    <row r="1371" spans="1:15" x14ac:dyDescent="0.25">
      <c r="A1371" t="s">
        <v>4</v>
      </c>
      <c r="B1371" t="s">
        <v>904</v>
      </c>
      <c r="C1371" t="s">
        <v>1842</v>
      </c>
      <c r="D1371" t="s">
        <v>24</v>
      </c>
      <c r="E1371" t="s">
        <v>1851</v>
      </c>
      <c r="F1371" t="s">
        <v>60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f t="shared" si="21"/>
        <v>7</v>
      </c>
      <c r="O1371" t="str">
        <f>IF(AND($A1371=Dashboard!$B$3,$B1371=Dashboard!$G$3,$D1371&lt;&gt;"NO_SERVICE"),ROW(),"")</f>
        <v/>
      </c>
    </row>
    <row r="1372" spans="1:15" x14ac:dyDescent="0.25">
      <c r="A1372" t="s">
        <v>4</v>
      </c>
      <c r="B1372" t="s">
        <v>904</v>
      </c>
      <c r="C1372" t="s">
        <v>1842</v>
      </c>
      <c r="D1372" t="s">
        <v>24</v>
      </c>
      <c r="E1372" t="s">
        <v>1852</v>
      </c>
      <c r="F1372" t="s">
        <v>49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f t="shared" si="21"/>
        <v>7</v>
      </c>
      <c r="O1372" t="str">
        <f>IF(AND($A1372=Dashboard!$B$3,$B1372=Dashboard!$G$3,$D1372&lt;&gt;"NO_SERVICE"),ROW(),"")</f>
        <v/>
      </c>
    </row>
    <row r="1373" spans="1:15" x14ac:dyDescent="0.25">
      <c r="A1373" t="s">
        <v>4</v>
      </c>
      <c r="B1373" t="s">
        <v>904</v>
      </c>
      <c r="C1373" t="s">
        <v>1842</v>
      </c>
      <c r="D1373" t="s">
        <v>24</v>
      </c>
      <c r="E1373" t="s">
        <v>1853</v>
      </c>
      <c r="F1373" t="s">
        <v>742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f t="shared" si="21"/>
        <v>7</v>
      </c>
      <c r="O1373" t="str">
        <f>IF(AND($A1373=Dashboard!$B$3,$B1373=Dashboard!$G$3,$D1373&lt;&gt;"NO_SERVICE"),ROW(),"")</f>
        <v/>
      </c>
    </row>
    <row r="1374" spans="1:15" x14ac:dyDescent="0.25">
      <c r="A1374" t="s">
        <v>4</v>
      </c>
      <c r="B1374" t="s">
        <v>904</v>
      </c>
      <c r="C1374" t="s">
        <v>1842</v>
      </c>
      <c r="D1374" t="s">
        <v>24</v>
      </c>
      <c r="E1374" t="s">
        <v>1854</v>
      </c>
      <c r="F1374" t="s">
        <v>303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f t="shared" si="21"/>
        <v>7</v>
      </c>
      <c r="O1374" t="str">
        <f>IF(AND($A1374=Dashboard!$B$3,$B1374=Dashboard!$G$3,$D1374&lt;&gt;"NO_SERVICE"),ROW(),"")</f>
        <v/>
      </c>
    </row>
    <row r="1375" spans="1:15" x14ac:dyDescent="0.25">
      <c r="A1375" t="s">
        <v>4</v>
      </c>
      <c r="B1375" t="s">
        <v>904</v>
      </c>
      <c r="C1375" t="s">
        <v>1842</v>
      </c>
      <c r="D1375" t="s">
        <v>24</v>
      </c>
      <c r="E1375" t="s">
        <v>1855</v>
      </c>
      <c r="F1375" t="s">
        <v>1167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f t="shared" si="21"/>
        <v>7</v>
      </c>
      <c r="O1375" t="str">
        <f>IF(AND($A1375=Dashboard!$B$3,$B1375=Dashboard!$G$3,$D1375&lt;&gt;"NO_SERVICE"),ROW(),"")</f>
        <v/>
      </c>
    </row>
    <row r="1376" spans="1:15" x14ac:dyDescent="0.25">
      <c r="A1376" t="s">
        <v>4</v>
      </c>
      <c r="B1376" t="s">
        <v>904</v>
      </c>
      <c r="C1376" t="s">
        <v>1842</v>
      </c>
      <c r="D1376" t="s">
        <v>21</v>
      </c>
      <c r="E1376" t="s">
        <v>1856</v>
      </c>
      <c r="F1376" t="s">
        <v>1857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f t="shared" si="21"/>
        <v>7</v>
      </c>
      <c r="O1376" t="str">
        <f>IF(AND($A1376=Dashboard!$B$3,$B1376=Dashboard!$G$3,$D1376&lt;&gt;"NO_SERVICE"),ROW(),"")</f>
        <v/>
      </c>
    </row>
    <row r="1377" spans="1:15" x14ac:dyDescent="0.25">
      <c r="A1377" t="s">
        <v>4</v>
      </c>
      <c r="B1377" t="s">
        <v>904</v>
      </c>
      <c r="C1377" t="s">
        <v>1842</v>
      </c>
      <c r="D1377" t="s">
        <v>21</v>
      </c>
      <c r="E1377" t="s">
        <v>1858</v>
      </c>
      <c r="F1377" t="s">
        <v>746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f t="shared" si="21"/>
        <v>7</v>
      </c>
      <c r="O1377" t="str">
        <f>IF(AND($A1377=Dashboard!$B$3,$B1377=Dashboard!$G$3,$D1377&lt;&gt;"NO_SERVICE"),ROW(),"")</f>
        <v/>
      </c>
    </row>
    <row r="1378" spans="1:15" x14ac:dyDescent="0.25">
      <c r="A1378" t="s">
        <v>4</v>
      </c>
      <c r="B1378" t="s">
        <v>904</v>
      </c>
      <c r="C1378" t="s">
        <v>1842</v>
      </c>
      <c r="D1378" t="s">
        <v>21</v>
      </c>
      <c r="E1378" t="s">
        <v>1859</v>
      </c>
      <c r="F1378" t="s">
        <v>985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f t="shared" si="21"/>
        <v>7</v>
      </c>
      <c r="O1378" t="str">
        <f>IF(AND($A1378=Dashboard!$B$3,$B1378=Dashboard!$G$3,$D1378&lt;&gt;"NO_SERVICE"),ROW(),"")</f>
        <v/>
      </c>
    </row>
    <row r="1379" spans="1:15" x14ac:dyDescent="0.25">
      <c r="A1379" t="s">
        <v>4</v>
      </c>
      <c r="B1379" t="s">
        <v>904</v>
      </c>
      <c r="C1379" t="s">
        <v>1842</v>
      </c>
      <c r="D1379" t="s">
        <v>21</v>
      </c>
      <c r="E1379" t="s">
        <v>1860</v>
      </c>
      <c r="F1379" t="s">
        <v>1861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f t="shared" si="21"/>
        <v>7</v>
      </c>
      <c r="O1379" t="str">
        <f>IF(AND($A1379=Dashboard!$B$3,$B1379=Dashboard!$G$3,$D1379&lt;&gt;"NO_SERVICE"),ROW(),"")</f>
        <v/>
      </c>
    </row>
    <row r="1380" spans="1:15" x14ac:dyDescent="0.25">
      <c r="A1380" t="s">
        <v>4</v>
      </c>
      <c r="B1380" t="s">
        <v>904</v>
      </c>
      <c r="C1380" t="s">
        <v>1842</v>
      </c>
      <c r="D1380" t="s">
        <v>21</v>
      </c>
      <c r="E1380" t="s">
        <v>1862</v>
      </c>
      <c r="F1380" t="s">
        <v>309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f t="shared" si="21"/>
        <v>7</v>
      </c>
      <c r="O1380" t="str">
        <f>IF(AND($A1380=Dashboard!$B$3,$B1380=Dashboard!$G$3,$D1380&lt;&gt;"NO_SERVICE"),ROW(),"")</f>
        <v/>
      </c>
    </row>
    <row r="1381" spans="1:15" x14ac:dyDescent="0.25">
      <c r="A1381" t="s">
        <v>4</v>
      </c>
      <c r="B1381" t="s">
        <v>904</v>
      </c>
      <c r="C1381" t="s">
        <v>1842</v>
      </c>
      <c r="D1381" t="s">
        <v>21</v>
      </c>
      <c r="E1381" t="s">
        <v>1863</v>
      </c>
      <c r="F1381" t="s">
        <v>76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f t="shared" si="21"/>
        <v>7</v>
      </c>
      <c r="O1381" t="str">
        <f>IF(AND($A1381=Dashboard!$B$3,$B1381=Dashboard!$G$3,$D1381&lt;&gt;"NO_SERVICE"),ROW(),"")</f>
        <v/>
      </c>
    </row>
    <row r="1382" spans="1:15" x14ac:dyDescent="0.25">
      <c r="A1382" t="s">
        <v>4</v>
      </c>
      <c r="B1382" t="s">
        <v>904</v>
      </c>
      <c r="C1382" t="s">
        <v>1842</v>
      </c>
      <c r="D1382" t="s">
        <v>21</v>
      </c>
      <c r="E1382" t="s">
        <v>1864</v>
      </c>
      <c r="F1382" t="s">
        <v>376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f t="shared" si="21"/>
        <v>7</v>
      </c>
      <c r="O1382" t="str">
        <f>IF(AND($A1382=Dashboard!$B$3,$B1382=Dashboard!$G$3,$D1382&lt;&gt;"NO_SERVICE"),ROW(),"")</f>
        <v/>
      </c>
    </row>
    <row r="1383" spans="1:15" x14ac:dyDescent="0.25">
      <c r="A1383" t="s">
        <v>4</v>
      </c>
      <c r="B1383" t="s">
        <v>904</v>
      </c>
      <c r="C1383" t="s">
        <v>1842</v>
      </c>
      <c r="D1383" t="s">
        <v>21</v>
      </c>
      <c r="E1383" t="s">
        <v>1865</v>
      </c>
      <c r="F1383" t="s">
        <v>678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f t="shared" si="21"/>
        <v>7</v>
      </c>
      <c r="O1383" t="str">
        <f>IF(AND($A1383=Dashboard!$B$3,$B1383=Dashboard!$G$3,$D1383&lt;&gt;"NO_SERVICE"),ROW(),"")</f>
        <v/>
      </c>
    </row>
    <row r="1384" spans="1:15" x14ac:dyDescent="0.25">
      <c r="A1384" t="s">
        <v>4</v>
      </c>
      <c r="B1384" t="s">
        <v>904</v>
      </c>
      <c r="C1384" t="s">
        <v>1842</v>
      </c>
      <c r="D1384" t="s">
        <v>21</v>
      </c>
      <c r="E1384" t="s">
        <v>1866</v>
      </c>
      <c r="F1384" t="s">
        <v>219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f t="shared" si="21"/>
        <v>7</v>
      </c>
      <c r="O1384" t="str">
        <f>IF(AND($A1384=Dashboard!$B$3,$B1384=Dashboard!$G$3,$D1384&lt;&gt;"NO_SERVICE"),ROW(),"")</f>
        <v/>
      </c>
    </row>
    <row r="1385" spans="1:15" x14ac:dyDescent="0.25">
      <c r="A1385" t="s">
        <v>4</v>
      </c>
      <c r="B1385" t="s">
        <v>904</v>
      </c>
      <c r="C1385" t="s">
        <v>1842</v>
      </c>
      <c r="D1385" t="s">
        <v>21</v>
      </c>
      <c r="E1385" t="s">
        <v>1867</v>
      </c>
      <c r="F1385" t="s">
        <v>293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f t="shared" si="21"/>
        <v>7</v>
      </c>
      <c r="O1385" t="str">
        <f>IF(AND($A1385=Dashboard!$B$3,$B1385=Dashboard!$G$3,$D1385&lt;&gt;"NO_SERVICE"),ROW(),"")</f>
        <v/>
      </c>
    </row>
    <row r="1386" spans="1:15" x14ac:dyDescent="0.25">
      <c r="A1386" t="s">
        <v>4</v>
      </c>
      <c r="B1386" t="s">
        <v>904</v>
      </c>
      <c r="C1386" t="s">
        <v>1842</v>
      </c>
      <c r="D1386" t="s">
        <v>21</v>
      </c>
      <c r="E1386" t="s">
        <v>1868</v>
      </c>
      <c r="F1386" t="s">
        <v>62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f t="shared" si="21"/>
        <v>7</v>
      </c>
      <c r="O1386" t="str">
        <f>IF(AND($A1386=Dashboard!$B$3,$B1386=Dashboard!$G$3,$D1386&lt;&gt;"NO_SERVICE"),ROW(),"")</f>
        <v/>
      </c>
    </row>
    <row r="1387" spans="1:15" x14ac:dyDescent="0.25">
      <c r="A1387" t="s">
        <v>4</v>
      </c>
      <c r="B1387" t="s">
        <v>904</v>
      </c>
      <c r="C1387" t="s">
        <v>1842</v>
      </c>
      <c r="D1387" t="s">
        <v>21</v>
      </c>
      <c r="E1387" t="s">
        <v>1869</v>
      </c>
      <c r="F1387" t="s">
        <v>303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f t="shared" si="21"/>
        <v>7</v>
      </c>
      <c r="O1387" t="str">
        <f>IF(AND($A1387=Dashboard!$B$3,$B1387=Dashboard!$G$3,$D1387&lt;&gt;"NO_SERVICE"),ROW(),"")</f>
        <v/>
      </c>
    </row>
    <row r="1388" spans="1:15" x14ac:dyDescent="0.25">
      <c r="A1388" t="s">
        <v>4</v>
      </c>
      <c r="B1388" t="s">
        <v>904</v>
      </c>
      <c r="C1388" t="s">
        <v>1842</v>
      </c>
      <c r="D1388" t="s">
        <v>21</v>
      </c>
      <c r="E1388" t="s">
        <v>1870</v>
      </c>
      <c r="F1388" t="s">
        <v>1212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f t="shared" si="21"/>
        <v>7</v>
      </c>
      <c r="O1388" t="str">
        <f>IF(AND($A1388=Dashboard!$B$3,$B1388=Dashboard!$G$3,$D1388&lt;&gt;"NO_SERVICE"),ROW(),"")</f>
        <v/>
      </c>
    </row>
    <row r="1389" spans="1:15" x14ac:dyDescent="0.25">
      <c r="A1389" t="s">
        <v>4</v>
      </c>
      <c r="B1389" t="s">
        <v>904</v>
      </c>
      <c r="C1389" t="s">
        <v>1842</v>
      </c>
      <c r="D1389" t="s">
        <v>21</v>
      </c>
      <c r="E1389" t="s">
        <v>1871</v>
      </c>
      <c r="F1389" t="s">
        <v>352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f t="shared" si="21"/>
        <v>7</v>
      </c>
      <c r="O1389" t="str">
        <f>IF(AND($A1389=Dashboard!$B$3,$B1389=Dashboard!$G$3,$D1389&lt;&gt;"NO_SERVICE"),ROW(),"")</f>
        <v/>
      </c>
    </row>
    <row r="1390" spans="1:15" x14ac:dyDescent="0.25">
      <c r="A1390" t="s">
        <v>4</v>
      </c>
      <c r="B1390" t="s">
        <v>904</v>
      </c>
      <c r="C1390" t="s">
        <v>1842</v>
      </c>
      <c r="D1390" t="s">
        <v>26</v>
      </c>
      <c r="E1390" t="s">
        <v>1872</v>
      </c>
      <c r="F1390" t="s">
        <v>806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f t="shared" si="21"/>
        <v>7</v>
      </c>
      <c r="O1390" t="str">
        <f>IF(AND($A1390=Dashboard!$B$3,$B1390=Dashboard!$G$3,$D1390&lt;&gt;"NO_SERVICE"),ROW(),"")</f>
        <v/>
      </c>
    </row>
    <row r="1391" spans="1:15" x14ac:dyDescent="0.25">
      <c r="A1391" t="s">
        <v>4</v>
      </c>
      <c r="B1391" t="s">
        <v>904</v>
      </c>
      <c r="C1391" t="s">
        <v>1842</v>
      </c>
      <c r="D1391" t="s">
        <v>26</v>
      </c>
      <c r="E1391" t="s">
        <v>1873</v>
      </c>
      <c r="F1391" t="s">
        <v>359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f t="shared" si="21"/>
        <v>7</v>
      </c>
      <c r="O1391" t="str">
        <f>IF(AND($A1391=Dashboard!$B$3,$B1391=Dashboard!$G$3,$D1391&lt;&gt;"NO_SERVICE"),ROW(),"")</f>
        <v/>
      </c>
    </row>
    <row r="1392" spans="1:15" x14ac:dyDescent="0.25">
      <c r="A1392" t="s">
        <v>4</v>
      </c>
      <c r="B1392" t="s">
        <v>1004</v>
      </c>
      <c r="C1392" t="s">
        <v>1874</v>
      </c>
      <c r="D1392" t="s">
        <v>24</v>
      </c>
      <c r="E1392" t="s">
        <v>1875</v>
      </c>
      <c r="F1392" t="s">
        <v>488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f t="shared" si="21"/>
        <v>7</v>
      </c>
      <c r="O1392" t="str">
        <f>IF(AND($A1392=Dashboard!$B$3,$B1392=Dashboard!$G$3,$D1392&lt;&gt;"NO_SERVICE"),ROW(),"")</f>
        <v/>
      </c>
    </row>
    <row r="1393" spans="1:15" x14ac:dyDescent="0.25">
      <c r="A1393" t="s">
        <v>4</v>
      </c>
      <c r="B1393" t="s">
        <v>1004</v>
      </c>
      <c r="C1393" t="s">
        <v>1874</v>
      </c>
      <c r="D1393" t="s">
        <v>24</v>
      </c>
      <c r="E1393" t="s">
        <v>1876</v>
      </c>
      <c r="F1393" t="s">
        <v>476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f t="shared" si="21"/>
        <v>7</v>
      </c>
      <c r="O1393" t="str">
        <f>IF(AND($A1393=Dashboard!$B$3,$B1393=Dashboard!$G$3,$D1393&lt;&gt;"NO_SERVICE"),ROW(),"")</f>
        <v/>
      </c>
    </row>
    <row r="1394" spans="1:15" x14ac:dyDescent="0.25">
      <c r="A1394" t="s">
        <v>4</v>
      </c>
      <c r="B1394" t="s">
        <v>1004</v>
      </c>
      <c r="C1394" t="s">
        <v>1874</v>
      </c>
      <c r="D1394" t="s">
        <v>24</v>
      </c>
      <c r="E1394" t="s">
        <v>1877</v>
      </c>
      <c r="F1394" t="s">
        <v>832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f t="shared" si="21"/>
        <v>7</v>
      </c>
      <c r="O1394" t="str">
        <f>IF(AND($A1394=Dashboard!$B$3,$B1394=Dashboard!$G$3,$D1394&lt;&gt;"NO_SERVICE"),ROW(),"")</f>
        <v/>
      </c>
    </row>
    <row r="1395" spans="1:15" x14ac:dyDescent="0.25">
      <c r="A1395" t="s">
        <v>4</v>
      </c>
      <c r="B1395" t="s">
        <v>1004</v>
      </c>
      <c r="C1395" t="s">
        <v>1874</v>
      </c>
      <c r="D1395" t="s">
        <v>24</v>
      </c>
      <c r="E1395" t="s">
        <v>1878</v>
      </c>
      <c r="F1395" t="s">
        <v>170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f t="shared" si="21"/>
        <v>7</v>
      </c>
      <c r="O1395" t="str">
        <f>IF(AND($A1395=Dashboard!$B$3,$B1395=Dashboard!$G$3,$D1395&lt;&gt;"NO_SERVICE"),ROW(),"")</f>
        <v/>
      </c>
    </row>
    <row r="1396" spans="1:15" x14ac:dyDescent="0.25">
      <c r="A1396" t="s">
        <v>4</v>
      </c>
      <c r="B1396" t="s">
        <v>1004</v>
      </c>
      <c r="C1396" t="s">
        <v>1874</v>
      </c>
      <c r="D1396" t="s">
        <v>24</v>
      </c>
      <c r="E1396" t="s">
        <v>1879</v>
      </c>
      <c r="F1396" t="s">
        <v>180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f t="shared" si="21"/>
        <v>7</v>
      </c>
      <c r="O1396" t="str">
        <f>IF(AND($A1396=Dashboard!$B$3,$B1396=Dashboard!$G$3,$D1396&lt;&gt;"NO_SERVICE"),ROW(),"")</f>
        <v/>
      </c>
    </row>
    <row r="1397" spans="1:15" x14ac:dyDescent="0.25">
      <c r="A1397" t="s">
        <v>4</v>
      </c>
      <c r="B1397" t="s">
        <v>1004</v>
      </c>
      <c r="C1397" t="s">
        <v>1874</v>
      </c>
      <c r="D1397" t="s">
        <v>24</v>
      </c>
      <c r="E1397" t="s">
        <v>1880</v>
      </c>
      <c r="F1397" t="s">
        <v>400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f t="shared" si="21"/>
        <v>7</v>
      </c>
      <c r="O1397" t="str">
        <f>IF(AND($A1397=Dashboard!$B$3,$B1397=Dashboard!$G$3,$D1397&lt;&gt;"NO_SERVICE"),ROW(),"")</f>
        <v/>
      </c>
    </row>
    <row r="1398" spans="1:15" x14ac:dyDescent="0.25">
      <c r="A1398" t="s">
        <v>4</v>
      </c>
      <c r="B1398" t="s">
        <v>1004</v>
      </c>
      <c r="C1398" t="s">
        <v>1874</v>
      </c>
      <c r="D1398" t="s">
        <v>24</v>
      </c>
      <c r="E1398" t="s">
        <v>1881</v>
      </c>
      <c r="F1398" t="s">
        <v>435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f t="shared" si="21"/>
        <v>7</v>
      </c>
      <c r="O1398" t="str">
        <f>IF(AND($A1398=Dashboard!$B$3,$B1398=Dashboard!$G$3,$D1398&lt;&gt;"NO_SERVICE"),ROW(),"")</f>
        <v/>
      </c>
    </row>
    <row r="1399" spans="1:15" x14ac:dyDescent="0.25">
      <c r="A1399" t="s">
        <v>4</v>
      </c>
      <c r="B1399" t="s">
        <v>1004</v>
      </c>
      <c r="C1399" t="s">
        <v>1874</v>
      </c>
      <c r="D1399" t="s">
        <v>24</v>
      </c>
      <c r="E1399" t="s">
        <v>1882</v>
      </c>
      <c r="F1399" t="s">
        <v>272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0</v>
      </c>
      <c r="M1399">
        <v>1</v>
      </c>
      <c r="N1399">
        <f t="shared" si="21"/>
        <v>6</v>
      </c>
      <c r="O1399" t="str">
        <f>IF(AND($A1399=Dashboard!$B$3,$B1399=Dashboard!$G$3,$D1399&lt;&gt;"NO_SERVICE"),ROW(),"")</f>
        <v/>
      </c>
    </row>
    <row r="1400" spans="1:15" x14ac:dyDescent="0.25">
      <c r="A1400" t="s">
        <v>4</v>
      </c>
      <c r="B1400" t="s">
        <v>1004</v>
      </c>
      <c r="C1400" t="s">
        <v>1874</v>
      </c>
      <c r="D1400" t="s">
        <v>24</v>
      </c>
      <c r="E1400" t="s">
        <v>1883</v>
      </c>
      <c r="F1400" t="s">
        <v>855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f t="shared" si="21"/>
        <v>7</v>
      </c>
      <c r="O1400" t="str">
        <f>IF(AND($A1400=Dashboard!$B$3,$B1400=Dashboard!$G$3,$D1400&lt;&gt;"NO_SERVICE"),ROW(),"")</f>
        <v/>
      </c>
    </row>
    <row r="1401" spans="1:15" x14ac:dyDescent="0.25">
      <c r="A1401" t="s">
        <v>4</v>
      </c>
      <c r="B1401" t="s">
        <v>1004</v>
      </c>
      <c r="C1401" t="s">
        <v>1874</v>
      </c>
      <c r="D1401" t="s">
        <v>21</v>
      </c>
      <c r="E1401" t="s">
        <v>1884</v>
      </c>
      <c r="F1401" t="s">
        <v>1129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f t="shared" si="21"/>
        <v>7</v>
      </c>
      <c r="O1401" t="str">
        <f>IF(AND($A1401=Dashboard!$B$3,$B1401=Dashboard!$G$3,$D1401&lt;&gt;"NO_SERVICE"),ROW(),"")</f>
        <v/>
      </c>
    </row>
    <row r="1402" spans="1:15" x14ac:dyDescent="0.25">
      <c r="A1402" t="s">
        <v>4</v>
      </c>
      <c r="B1402" t="s">
        <v>1004</v>
      </c>
      <c r="C1402" t="s">
        <v>1874</v>
      </c>
      <c r="D1402" t="s">
        <v>21</v>
      </c>
      <c r="E1402" t="s">
        <v>1885</v>
      </c>
      <c r="F1402" t="s">
        <v>746</v>
      </c>
      <c r="G1402">
        <v>1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1</v>
      </c>
      <c r="N1402">
        <f t="shared" si="21"/>
        <v>3</v>
      </c>
      <c r="O1402" t="str">
        <f>IF(AND($A1402=Dashboard!$B$3,$B1402=Dashboard!$G$3,$D1402&lt;&gt;"NO_SERVICE"),ROW(),"")</f>
        <v/>
      </c>
    </row>
    <row r="1403" spans="1:15" x14ac:dyDescent="0.25">
      <c r="A1403" t="s">
        <v>4</v>
      </c>
      <c r="B1403" t="s">
        <v>1004</v>
      </c>
      <c r="C1403" t="s">
        <v>1874</v>
      </c>
      <c r="D1403" t="s">
        <v>21</v>
      </c>
      <c r="E1403" t="s">
        <v>1886</v>
      </c>
      <c r="F1403" t="s">
        <v>157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f t="shared" si="21"/>
        <v>7</v>
      </c>
      <c r="O1403" t="str">
        <f>IF(AND($A1403=Dashboard!$B$3,$B1403=Dashboard!$G$3,$D1403&lt;&gt;"NO_SERVICE"),ROW(),"")</f>
        <v/>
      </c>
    </row>
    <row r="1404" spans="1:15" x14ac:dyDescent="0.25">
      <c r="A1404" t="s">
        <v>4</v>
      </c>
      <c r="B1404" t="s">
        <v>1004</v>
      </c>
      <c r="C1404" t="s">
        <v>1874</v>
      </c>
      <c r="D1404" t="s">
        <v>21</v>
      </c>
      <c r="E1404" t="s">
        <v>1887</v>
      </c>
      <c r="F1404" t="s">
        <v>228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f t="shared" si="21"/>
        <v>7</v>
      </c>
      <c r="O1404" t="str">
        <f>IF(AND($A1404=Dashboard!$B$3,$B1404=Dashboard!$G$3,$D1404&lt;&gt;"NO_SERVICE"),ROW(),"")</f>
        <v/>
      </c>
    </row>
    <row r="1405" spans="1:15" x14ac:dyDescent="0.25">
      <c r="A1405" t="s">
        <v>4</v>
      </c>
      <c r="B1405" t="s">
        <v>1004</v>
      </c>
      <c r="C1405" t="s">
        <v>1874</v>
      </c>
      <c r="D1405" t="s">
        <v>21</v>
      </c>
      <c r="E1405" t="s">
        <v>1888</v>
      </c>
      <c r="F1405" t="s">
        <v>484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0</v>
      </c>
      <c r="M1405">
        <v>1</v>
      </c>
      <c r="N1405">
        <f t="shared" si="21"/>
        <v>6</v>
      </c>
      <c r="O1405" t="str">
        <f>IF(AND($A1405=Dashboard!$B$3,$B1405=Dashboard!$G$3,$D1405&lt;&gt;"NO_SERVICE"),ROW(),"")</f>
        <v/>
      </c>
    </row>
    <row r="1406" spans="1:15" x14ac:dyDescent="0.25">
      <c r="A1406" t="s">
        <v>4</v>
      </c>
      <c r="B1406" t="s">
        <v>1004</v>
      </c>
      <c r="C1406" t="s">
        <v>1874</v>
      </c>
      <c r="D1406" t="s">
        <v>21</v>
      </c>
      <c r="E1406" t="s">
        <v>1889</v>
      </c>
      <c r="F1406" t="s">
        <v>368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f t="shared" si="21"/>
        <v>7</v>
      </c>
      <c r="O1406" t="str">
        <f>IF(AND($A1406=Dashboard!$B$3,$B1406=Dashboard!$G$3,$D1406&lt;&gt;"NO_SERVICE"),ROW(),"")</f>
        <v/>
      </c>
    </row>
    <row r="1407" spans="1:15" x14ac:dyDescent="0.25">
      <c r="A1407" t="s">
        <v>4</v>
      </c>
      <c r="B1407" t="s">
        <v>1004</v>
      </c>
      <c r="C1407" t="s">
        <v>1874</v>
      </c>
      <c r="D1407" t="s">
        <v>21</v>
      </c>
      <c r="E1407" t="s">
        <v>1890</v>
      </c>
      <c r="F1407" t="s">
        <v>364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f t="shared" si="21"/>
        <v>7</v>
      </c>
      <c r="O1407" t="str">
        <f>IF(AND($A1407=Dashboard!$B$3,$B1407=Dashboard!$G$3,$D1407&lt;&gt;"NO_SERVICE"),ROW(),"")</f>
        <v/>
      </c>
    </row>
    <row r="1408" spans="1:15" x14ac:dyDescent="0.25">
      <c r="A1408" t="s">
        <v>4</v>
      </c>
      <c r="B1408" t="s">
        <v>1004</v>
      </c>
      <c r="C1408" t="s">
        <v>1874</v>
      </c>
      <c r="D1408" t="s">
        <v>21</v>
      </c>
      <c r="E1408" t="s">
        <v>1891</v>
      </c>
      <c r="F1408" t="s">
        <v>62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f t="shared" si="21"/>
        <v>7</v>
      </c>
      <c r="O1408" t="str">
        <f>IF(AND($A1408=Dashboard!$B$3,$B1408=Dashboard!$G$3,$D1408&lt;&gt;"NO_SERVICE"),ROW(),"")</f>
        <v/>
      </c>
    </row>
    <row r="1409" spans="1:15" x14ac:dyDescent="0.25">
      <c r="A1409" t="s">
        <v>4</v>
      </c>
      <c r="B1409" t="s">
        <v>1004</v>
      </c>
      <c r="C1409" t="s">
        <v>1874</v>
      </c>
      <c r="D1409" t="s">
        <v>21</v>
      </c>
      <c r="E1409" t="s">
        <v>1892</v>
      </c>
      <c r="F1409" t="s">
        <v>674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f t="shared" si="21"/>
        <v>7</v>
      </c>
      <c r="O1409" t="str">
        <f>IF(AND($A1409=Dashboard!$B$3,$B1409=Dashboard!$G$3,$D1409&lt;&gt;"NO_SERVICE"),ROW(),"")</f>
        <v/>
      </c>
    </row>
    <row r="1410" spans="1:15" x14ac:dyDescent="0.25">
      <c r="A1410" t="s">
        <v>4</v>
      </c>
      <c r="B1410" t="s">
        <v>1004</v>
      </c>
      <c r="C1410" t="s">
        <v>1874</v>
      </c>
      <c r="D1410" t="s">
        <v>21</v>
      </c>
      <c r="E1410" t="s">
        <v>1893</v>
      </c>
      <c r="F1410" t="s">
        <v>974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f t="shared" ref="N1410:N1473" si="22">SUM(G1410:M1410)</f>
        <v>7</v>
      </c>
      <c r="O1410" t="str">
        <f>IF(AND($A1410=Dashboard!$B$3,$B1410=Dashboard!$G$3,$D1410&lt;&gt;"NO_SERVICE"),ROW(),"")</f>
        <v/>
      </c>
    </row>
    <row r="1411" spans="1:15" x14ac:dyDescent="0.25">
      <c r="A1411" t="s">
        <v>4</v>
      </c>
      <c r="B1411" t="s">
        <v>1079</v>
      </c>
      <c r="C1411" t="s">
        <v>1894</v>
      </c>
      <c r="D1411" t="s">
        <v>24</v>
      </c>
      <c r="E1411" t="s">
        <v>1895</v>
      </c>
      <c r="F1411" t="s">
        <v>1650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f t="shared" si="22"/>
        <v>7</v>
      </c>
      <c r="O1411" t="str">
        <f>IF(AND($A1411=Dashboard!$B$3,$B1411=Dashboard!$G$3,$D1411&lt;&gt;"NO_SERVICE"),ROW(),"")</f>
        <v/>
      </c>
    </row>
    <row r="1412" spans="1:15" x14ac:dyDescent="0.25">
      <c r="A1412" t="s">
        <v>4</v>
      </c>
      <c r="B1412" t="s">
        <v>1079</v>
      </c>
      <c r="C1412" t="s">
        <v>1894</v>
      </c>
      <c r="D1412" t="s">
        <v>24</v>
      </c>
      <c r="E1412" t="s">
        <v>1896</v>
      </c>
      <c r="F1412" t="s">
        <v>269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f t="shared" si="22"/>
        <v>7</v>
      </c>
      <c r="O1412" t="str">
        <f>IF(AND($A1412=Dashboard!$B$3,$B1412=Dashboard!$G$3,$D1412&lt;&gt;"NO_SERVICE"),ROW(),"")</f>
        <v/>
      </c>
    </row>
    <row r="1413" spans="1:15" x14ac:dyDescent="0.25">
      <c r="A1413" t="s">
        <v>4</v>
      </c>
      <c r="B1413" t="s">
        <v>1079</v>
      </c>
      <c r="C1413" t="s">
        <v>1894</v>
      </c>
      <c r="D1413" t="s">
        <v>24</v>
      </c>
      <c r="E1413" t="s">
        <v>1897</v>
      </c>
      <c r="F1413" t="s">
        <v>326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f t="shared" si="22"/>
        <v>7</v>
      </c>
      <c r="O1413" t="str">
        <f>IF(AND($A1413=Dashboard!$B$3,$B1413=Dashboard!$G$3,$D1413&lt;&gt;"NO_SERVICE"),ROW(),"")</f>
        <v/>
      </c>
    </row>
    <row r="1414" spans="1:15" x14ac:dyDescent="0.25">
      <c r="A1414" t="s">
        <v>4</v>
      </c>
      <c r="B1414" t="s">
        <v>1079</v>
      </c>
      <c r="C1414" t="s">
        <v>1894</v>
      </c>
      <c r="D1414" t="s">
        <v>24</v>
      </c>
      <c r="E1414" t="s">
        <v>1898</v>
      </c>
      <c r="F1414" t="s">
        <v>1861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0</v>
      </c>
      <c r="M1414">
        <v>1</v>
      </c>
      <c r="N1414">
        <f t="shared" si="22"/>
        <v>6</v>
      </c>
      <c r="O1414" t="str">
        <f>IF(AND($A1414=Dashboard!$B$3,$B1414=Dashboard!$G$3,$D1414&lt;&gt;"NO_SERVICE"),ROW(),"")</f>
        <v/>
      </c>
    </row>
    <row r="1415" spans="1:15" x14ac:dyDescent="0.25">
      <c r="A1415" t="s">
        <v>4</v>
      </c>
      <c r="B1415" t="s">
        <v>1079</v>
      </c>
      <c r="C1415" t="s">
        <v>1894</v>
      </c>
      <c r="D1415" t="s">
        <v>24</v>
      </c>
      <c r="E1415" t="s">
        <v>1815</v>
      </c>
      <c r="F1415" t="s">
        <v>237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0</v>
      </c>
      <c r="M1415">
        <v>1</v>
      </c>
      <c r="N1415">
        <f t="shared" si="22"/>
        <v>6</v>
      </c>
      <c r="O1415" t="str">
        <f>IF(AND($A1415=Dashboard!$B$3,$B1415=Dashboard!$G$3,$D1415&lt;&gt;"NO_SERVICE"),ROW(),"")</f>
        <v/>
      </c>
    </row>
    <row r="1416" spans="1:15" x14ac:dyDescent="0.25">
      <c r="A1416" t="s">
        <v>4</v>
      </c>
      <c r="B1416" t="s">
        <v>1079</v>
      </c>
      <c r="C1416" t="s">
        <v>1894</v>
      </c>
      <c r="D1416" t="s">
        <v>24</v>
      </c>
      <c r="E1416" t="s">
        <v>1899</v>
      </c>
      <c r="F1416" t="s">
        <v>729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f t="shared" si="22"/>
        <v>7</v>
      </c>
      <c r="O1416" t="str">
        <f>IF(AND($A1416=Dashboard!$B$3,$B1416=Dashboard!$G$3,$D1416&lt;&gt;"NO_SERVICE"),ROW(),"")</f>
        <v/>
      </c>
    </row>
    <row r="1417" spans="1:15" x14ac:dyDescent="0.25">
      <c r="A1417" t="s">
        <v>4</v>
      </c>
      <c r="B1417" t="s">
        <v>1079</v>
      </c>
      <c r="C1417" t="s">
        <v>1894</v>
      </c>
      <c r="D1417" t="s">
        <v>24</v>
      </c>
      <c r="E1417" t="s">
        <v>1900</v>
      </c>
      <c r="F1417" t="s">
        <v>435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f t="shared" si="22"/>
        <v>7</v>
      </c>
      <c r="O1417" t="str">
        <f>IF(AND($A1417=Dashboard!$B$3,$B1417=Dashboard!$G$3,$D1417&lt;&gt;"NO_SERVICE"),ROW(),"")</f>
        <v/>
      </c>
    </row>
    <row r="1418" spans="1:15" x14ac:dyDescent="0.25">
      <c r="A1418" t="s">
        <v>4</v>
      </c>
      <c r="B1418" t="s">
        <v>1079</v>
      </c>
      <c r="C1418" t="s">
        <v>1894</v>
      </c>
      <c r="D1418" t="s">
        <v>24</v>
      </c>
      <c r="E1418" t="s">
        <v>1901</v>
      </c>
      <c r="F1418" t="s">
        <v>1082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f t="shared" si="22"/>
        <v>7</v>
      </c>
      <c r="O1418" t="str">
        <f>IF(AND($A1418=Dashboard!$B$3,$B1418=Dashboard!$G$3,$D1418&lt;&gt;"NO_SERVICE"),ROW(),"")</f>
        <v/>
      </c>
    </row>
    <row r="1419" spans="1:15" x14ac:dyDescent="0.25">
      <c r="A1419" t="s">
        <v>4</v>
      </c>
      <c r="B1419" t="s">
        <v>1079</v>
      </c>
      <c r="C1419" t="s">
        <v>1894</v>
      </c>
      <c r="D1419" t="s">
        <v>24</v>
      </c>
      <c r="E1419" t="s">
        <v>1902</v>
      </c>
      <c r="F1419" t="s">
        <v>352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f t="shared" si="22"/>
        <v>7</v>
      </c>
      <c r="O1419" t="str">
        <f>IF(AND($A1419=Dashboard!$B$3,$B1419=Dashboard!$G$3,$D1419&lt;&gt;"NO_SERVICE"),ROW(),"")</f>
        <v/>
      </c>
    </row>
    <row r="1420" spans="1:15" x14ac:dyDescent="0.25">
      <c r="A1420" t="s">
        <v>4</v>
      </c>
      <c r="B1420" t="s">
        <v>1079</v>
      </c>
      <c r="C1420" t="s">
        <v>1894</v>
      </c>
      <c r="D1420" t="s">
        <v>21</v>
      </c>
      <c r="E1420" t="s">
        <v>1903</v>
      </c>
      <c r="F1420" t="s">
        <v>1904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f t="shared" si="22"/>
        <v>1</v>
      </c>
      <c r="O1420" t="str">
        <f>IF(AND($A1420=Dashboard!$B$3,$B1420=Dashboard!$G$3,$D1420&lt;&gt;"NO_SERVICE"),ROW(),"")</f>
        <v/>
      </c>
    </row>
    <row r="1421" spans="1:15" x14ac:dyDescent="0.25">
      <c r="A1421" t="s">
        <v>4</v>
      </c>
      <c r="B1421" t="s">
        <v>1079</v>
      </c>
      <c r="C1421" t="s">
        <v>1894</v>
      </c>
      <c r="D1421" t="s">
        <v>21</v>
      </c>
      <c r="E1421" t="s">
        <v>1903</v>
      </c>
      <c r="F1421" t="s">
        <v>1857</v>
      </c>
      <c r="G1421">
        <v>0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f t="shared" si="22"/>
        <v>6</v>
      </c>
      <c r="O1421" t="str">
        <f>IF(AND($A1421=Dashboard!$B$3,$B1421=Dashboard!$G$3,$D1421&lt;&gt;"NO_SERVICE"),ROW(),"")</f>
        <v/>
      </c>
    </row>
    <row r="1422" spans="1:15" x14ac:dyDescent="0.25">
      <c r="A1422" t="s">
        <v>4</v>
      </c>
      <c r="B1422" t="s">
        <v>1079</v>
      </c>
      <c r="C1422" t="s">
        <v>1894</v>
      </c>
      <c r="D1422" t="s">
        <v>21</v>
      </c>
      <c r="E1422" t="s">
        <v>1905</v>
      </c>
      <c r="F1422" t="s">
        <v>451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f t="shared" si="22"/>
        <v>7</v>
      </c>
      <c r="O1422" t="str">
        <f>IF(AND($A1422=Dashboard!$B$3,$B1422=Dashboard!$G$3,$D1422&lt;&gt;"NO_SERVICE"),ROW(),"")</f>
        <v/>
      </c>
    </row>
    <row r="1423" spans="1:15" x14ac:dyDescent="0.25">
      <c r="A1423" t="s">
        <v>4</v>
      </c>
      <c r="B1423" t="s">
        <v>1079</v>
      </c>
      <c r="C1423" t="s">
        <v>1894</v>
      </c>
      <c r="D1423" t="s">
        <v>21</v>
      </c>
      <c r="E1423" t="s">
        <v>1906</v>
      </c>
      <c r="F1423" t="s">
        <v>464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f t="shared" si="22"/>
        <v>7</v>
      </c>
      <c r="O1423" t="str">
        <f>IF(AND($A1423=Dashboard!$B$3,$B1423=Dashboard!$G$3,$D1423&lt;&gt;"NO_SERVICE"),ROW(),"")</f>
        <v/>
      </c>
    </row>
    <row r="1424" spans="1:15" x14ac:dyDescent="0.25">
      <c r="A1424" t="s">
        <v>4</v>
      </c>
      <c r="B1424" t="s">
        <v>1079</v>
      </c>
      <c r="C1424" t="s">
        <v>1894</v>
      </c>
      <c r="D1424" t="s">
        <v>21</v>
      </c>
      <c r="E1424" t="s">
        <v>1907</v>
      </c>
      <c r="F1424" t="s">
        <v>170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f t="shared" si="22"/>
        <v>1</v>
      </c>
      <c r="O1424" t="str">
        <f>IF(AND($A1424=Dashboard!$B$3,$B1424=Dashboard!$G$3,$D1424&lt;&gt;"NO_SERVICE"),ROW(),"")</f>
        <v/>
      </c>
    </row>
    <row r="1425" spans="1:15" x14ac:dyDescent="0.25">
      <c r="A1425" t="s">
        <v>4</v>
      </c>
      <c r="B1425" t="s">
        <v>1079</v>
      </c>
      <c r="C1425" t="s">
        <v>1894</v>
      </c>
      <c r="D1425" t="s">
        <v>21</v>
      </c>
      <c r="E1425" t="s">
        <v>1907</v>
      </c>
      <c r="F1425" t="s">
        <v>1319</v>
      </c>
      <c r="G1425">
        <v>0</v>
      </c>
      <c r="H1425">
        <v>1</v>
      </c>
      <c r="I1425">
        <v>1</v>
      </c>
      <c r="J1425">
        <v>1</v>
      </c>
      <c r="K1425">
        <v>1</v>
      </c>
      <c r="L1425">
        <v>0</v>
      </c>
      <c r="M1425">
        <v>1</v>
      </c>
      <c r="N1425">
        <f t="shared" si="22"/>
        <v>5</v>
      </c>
      <c r="O1425" t="str">
        <f>IF(AND($A1425=Dashboard!$B$3,$B1425=Dashboard!$G$3,$D1425&lt;&gt;"NO_SERVICE"),ROW(),"")</f>
        <v/>
      </c>
    </row>
    <row r="1426" spans="1:15" x14ac:dyDescent="0.25">
      <c r="A1426" t="s">
        <v>4</v>
      </c>
      <c r="B1426" t="s">
        <v>1079</v>
      </c>
      <c r="C1426" t="s">
        <v>1894</v>
      </c>
      <c r="D1426" t="s">
        <v>21</v>
      </c>
      <c r="E1426" t="s">
        <v>1908</v>
      </c>
      <c r="F1426" t="s">
        <v>219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f t="shared" si="22"/>
        <v>7</v>
      </c>
      <c r="O1426" t="str">
        <f>IF(AND($A1426=Dashboard!$B$3,$B1426=Dashboard!$G$3,$D1426&lt;&gt;"NO_SERVICE"),ROW(),"")</f>
        <v/>
      </c>
    </row>
    <row r="1427" spans="1:15" x14ac:dyDescent="0.25">
      <c r="A1427" t="s">
        <v>4</v>
      </c>
      <c r="B1427" t="s">
        <v>1079</v>
      </c>
      <c r="C1427" t="s">
        <v>1894</v>
      </c>
      <c r="D1427" t="s">
        <v>21</v>
      </c>
      <c r="E1427" t="s">
        <v>1909</v>
      </c>
      <c r="F1427" t="s">
        <v>182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f t="shared" si="22"/>
        <v>1</v>
      </c>
      <c r="O1427" t="str">
        <f>IF(AND($A1427=Dashboard!$B$3,$B1427=Dashboard!$G$3,$D1427&lt;&gt;"NO_SERVICE"),ROW(),"")</f>
        <v/>
      </c>
    </row>
    <row r="1428" spans="1:15" x14ac:dyDescent="0.25">
      <c r="A1428" t="s">
        <v>4</v>
      </c>
      <c r="B1428" t="s">
        <v>1079</v>
      </c>
      <c r="C1428" t="s">
        <v>1894</v>
      </c>
      <c r="D1428" t="s">
        <v>21</v>
      </c>
      <c r="E1428" t="s">
        <v>1910</v>
      </c>
      <c r="F1428" t="s">
        <v>182</v>
      </c>
      <c r="G1428">
        <v>0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f t="shared" si="22"/>
        <v>6</v>
      </c>
      <c r="O1428" t="str">
        <f>IF(AND($A1428=Dashboard!$B$3,$B1428=Dashboard!$G$3,$D1428&lt;&gt;"NO_SERVICE"),ROW(),"")</f>
        <v/>
      </c>
    </row>
    <row r="1429" spans="1:15" x14ac:dyDescent="0.25">
      <c r="A1429" t="s">
        <v>4</v>
      </c>
      <c r="B1429" t="s">
        <v>1079</v>
      </c>
      <c r="C1429" t="s">
        <v>1894</v>
      </c>
      <c r="D1429" t="s">
        <v>21</v>
      </c>
      <c r="E1429" t="s">
        <v>1911</v>
      </c>
      <c r="F1429" t="s">
        <v>232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f t="shared" si="22"/>
        <v>7</v>
      </c>
      <c r="O1429" t="str">
        <f>IF(AND($A1429=Dashboard!$B$3,$B1429=Dashboard!$G$3,$D1429&lt;&gt;"NO_SERVICE"),ROW(),"")</f>
        <v/>
      </c>
    </row>
    <row r="1430" spans="1:15" x14ac:dyDescent="0.25">
      <c r="A1430" t="s">
        <v>4</v>
      </c>
      <c r="B1430" t="s">
        <v>1079</v>
      </c>
      <c r="C1430" t="s">
        <v>1894</v>
      </c>
      <c r="D1430" t="s">
        <v>21</v>
      </c>
      <c r="E1430" t="s">
        <v>1912</v>
      </c>
      <c r="F1430" t="s">
        <v>193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f t="shared" si="22"/>
        <v>7</v>
      </c>
      <c r="O1430" t="str">
        <f>IF(AND($A1430=Dashboard!$B$3,$B1430=Dashboard!$G$3,$D1430&lt;&gt;"NO_SERVICE"),ROW(),"")</f>
        <v/>
      </c>
    </row>
    <row r="1431" spans="1:15" x14ac:dyDescent="0.25">
      <c r="A1431" t="s">
        <v>4</v>
      </c>
      <c r="B1431" t="s">
        <v>1079</v>
      </c>
      <c r="C1431" t="s">
        <v>1894</v>
      </c>
      <c r="D1431" t="s">
        <v>21</v>
      </c>
      <c r="E1431" t="s">
        <v>1913</v>
      </c>
      <c r="F1431" t="s">
        <v>1914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f t="shared" si="22"/>
        <v>7</v>
      </c>
      <c r="O1431" t="str">
        <f>IF(AND($A1431=Dashboard!$B$3,$B1431=Dashboard!$G$3,$D1431&lt;&gt;"NO_SERVICE"),ROW(),"")</f>
        <v/>
      </c>
    </row>
    <row r="1432" spans="1:15" x14ac:dyDescent="0.25">
      <c r="A1432" t="s">
        <v>4</v>
      </c>
      <c r="B1432" t="s">
        <v>1079</v>
      </c>
      <c r="C1432" t="s">
        <v>1894</v>
      </c>
      <c r="D1432" t="s">
        <v>29</v>
      </c>
      <c r="E1432" t="s">
        <v>1915</v>
      </c>
      <c r="F1432" t="s">
        <v>225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f t="shared" si="22"/>
        <v>7</v>
      </c>
      <c r="O1432" t="str">
        <f>IF(AND($A1432=Dashboard!$B$3,$B1432=Dashboard!$G$3,$D1432&lt;&gt;"NO_SERVICE"),ROW(),"")</f>
        <v/>
      </c>
    </row>
    <row r="1433" spans="1:15" x14ac:dyDescent="0.25">
      <c r="A1433" t="s">
        <v>4</v>
      </c>
      <c r="B1433" t="s">
        <v>1079</v>
      </c>
      <c r="C1433" t="s">
        <v>1894</v>
      </c>
      <c r="D1433" t="s">
        <v>29</v>
      </c>
      <c r="E1433" t="s">
        <v>1916</v>
      </c>
      <c r="F1433" t="s">
        <v>121</v>
      </c>
      <c r="G1433">
        <v>0</v>
      </c>
      <c r="H1433">
        <v>1</v>
      </c>
      <c r="I1433">
        <v>0</v>
      </c>
      <c r="J1433">
        <v>1</v>
      </c>
      <c r="K1433">
        <v>0</v>
      </c>
      <c r="L1433">
        <v>1</v>
      </c>
      <c r="M1433">
        <v>0</v>
      </c>
      <c r="N1433">
        <f t="shared" si="22"/>
        <v>3</v>
      </c>
      <c r="O1433" t="str">
        <f>IF(AND($A1433=Dashboard!$B$3,$B1433=Dashboard!$G$3,$D1433&lt;&gt;"NO_SERVICE"),ROW(),"")</f>
        <v/>
      </c>
    </row>
    <row r="1434" spans="1:15" x14ac:dyDescent="0.25">
      <c r="A1434" t="s">
        <v>4</v>
      </c>
      <c r="B1434" t="s">
        <v>1079</v>
      </c>
      <c r="C1434" t="s">
        <v>1894</v>
      </c>
      <c r="D1434" t="s">
        <v>26</v>
      </c>
      <c r="E1434" t="s">
        <v>1917</v>
      </c>
      <c r="F1434" t="s">
        <v>443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0</v>
      </c>
      <c r="M1434">
        <v>1</v>
      </c>
      <c r="N1434">
        <f t="shared" si="22"/>
        <v>6</v>
      </c>
      <c r="O1434" t="str">
        <f>IF(AND($A1434=Dashboard!$B$3,$B1434=Dashboard!$G$3,$D1434&lt;&gt;"NO_SERVICE"),ROW(),"")</f>
        <v/>
      </c>
    </row>
    <row r="1435" spans="1:15" x14ac:dyDescent="0.25">
      <c r="A1435" t="s">
        <v>4</v>
      </c>
      <c r="B1435" t="s">
        <v>1079</v>
      </c>
      <c r="C1435" t="s">
        <v>1894</v>
      </c>
      <c r="D1435" t="s">
        <v>26</v>
      </c>
      <c r="E1435" t="s">
        <v>1918</v>
      </c>
      <c r="F1435" t="s">
        <v>165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f t="shared" si="22"/>
        <v>7</v>
      </c>
      <c r="O1435" t="str">
        <f>IF(AND($A1435=Dashboard!$B$3,$B1435=Dashboard!$G$3,$D1435&lt;&gt;"NO_SERVICE"),ROW(),"")</f>
        <v/>
      </c>
    </row>
    <row r="1436" spans="1:15" x14ac:dyDescent="0.25">
      <c r="A1436" t="s">
        <v>4</v>
      </c>
      <c r="B1436" t="s">
        <v>1079</v>
      </c>
      <c r="C1436" t="s">
        <v>1894</v>
      </c>
      <c r="D1436" t="s">
        <v>26</v>
      </c>
      <c r="E1436" t="s">
        <v>1919</v>
      </c>
      <c r="F1436" t="s">
        <v>685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f t="shared" si="22"/>
        <v>7</v>
      </c>
      <c r="O1436" t="str">
        <f>IF(AND($A1436=Dashboard!$B$3,$B1436=Dashboard!$G$3,$D1436&lt;&gt;"NO_SERVICE"),ROW(),"")</f>
        <v/>
      </c>
    </row>
    <row r="1437" spans="1:15" x14ac:dyDescent="0.25">
      <c r="A1437" t="s">
        <v>4</v>
      </c>
      <c r="B1437" t="s">
        <v>1079</v>
      </c>
      <c r="C1437" t="s">
        <v>1894</v>
      </c>
      <c r="D1437" t="s">
        <v>21</v>
      </c>
      <c r="E1437" t="s">
        <v>1920</v>
      </c>
      <c r="F1437" t="s">
        <v>1921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f t="shared" si="22"/>
        <v>1</v>
      </c>
      <c r="O1437" t="str">
        <f>IF(AND($A1437=Dashboard!$B$3,$B1437=Dashboard!$G$3,$D1437&lt;&gt;"NO_SERVICE"),ROW(),"")</f>
        <v/>
      </c>
    </row>
    <row r="1438" spans="1:15" x14ac:dyDescent="0.25">
      <c r="A1438" t="s">
        <v>4</v>
      </c>
      <c r="B1438" t="s">
        <v>1079</v>
      </c>
      <c r="C1438" t="s">
        <v>1894</v>
      </c>
      <c r="D1438" t="s">
        <v>21</v>
      </c>
      <c r="E1438" t="s">
        <v>1920</v>
      </c>
      <c r="F1438" t="s">
        <v>269</v>
      </c>
      <c r="G1438">
        <v>0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f t="shared" si="22"/>
        <v>6</v>
      </c>
      <c r="O1438" t="str">
        <f>IF(AND($A1438=Dashboard!$B$3,$B1438=Dashboard!$G$3,$D1438&lt;&gt;"NO_SERVICE"),ROW(),"")</f>
        <v/>
      </c>
    </row>
    <row r="1439" spans="1:15" x14ac:dyDescent="0.25">
      <c r="A1439" t="s">
        <v>4</v>
      </c>
      <c r="B1439" t="s">
        <v>1079</v>
      </c>
      <c r="C1439" t="s">
        <v>1894</v>
      </c>
      <c r="D1439" t="s">
        <v>21</v>
      </c>
      <c r="E1439" t="s">
        <v>1922</v>
      </c>
      <c r="F1439" t="s">
        <v>1923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f t="shared" si="22"/>
        <v>7</v>
      </c>
      <c r="O1439" t="str">
        <f>IF(AND($A1439=Dashboard!$B$3,$B1439=Dashboard!$G$3,$D1439&lt;&gt;"NO_SERVICE"),ROW(),"")</f>
        <v/>
      </c>
    </row>
    <row r="1440" spans="1:15" x14ac:dyDescent="0.25">
      <c r="A1440" t="s">
        <v>904</v>
      </c>
      <c r="B1440" t="s">
        <v>2</v>
      </c>
      <c r="C1440" t="s">
        <v>1924</v>
      </c>
      <c r="D1440" t="s">
        <v>24</v>
      </c>
      <c r="E1440" t="s">
        <v>1925</v>
      </c>
      <c r="F1440" t="s">
        <v>573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f t="shared" si="22"/>
        <v>7</v>
      </c>
      <c r="O1440" t="str">
        <f>IF(AND($A1440=Dashboard!$B$3,$B1440=Dashboard!$G$3,$D1440&lt;&gt;"NO_SERVICE"),ROW(),"")</f>
        <v/>
      </c>
    </row>
    <row r="1441" spans="1:15" x14ac:dyDescent="0.25">
      <c r="A1441" t="s">
        <v>904</v>
      </c>
      <c r="B1441" t="s">
        <v>2</v>
      </c>
      <c r="C1441" t="s">
        <v>1924</v>
      </c>
      <c r="D1441" t="s">
        <v>24</v>
      </c>
      <c r="E1441" t="s">
        <v>918</v>
      </c>
      <c r="F1441" t="s">
        <v>376</v>
      </c>
      <c r="G1441">
        <v>1</v>
      </c>
      <c r="H1441">
        <v>1</v>
      </c>
      <c r="I1441">
        <v>0</v>
      </c>
      <c r="J1441">
        <v>1</v>
      </c>
      <c r="K1441">
        <v>1</v>
      </c>
      <c r="L1441">
        <v>1</v>
      </c>
      <c r="M1441">
        <v>1</v>
      </c>
      <c r="N1441">
        <f t="shared" si="22"/>
        <v>6</v>
      </c>
      <c r="O1441" t="str">
        <f>IF(AND($A1441=Dashboard!$B$3,$B1441=Dashboard!$G$3,$D1441&lt;&gt;"NO_SERVICE"),ROW(),"")</f>
        <v/>
      </c>
    </row>
    <row r="1442" spans="1:15" x14ac:dyDescent="0.25">
      <c r="A1442" t="s">
        <v>904</v>
      </c>
      <c r="B1442" t="s">
        <v>2</v>
      </c>
      <c r="C1442" t="s">
        <v>1924</v>
      </c>
      <c r="D1442" t="s">
        <v>24</v>
      </c>
      <c r="E1442" t="s">
        <v>1926</v>
      </c>
      <c r="F1442" t="s">
        <v>435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f t="shared" si="22"/>
        <v>7</v>
      </c>
      <c r="O1442" t="str">
        <f>IF(AND($A1442=Dashboard!$B$3,$B1442=Dashboard!$G$3,$D1442&lt;&gt;"NO_SERVICE"),ROW(),"")</f>
        <v/>
      </c>
    </row>
    <row r="1443" spans="1:15" x14ac:dyDescent="0.25">
      <c r="A1443" t="s">
        <v>904</v>
      </c>
      <c r="B1443" t="s">
        <v>2</v>
      </c>
      <c r="C1443" t="s">
        <v>1924</v>
      </c>
      <c r="D1443" t="s">
        <v>24</v>
      </c>
      <c r="E1443" t="s">
        <v>1927</v>
      </c>
      <c r="F1443" t="s">
        <v>1082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f t="shared" si="22"/>
        <v>7</v>
      </c>
      <c r="O1443" t="str">
        <f>IF(AND($A1443=Dashboard!$B$3,$B1443=Dashboard!$G$3,$D1443&lt;&gt;"NO_SERVICE"),ROW(),"")</f>
        <v/>
      </c>
    </row>
    <row r="1444" spans="1:15" x14ac:dyDescent="0.25">
      <c r="A1444" t="s">
        <v>904</v>
      </c>
      <c r="B1444" t="s">
        <v>353</v>
      </c>
      <c r="C1444" t="s">
        <v>1928</v>
      </c>
      <c r="D1444" t="s">
        <v>24</v>
      </c>
      <c r="E1444" t="s">
        <v>1929</v>
      </c>
      <c r="F1444" t="s">
        <v>1129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f t="shared" si="22"/>
        <v>7</v>
      </c>
      <c r="O1444" t="str">
        <f>IF(AND($A1444=Dashboard!$B$3,$B1444=Dashboard!$G$3,$D1444&lt;&gt;"NO_SERVICE"),ROW(),"")</f>
        <v/>
      </c>
    </row>
    <row r="1445" spans="1:15" x14ac:dyDescent="0.25">
      <c r="A1445" t="s">
        <v>904</v>
      </c>
      <c r="B1445" t="s">
        <v>353</v>
      </c>
      <c r="C1445" t="s">
        <v>1928</v>
      </c>
      <c r="D1445" t="s">
        <v>24</v>
      </c>
      <c r="E1445" t="s">
        <v>1930</v>
      </c>
      <c r="F1445" t="s">
        <v>395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f t="shared" si="22"/>
        <v>7</v>
      </c>
      <c r="O1445" t="str">
        <f>IF(AND($A1445=Dashboard!$B$3,$B1445=Dashboard!$G$3,$D1445&lt;&gt;"NO_SERVICE"),ROW(),"")</f>
        <v/>
      </c>
    </row>
    <row r="1446" spans="1:15" x14ac:dyDescent="0.25">
      <c r="A1446" t="s">
        <v>904</v>
      </c>
      <c r="B1446" t="s">
        <v>353</v>
      </c>
      <c r="C1446" t="s">
        <v>1928</v>
      </c>
      <c r="D1446" t="s">
        <v>24</v>
      </c>
      <c r="E1446" t="s">
        <v>1931</v>
      </c>
      <c r="F1446" t="s">
        <v>515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f t="shared" si="22"/>
        <v>7</v>
      </c>
      <c r="O1446" t="str">
        <f>IF(AND($A1446=Dashboard!$B$3,$B1446=Dashboard!$G$3,$D1446&lt;&gt;"NO_SERVICE"),ROW(),"")</f>
        <v/>
      </c>
    </row>
    <row r="1447" spans="1:15" x14ac:dyDescent="0.25">
      <c r="A1447" t="s">
        <v>904</v>
      </c>
      <c r="B1447" t="s">
        <v>353</v>
      </c>
      <c r="C1447" t="s">
        <v>1928</v>
      </c>
      <c r="D1447" t="s">
        <v>24</v>
      </c>
      <c r="E1447" t="s">
        <v>1932</v>
      </c>
      <c r="F1447" t="s">
        <v>772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f t="shared" si="22"/>
        <v>7</v>
      </c>
      <c r="O1447" t="str">
        <f>IF(AND($A1447=Dashboard!$B$3,$B1447=Dashboard!$G$3,$D1447&lt;&gt;"NO_SERVICE"),ROW(),"")</f>
        <v/>
      </c>
    </row>
    <row r="1448" spans="1:15" x14ac:dyDescent="0.25">
      <c r="A1448" t="s">
        <v>904</v>
      </c>
      <c r="B1448" t="s">
        <v>353</v>
      </c>
      <c r="C1448" t="s">
        <v>1928</v>
      </c>
      <c r="D1448" t="s">
        <v>24</v>
      </c>
      <c r="E1448" t="s">
        <v>1933</v>
      </c>
      <c r="F1448" t="s">
        <v>1030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f t="shared" si="22"/>
        <v>7</v>
      </c>
      <c r="O1448" t="str">
        <f>IF(AND($A1448=Dashboard!$B$3,$B1448=Dashboard!$G$3,$D1448&lt;&gt;"NO_SERVICE"),ROW(),"")</f>
        <v/>
      </c>
    </row>
    <row r="1449" spans="1:15" x14ac:dyDescent="0.25">
      <c r="A1449" t="s">
        <v>904</v>
      </c>
      <c r="B1449" t="s">
        <v>353</v>
      </c>
      <c r="C1449" t="s">
        <v>1928</v>
      </c>
      <c r="D1449" t="s">
        <v>24</v>
      </c>
      <c r="E1449" t="s">
        <v>1934</v>
      </c>
      <c r="F1449" t="s">
        <v>289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f t="shared" si="22"/>
        <v>7</v>
      </c>
      <c r="O1449" t="str">
        <f>IF(AND($A1449=Dashboard!$B$3,$B1449=Dashboard!$G$3,$D1449&lt;&gt;"NO_SERVICE"),ROW(),"")</f>
        <v/>
      </c>
    </row>
    <row r="1450" spans="1:15" x14ac:dyDescent="0.25">
      <c r="A1450" t="s">
        <v>904</v>
      </c>
      <c r="B1450" t="s">
        <v>353</v>
      </c>
      <c r="C1450" t="s">
        <v>1928</v>
      </c>
      <c r="D1450" t="s">
        <v>24</v>
      </c>
      <c r="E1450" t="s">
        <v>1935</v>
      </c>
      <c r="F1450" t="s">
        <v>96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f t="shared" si="22"/>
        <v>7</v>
      </c>
      <c r="O1450" t="str">
        <f>IF(AND($A1450=Dashboard!$B$3,$B1450=Dashboard!$G$3,$D1450&lt;&gt;"NO_SERVICE"),ROW(),"")</f>
        <v/>
      </c>
    </row>
    <row r="1451" spans="1:15" x14ac:dyDescent="0.25">
      <c r="A1451" t="s">
        <v>904</v>
      </c>
      <c r="B1451" t="s">
        <v>353</v>
      </c>
      <c r="C1451" t="s">
        <v>1928</v>
      </c>
      <c r="D1451" t="s">
        <v>24</v>
      </c>
      <c r="E1451" t="s">
        <v>1936</v>
      </c>
      <c r="F1451" t="s">
        <v>188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f t="shared" si="22"/>
        <v>7</v>
      </c>
      <c r="O1451" t="str">
        <f>IF(AND($A1451=Dashboard!$B$3,$B1451=Dashboard!$G$3,$D1451&lt;&gt;"NO_SERVICE"),ROW(),"")</f>
        <v/>
      </c>
    </row>
    <row r="1452" spans="1:15" x14ac:dyDescent="0.25">
      <c r="A1452" t="s">
        <v>904</v>
      </c>
      <c r="B1452" t="s">
        <v>353</v>
      </c>
      <c r="C1452" t="s">
        <v>1928</v>
      </c>
      <c r="D1452" t="s">
        <v>24</v>
      </c>
      <c r="E1452" t="s">
        <v>1937</v>
      </c>
      <c r="F1452" t="s">
        <v>317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f t="shared" si="22"/>
        <v>7</v>
      </c>
      <c r="O1452" t="str">
        <f>IF(AND($A1452=Dashboard!$B$3,$B1452=Dashboard!$G$3,$D1452&lt;&gt;"NO_SERVICE"),ROW(),"")</f>
        <v/>
      </c>
    </row>
    <row r="1453" spans="1:15" x14ac:dyDescent="0.25">
      <c r="A1453" t="s">
        <v>904</v>
      </c>
      <c r="B1453" t="s">
        <v>353</v>
      </c>
      <c r="C1453" t="s">
        <v>1928</v>
      </c>
      <c r="D1453" t="s">
        <v>24</v>
      </c>
      <c r="E1453" t="s">
        <v>1938</v>
      </c>
      <c r="F1453" t="s">
        <v>1939</v>
      </c>
      <c r="G1453">
        <v>0</v>
      </c>
      <c r="H1453">
        <v>0</v>
      </c>
      <c r="I1453">
        <v>0</v>
      </c>
      <c r="J1453">
        <v>1</v>
      </c>
      <c r="K1453">
        <v>0</v>
      </c>
      <c r="L1453">
        <v>0</v>
      </c>
      <c r="M1453">
        <v>0</v>
      </c>
      <c r="N1453">
        <f t="shared" si="22"/>
        <v>1</v>
      </c>
      <c r="O1453" t="str">
        <f>IF(AND($A1453=Dashboard!$B$3,$B1453=Dashboard!$G$3,$D1453&lt;&gt;"NO_SERVICE"),ROW(),"")</f>
        <v/>
      </c>
    </row>
    <row r="1454" spans="1:15" x14ac:dyDescent="0.25">
      <c r="A1454" t="s">
        <v>904</v>
      </c>
      <c r="B1454" t="s">
        <v>353</v>
      </c>
      <c r="C1454" t="s">
        <v>1928</v>
      </c>
      <c r="D1454" t="s">
        <v>24</v>
      </c>
      <c r="E1454" t="s">
        <v>1940</v>
      </c>
      <c r="F1454" t="s">
        <v>1108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f t="shared" si="22"/>
        <v>7</v>
      </c>
      <c r="O1454" t="str">
        <f>IF(AND($A1454=Dashboard!$B$3,$B1454=Dashboard!$G$3,$D1454&lt;&gt;"NO_SERVICE"),ROW(),"")</f>
        <v/>
      </c>
    </row>
    <row r="1455" spans="1:15" x14ac:dyDescent="0.25">
      <c r="A1455" t="s">
        <v>904</v>
      </c>
      <c r="B1455" t="s">
        <v>353</v>
      </c>
      <c r="C1455" t="s">
        <v>1928</v>
      </c>
      <c r="D1455" t="s">
        <v>21</v>
      </c>
      <c r="E1455" t="s">
        <v>1941</v>
      </c>
      <c r="F1455" t="s">
        <v>143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f t="shared" si="22"/>
        <v>7</v>
      </c>
      <c r="O1455" t="str">
        <f>IF(AND($A1455=Dashboard!$B$3,$B1455=Dashboard!$G$3,$D1455&lt;&gt;"NO_SERVICE"),ROW(),"")</f>
        <v/>
      </c>
    </row>
    <row r="1456" spans="1:15" x14ac:dyDescent="0.25">
      <c r="A1456" t="s">
        <v>904</v>
      </c>
      <c r="B1456" t="s">
        <v>353</v>
      </c>
      <c r="C1456" t="s">
        <v>1928</v>
      </c>
      <c r="D1456" t="s">
        <v>21</v>
      </c>
      <c r="E1456" t="s">
        <v>1942</v>
      </c>
      <c r="F1456" t="s">
        <v>422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f t="shared" si="22"/>
        <v>7</v>
      </c>
      <c r="O1456" t="str">
        <f>IF(AND($A1456=Dashboard!$B$3,$B1456=Dashboard!$G$3,$D1456&lt;&gt;"NO_SERVICE"),ROW(),"")</f>
        <v/>
      </c>
    </row>
    <row r="1457" spans="1:15" x14ac:dyDescent="0.25">
      <c r="A1457" t="s">
        <v>904</v>
      </c>
      <c r="B1457" t="s">
        <v>353</v>
      </c>
      <c r="C1457" t="s">
        <v>1928</v>
      </c>
      <c r="D1457" t="s">
        <v>21</v>
      </c>
      <c r="E1457" t="s">
        <v>1943</v>
      </c>
      <c r="F1457" t="s">
        <v>76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f t="shared" si="22"/>
        <v>7</v>
      </c>
      <c r="O1457" t="str">
        <f>IF(AND($A1457=Dashboard!$B$3,$B1457=Dashboard!$G$3,$D1457&lt;&gt;"NO_SERVICE"),ROW(),"")</f>
        <v/>
      </c>
    </row>
    <row r="1458" spans="1:15" x14ac:dyDescent="0.25">
      <c r="A1458" t="s">
        <v>904</v>
      </c>
      <c r="B1458" t="s">
        <v>353</v>
      </c>
      <c r="C1458" t="s">
        <v>1928</v>
      </c>
      <c r="D1458" t="s">
        <v>21</v>
      </c>
      <c r="E1458" t="s">
        <v>1944</v>
      </c>
      <c r="F1458" t="s">
        <v>981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f t="shared" si="22"/>
        <v>7</v>
      </c>
      <c r="O1458" t="str">
        <f>IF(AND($A1458=Dashboard!$B$3,$B1458=Dashboard!$G$3,$D1458&lt;&gt;"NO_SERVICE"),ROW(),"")</f>
        <v/>
      </c>
    </row>
    <row r="1459" spans="1:15" x14ac:dyDescent="0.25">
      <c r="A1459" t="s">
        <v>904</v>
      </c>
      <c r="B1459" t="s">
        <v>353</v>
      </c>
      <c r="C1459" t="s">
        <v>1928</v>
      </c>
      <c r="D1459" t="s">
        <v>21</v>
      </c>
      <c r="E1459" t="s">
        <v>1945</v>
      </c>
      <c r="F1459" t="s">
        <v>1265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f t="shared" si="22"/>
        <v>7</v>
      </c>
      <c r="O1459" t="str">
        <f>IF(AND($A1459=Dashboard!$B$3,$B1459=Dashboard!$G$3,$D1459&lt;&gt;"NO_SERVICE"),ROW(),"")</f>
        <v/>
      </c>
    </row>
    <row r="1460" spans="1:15" x14ac:dyDescent="0.25">
      <c r="A1460" t="s">
        <v>904</v>
      </c>
      <c r="B1460" t="s">
        <v>353</v>
      </c>
      <c r="C1460" t="s">
        <v>1928</v>
      </c>
      <c r="D1460" t="s">
        <v>21</v>
      </c>
      <c r="E1460" t="s">
        <v>1946</v>
      </c>
      <c r="F1460" t="s">
        <v>1947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f t="shared" si="22"/>
        <v>7</v>
      </c>
      <c r="O1460" t="str">
        <f>IF(AND($A1460=Dashboard!$B$3,$B1460=Dashboard!$G$3,$D1460&lt;&gt;"NO_SERVICE"),ROW(),"")</f>
        <v/>
      </c>
    </row>
    <row r="1461" spans="1:15" x14ac:dyDescent="0.25">
      <c r="A1461" t="s">
        <v>904</v>
      </c>
      <c r="B1461" t="s">
        <v>154</v>
      </c>
      <c r="C1461" t="s">
        <v>1948</v>
      </c>
      <c r="D1461" t="s">
        <v>24</v>
      </c>
      <c r="E1461" t="s">
        <v>1949</v>
      </c>
      <c r="F1461" t="s">
        <v>515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f t="shared" si="22"/>
        <v>7</v>
      </c>
      <c r="O1461" t="str">
        <f>IF(AND($A1461=Dashboard!$B$3,$B1461=Dashboard!$G$3,$D1461&lt;&gt;"NO_SERVICE"),ROW(),"")</f>
        <v/>
      </c>
    </row>
    <row r="1462" spans="1:15" x14ac:dyDescent="0.25">
      <c r="A1462" t="s">
        <v>904</v>
      </c>
      <c r="B1462" t="s">
        <v>154</v>
      </c>
      <c r="C1462" t="s">
        <v>1948</v>
      </c>
      <c r="D1462" t="s">
        <v>24</v>
      </c>
      <c r="E1462" t="s">
        <v>1950</v>
      </c>
      <c r="F1462" t="s">
        <v>285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f t="shared" si="22"/>
        <v>7</v>
      </c>
      <c r="O1462" t="str">
        <f>IF(AND($A1462=Dashboard!$B$3,$B1462=Dashboard!$G$3,$D1462&lt;&gt;"NO_SERVICE"),ROW(),"")</f>
        <v/>
      </c>
    </row>
    <row r="1463" spans="1:15" x14ac:dyDescent="0.25">
      <c r="A1463" t="s">
        <v>904</v>
      </c>
      <c r="B1463" t="s">
        <v>154</v>
      </c>
      <c r="C1463" t="s">
        <v>1948</v>
      </c>
      <c r="D1463" t="s">
        <v>24</v>
      </c>
      <c r="E1463" t="s">
        <v>1951</v>
      </c>
      <c r="F1463" t="s">
        <v>217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f t="shared" si="22"/>
        <v>7</v>
      </c>
      <c r="O1463" t="str">
        <f>IF(AND($A1463=Dashboard!$B$3,$B1463=Dashboard!$G$3,$D1463&lt;&gt;"NO_SERVICE"),ROW(),"")</f>
        <v/>
      </c>
    </row>
    <row r="1464" spans="1:15" x14ac:dyDescent="0.25">
      <c r="A1464" t="s">
        <v>904</v>
      </c>
      <c r="B1464" t="s">
        <v>154</v>
      </c>
      <c r="C1464" t="s">
        <v>1948</v>
      </c>
      <c r="D1464" t="s">
        <v>24</v>
      </c>
      <c r="E1464" t="s">
        <v>1952</v>
      </c>
      <c r="F1464" t="s">
        <v>1560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0</v>
      </c>
      <c r="N1464">
        <f t="shared" si="22"/>
        <v>1</v>
      </c>
      <c r="O1464" t="str">
        <f>IF(AND($A1464=Dashboard!$B$3,$B1464=Dashboard!$G$3,$D1464&lt;&gt;"NO_SERVICE"),ROW(),"")</f>
        <v/>
      </c>
    </row>
    <row r="1465" spans="1:15" x14ac:dyDescent="0.25">
      <c r="A1465" t="s">
        <v>904</v>
      </c>
      <c r="B1465" t="s">
        <v>154</v>
      </c>
      <c r="C1465" t="s">
        <v>1948</v>
      </c>
      <c r="D1465" t="s">
        <v>24</v>
      </c>
      <c r="E1465" t="s">
        <v>1953</v>
      </c>
      <c r="F1465" t="s">
        <v>678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f t="shared" si="22"/>
        <v>7</v>
      </c>
      <c r="O1465" t="str">
        <f>IF(AND($A1465=Dashboard!$B$3,$B1465=Dashboard!$G$3,$D1465&lt;&gt;"NO_SERVICE"),ROW(),"")</f>
        <v/>
      </c>
    </row>
    <row r="1466" spans="1:15" x14ac:dyDescent="0.25">
      <c r="A1466" t="s">
        <v>904</v>
      </c>
      <c r="B1466" t="s">
        <v>154</v>
      </c>
      <c r="C1466" t="s">
        <v>1948</v>
      </c>
      <c r="D1466" t="s">
        <v>24</v>
      </c>
      <c r="E1466" t="s">
        <v>1954</v>
      </c>
      <c r="F1466" t="s">
        <v>413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f t="shared" si="22"/>
        <v>7</v>
      </c>
      <c r="O1466" t="str">
        <f>IF(AND($A1466=Dashboard!$B$3,$B1466=Dashboard!$G$3,$D1466&lt;&gt;"NO_SERVICE"),ROW(),"")</f>
        <v/>
      </c>
    </row>
    <row r="1467" spans="1:15" x14ac:dyDescent="0.25">
      <c r="A1467" t="s">
        <v>904</v>
      </c>
      <c r="B1467" t="s">
        <v>154</v>
      </c>
      <c r="C1467" t="s">
        <v>1948</v>
      </c>
      <c r="D1467" t="s">
        <v>24</v>
      </c>
      <c r="E1467" t="s">
        <v>1955</v>
      </c>
      <c r="F1467" t="s">
        <v>256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f t="shared" si="22"/>
        <v>7</v>
      </c>
      <c r="O1467" t="str">
        <f>IF(AND($A1467=Dashboard!$B$3,$B1467=Dashboard!$G$3,$D1467&lt;&gt;"NO_SERVICE"),ROW(),"")</f>
        <v/>
      </c>
    </row>
    <row r="1468" spans="1:15" x14ac:dyDescent="0.25">
      <c r="A1468" t="s">
        <v>904</v>
      </c>
      <c r="B1468" t="s">
        <v>154</v>
      </c>
      <c r="C1468" t="s">
        <v>1948</v>
      </c>
      <c r="D1468" t="s">
        <v>24</v>
      </c>
      <c r="E1468" t="s">
        <v>1956</v>
      </c>
      <c r="F1468" t="s">
        <v>478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f t="shared" si="22"/>
        <v>7</v>
      </c>
      <c r="O1468" t="str">
        <f>IF(AND($A1468=Dashboard!$B$3,$B1468=Dashboard!$G$3,$D1468&lt;&gt;"NO_SERVICE"),ROW(),"")</f>
        <v/>
      </c>
    </row>
    <row r="1469" spans="1:15" x14ac:dyDescent="0.25">
      <c r="A1469" t="s">
        <v>904</v>
      </c>
      <c r="B1469" t="s">
        <v>154</v>
      </c>
      <c r="C1469" t="s">
        <v>1948</v>
      </c>
      <c r="D1469" t="s">
        <v>24</v>
      </c>
      <c r="E1469" t="s">
        <v>1957</v>
      </c>
      <c r="F1469" t="s">
        <v>674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f t="shared" si="22"/>
        <v>7</v>
      </c>
      <c r="O1469" t="str">
        <f>IF(AND($A1469=Dashboard!$B$3,$B1469=Dashboard!$G$3,$D1469&lt;&gt;"NO_SERVICE"),ROW(),"")</f>
        <v/>
      </c>
    </row>
    <row r="1470" spans="1:15" x14ac:dyDescent="0.25">
      <c r="A1470" t="s">
        <v>904</v>
      </c>
      <c r="B1470" t="s">
        <v>154</v>
      </c>
      <c r="C1470" t="s">
        <v>1948</v>
      </c>
      <c r="D1470" t="s">
        <v>24</v>
      </c>
      <c r="E1470" t="s">
        <v>1958</v>
      </c>
      <c r="F1470" t="s">
        <v>744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f t="shared" si="22"/>
        <v>7</v>
      </c>
      <c r="O1470" t="str">
        <f>IF(AND($A1470=Dashboard!$B$3,$B1470=Dashboard!$G$3,$D1470&lt;&gt;"NO_SERVICE"),ROW(),"")</f>
        <v/>
      </c>
    </row>
    <row r="1471" spans="1:15" x14ac:dyDescent="0.25">
      <c r="A1471" t="s">
        <v>904</v>
      </c>
      <c r="B1471" t="s">
        <v>154</v>
      </c>
      <c r="C1471" t="s">
        <v>1948</v>
      </c>
      <c r="D1471" t="s">
        <v>21</v>
      </c>
      <c r="E1471" t="s">
        <v>1959</v>
      </c>
      <c r="F1471" t="s">
        <v>366</v>
      </c>
      <c r="G1471">
        <v>1</v>
      </c>
      <c r="H1471">
        <v>1</v>
      </c>
      <c r="I1471">
        <v>0</v>
      </c>
      <c r="J1471">
        <v>1</v>
      </c>
      <c r="K1471">
        <v>1</v>
      </c>
      <c r="L1471">
        <v>1</v>
      </c>
      <c r="M1471">
        <v>0</v>
      </c>
      <c r="N1471">
        <f t="shared" si="22"/>
        <v>5</v>
      </c>
      <c r="O1471" t="str">
        <f>IF(AND($A1471=Dashboard!$B$3,$B1471=Dashboard!$G$3,$D1471&lt;&gt;"NO_SERVICE"),ROW(),"")</f>
        <v/>
      </c>
    </row>
    <row r="1472" spans="1:15" x14ac:dyDescent="0.25">
      <c r="A1472" t="s">
        <v>904</v>
      </c>
      <c r="B1472" t="s">
        <v>154</v>
      </c>
      <c r="C1472" t="s">
        <v>1948</v>
      </c>
      <c r="D1472" t="s">
        <v>21</v>
      </c>
      <c r="E1472" t="s">
        <v>1959</v>
      </c>
      <c r="F1472" t="s">
        <v>430</v>
      </c>
      <c r="G1472">
        <v>0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1</v>
      </c>
      <c r="N1472">
        <f t="shared" si="22"/>
        <v>2</v>
      </c>
      <c r="O1472" t="str">
        <f>IF(AND($A1472=Dashboard!$B$3,$B1472=Dashboard!$G$3,$D1472&lt;&gt;"NO_SERVICE"),ROW(),"")</f>
        <v/>
      </c>
    </row>
    <row r="1473" spans="1:15" x14ac:dyDescent="0.25">
      <c r="A1473" t="s">
        <v>904</v>
      </c>
      <c r="B1473" t="s">
        <v>154</v>
      </c>
      <c r="C1473" t="s">
        <v>1948</v>
      </c>
      <c r="D1473" t="s">
        <v>21</v>
      </c>
      <c r="E1473" t="s">
        <v>1960</v>
      </c>
      <c r="F1473" t="s">
        <v>285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f t="shared" si="22"/>
        <v>7</v>
      </c>
      <c r="O1473" t="str">
        <f>IF(AND($A1473=Dashboard!$B$3,$B1473=Dashboard!$G$3,$D1473&lt;&gt;"NO_SERVICE"),ROW(),"")</f>
        <v/>
      </c>
    </row>
    <row r="1474" spans="1:15" x14ac:dyDescent="0.25">
      <c r="A1474" t="s">
        <v>904</v>
      </c>
      <c r="B1474" t="s">
        <v>154</v>
      </c>
      <c r="C1474" t="s">
        <v>1948</v>
      </c>
      <c r="D1474" t="s">
        <v>21</v>
      </c>
      <c r="E1474" t="s">
        <v>1961</v>
      </c>
      <c r="F1474" t="s">
        <v>78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f t="shared" ref="N1474:N1537" si="23">SUM(G1474:M1474)</f>
        <v>7</v>
      </c>
      <c r="O1474" t="str">
        <f>IF(AND($A1474=Dashboard!$B$3,$B1474=Dashboard!$G$3,$D1474&lt;&gt;"NO_SERVICE"),ROW(),"")</f>
        <v/>
      </c>
    </row>
    <row r="1475" spans="1:15" x14ac:dyDescent="0.25">
      <c r="A1475" t="s">
        <v>904</v>
      </c>
      <c r="B1475" t="s">
        <v>154</v>
      </c>
      <c r="C1475" t="s">
        <v>1948</v>
      </c>
      <c r="D1475" t="s">
        <v>21</v>
      </c>
      <c r="E1475" t="s">
        <v>1962</v>
      </c>
      <c r="F1475" t="s">
        <v>262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f t="shared" si="23"/>
        <v>7</v>
      </c>
      <c r="O1475" t="str">
        <f>IF(AND($A1475=Dashboard!$B$3,$B1475=Dashboard!$G$3,$D1475&lt;&gt;"NO_SERVICE"),ROW(),"")</f>
        <v/>
      </c>
    </row>
    <row r="1476" spans="1:15" x14ac:dyDescent="0.25">
      <c r="A1476" t="s">
        <v>904</v>
      </c>
      <c r="B1476" t="s">
        <v>154</v>
      </c>
      <c r="C1476" t="s">
        <v>1948</v>
      </c>
      <c r="D1476" t="s">
        <v>21</v>
      </c>
      <c r="E1476" t="s">
        <v>1963</v>
      </c>
      <c r="F1476" t="s">
        <v>342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f t="shared" si="23"/>
        <v>7</v>
      </c>
      <c r="O1476" t="str">
        <f>IF(AND($A1476=Dashboard!$B$3,$B1476=Dashboard!$G$3,$D1476&lt;&gt;"NO_SERVICE"),ROW(),"")</f>
        <v/>
      </c>
    </row>
    <row r="1477" spans="1:15" x14ac:dyDescent="0.25">
      <c r="A1477" t="s">
        <v>904</v>
      </c>
      <c r="B1477" t="s">
        <v>154</v>
      </c>
      <c r="C1477" t="s">
        <v>1948</v>
      </c>
      <c r="D1477" t="s">
        <v>21</v>
      </c>
      <c r="E1477" t="s">
        <v>1964</v>
      </c>
      <c r="F1477" t="s">
        <v>1082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f t="shared" si="23"/>
        <v>7</v>
      </c>
      <c r="O1477" t="str">
        <f>IF(AND($A1477=Dashboard!$B$3,$B1477=Dashboard!$G$3,$D1477&lt;&gt;"NO_SERVICE"),ROW(),"")</f>
        <v/>
      </c>
    </row>
    <row r="1478" spans="1:15" x14ac:dyDescent="0.25">
      <c r="A1478" t="s">
        <v>904</v>
      </c>
      <c r="B1478" t="s">
        <v>541</v>
      </c>
      <c r="C1478" t="s">
        <v>1965</v>
      </c>
      <c r="D1478" t="s">
        <v>24</v>
      </c>
      <c r="E1478" t="s">
        <v>1966</v>
      </c>
      <c r="F1478" t="s">
        <v>319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f t="shared" si="23"/>
        <v>7</v>
      </c>
      <c r="O1478" t="str">
        <f>IF(AND($A1478=Dashboard!$B$3,$B1478=Dashboard!$G$3,$D1478&lt;&gt;"NO_SERVICE"),ROW(),"")</f>
        <v/>
      </c>
    </row>
    <row r="1479" spans="1:15" x14ac:dyDescent="0.25">
      <c r="A1479" t="s">
        <v>904</v>
      </c>
      <c r="B1479" t="s">
        <v>541</v>
      </c>
      <c r="C1479" t="s">
        <v>1965</v>
      </c>
      <c r="D1479" t="s">
        <v>24</v>
      </c>
      <c r="E1479" t="s">
        <v>1967</v>
      </c>
      <c r="F1479" t="s">
        <v>94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f t="shared" si="23"/>
        <v>7</v>
      </c>
      <c r="O1479" t="str">
        <f>IF(AND($A1479=Dashboard!$B$3,$B1479=Dashboard!$G$3,$D1479&lt;&gt;"NO_SERVICE"),ROW(),"")</f>
        <v/>
      </c>
    </row>
    <row r="1480" spans="1:15" x14ac:dyDescent="0.25">
      <c r="A1480" t="s">
        <v>904</v>
      </c>
      <c r="B1480" t="s">
        <v>541</v>
      </c>
      <c r="C1480" t="s">
        <v>1965</v>
      </c>
      <c r="D1480" t="s">
        <v>24</v>
      </c>
      <c r="E1480" t="s">
        <v>1968</v>
      </c>
      <c r="F1480" t="s">
        <v>668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f t="shared" si="23"/>
        <v>7</v>
      </c>
      <c r="O1480" t="str">
        <f>IF(AND($A1480=Dashboard!$B$3,$B1480=Dashboard!$G$3,$D1480&lt;&gt;"NO_SERVICE"),ROW(),"")</f>
        <v/>
      </c>
    </row>
    <row r="1481" spans="1:15" x14ac:dyDescent="0.25">
      <c r="A1481" t="s">
        <v>904</v>
      </c>
      <c r="B1481" t="s">
        <v>541</v>
      </c>
      <c r="C1481" t="s">
        <v>1965</v>
      </c>
      <c r="D1481" t="s">
        <v>24</v>
      </c>
      <c r="E1481" t="s">
        <v>1969</v>
      </c>
      <c r="F1481" t="s">
        <v>801</v>
      </c>
      <c r="G1481">
        <v>1</v>
      </c>
      <c r="H1481">
        <v>0</v>
      </c>
      <c r="I1481">
        <v>1</v>
      </c>
      <c r="J1481">
        <v>0</v>
      </c>
      <c r="K1481">
        <v>1</v>
      </c>
      <c r="L1481">
        <v>0</v>
      </c>
      <c r="M1481">
        <v>1</v>
      </c>
      <c r="N1481">
        <f t="shared" si="23"/>
        <v>4</v>
      </c>
      <c r="O1481" t="str">
        <f>IF(AND($A1481=Dashboard!$B$3,$B1481=Dashboard!$G$3,$D1481&lt;&gt;"NO_SERVICE"),ROW(),"")</f>
        <v/>
      </c>
    </row>
    <row r="1482" spans="1:15" x14ac:dyDescent="0.25">
      <c r="A1482" t="s">
        <v>904</v>
      </c>
      <c r="B1482" t="s">
        <v>541</v>
      </c>
      <c r="C1482" t="s">
        <v>1965</v>
      </c>
      <c r="D1482" t="s">
        <v>24</v>
      </c>
      <c r="E1482" t="s">
        <v>1970</v>
      </c>
      <c r="F1482" t="s">
        <v>49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f t="shared" si="23"/>
        <v>7</v>
      </c>
      <c r="O1482" t="str">
        <f>IF(AND($A1482=Dashboard!$B$3,$B1482=Dashboard!$G$3,$D1482&lt;&gt;"NO_SERVICE"),ROW(),"")</f>
        <v/>
      </c>
    </row>
    <row r="1483" spans="1:15" x14ac:dyDescent="0.25">
      <c r="A1483" t="s">
        <v>904</v>
      </c>
      <c r="B1483" t="s">
        <v>541</v>
      </c>
      <c r="C1483" t="s">
        <v>1965</v>
      </c>
      <c r="D1483" t="s">
        <v>24</v>
      </c>
      <c r="E1483" t="s">
        <v>1971</v>
      </c>
      <c r="F1483" t="s">
        <v>1082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f t="shared" si="23"/>
        <v>7</v>
      </c>
      <c r="O1483" t="str">
        <f>IF(AND($A1483=Dashboard!$B$3,$B1483=Dashboard!$G$3,$D1483&lt;&gt;"NO_SERVICE"),ROW(),"")</f>
        <v/>
      </c>
    </row>
    <row r="1484" spans="1:15" x14ac:dyDescent="0.25">
      <c r="A1484" t="s">
        <v>904</v>
      </c>
      <c r="B1484" t="s">
        <v>4</v>
      </c>
      <c r="C1484" t="s">
        <v>1972</v>
      </c>
      <c r="D1484" t="s">
        <v>24</v>
      </c>
      <c r="E1484" t="s">
        <v>1973</v>
      </c>
      <c r="F1484" t="s">
        <v>1511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f t="shared" si="23"/>
        <v>7</v>
      </c>
      <c r="O1484" t="str">
        <f>IF(AND($A1484=Dashboard!$B$3,$B1484=Dashboard!$G$3,$D1484&lt;&gt;"NO_SERVICE"),ROW(),"")</f>
        <v/>
      </c>
    </row>
    <row r="1485" spans="1:15" x14ac:dyDescent="0.25">
      <c r="A1485" t="s">
        <v>904</v>
      </c>
      <c r="B1485" t="s">
        <v>4</v>
      </c>
      <c r="C1485" t="s">
        <v>1972</v>
      </c>
      <c r="D1485" t="s">
        <v>24</v>
      </c>
      <c r="E1485" t="s">
        <v>1974</v>
      </c>
      <c r="F1485" t="s">
        <v>282</v>
      </c>
      <c r="G1485">
        <v>1</v>
      </c>
      <c r="H1485">
        <v>1</v>
      </c>
      <c r="I1485">
        <v>0</v>
      </c>
      <c r="J1485">
        <v>1</v>
      </c>
      <c r="K1485">
        <v>1</v>
      </c>
      <c r="L1485">
        <v>1</v>
      </c>
      <c r="M1485">
        <v>0</v>
      </c>
      <c r="N1485">
        <f t="shared" si="23"/>
        <v>5</v>
      </c>
      <c r="O1485" t="str">
        <f>IF(AND($A1485=Dashboard!$B$3,$B1485=Dashboard!$G$3,$D1485&lt;&gt;"NO_SERVICE"),ROW(),"")</f>
        <v/>
      </c>
    </row>
    <row r="1486" spans="1:15" x14ac:dyDescent="0.25">
      <c r="A1486" t="s">
        <v>904</v>
      </c>
      <c r="B1486" t="s">
        <v>4</v>
      </c>
      <c r="C1486" t="s">
        <v>1972</v>
      </c>
      <c r="D1486" t="s">
        <v>24</v>
      </c>
      <c r="E1486" t="s">
        <v>1975</v>
      </c>
      <c r="F1486" t="s">
        <v>1197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f t="shared" si="23"/>
        <v>7</v>
      </c>
      <c r="O1486" t="str">
        <f>IF(AND($A1486=Dashboard!$B$3,$B1486=Dashboard!$G$3,$D1486&lt;&gt;"NO_SERVICE"),ROW(),"")</f>
        <v/>
      </c>
    </row>
    <row r="1487" spans="1:15" x14ac:dyDescent="0.25">
      <c r="A1487" t="s">
        <v>904</v>
      </c>
      <c r="B1487" t="s">
        <v>4</v>
      </c>
      <c r="C1487" t="s">
        <v>1972</v>
      </c>
      <c r="D1487" t="s">
        <v>24</v>
      </c>
      <c r="E1487" t="s">
        <v>1976</v>
      </c>
      <c r="F1487" t="s">
        <v>228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f t="shared" si="23"/>
        <v>7</v>
      </c>
      <c r="O1487" t="str">
        <f>IF(AND($A1487=Dashboard!$B$3,$B1487=Dashboard!$G$3,$D1487&lt;&gt;"NO_SERVICE"),ROW(),"")</f>
        <v/>
      </c>
    </row>
    <row r="1488" spans="1:15" x14ac:dyDescent="0.25">
      <c r="A1488" t="s">
        <v>904</v>
      </c>
      <c r="B1488" t="s">
        <v>4</v>
      </c>
      <c r="C1488" t="s">
        <v>1972</v>
      </c>
      <c r="D1488" t="s">
        <v>24</v>
      </c>
      <c r="E1488" t="s">
        <v>1977</v>
      </c>
      <c r="F1488" t="s">
        <v>682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f t="shared" si="23"/>
        <v>7</v>
      </c>
      <c r="O1488" t="str">
        <f>IF(AND($A1488=Dashboard!$B$3,$B1488=Dashboard!$G$3,$D1488&lt;&gt;"NO_SERVICE"),ROW(),"")</f>
        <v/>
      </c>
    </row>
    <row r="1489" spans="1:15" x14ac:dyDescent="0.25">
      <c r="A1489" t="s">
        <v>904</v>
      </c>
      <c r="B1489" t="s">
        <v>4</v>
      </c>
      <c r="C1489" t="s">
        <v>1972</v>
      </c>
      <c r="D1489" t="s">
        <v>24</v>
      </c>
      <c r="E1489" t="s">
        <v>1978</v>
      </c>
      <c r="F1489" t="s">
        <v>1319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f t="shared" si="23"/>
        <v>7</v>
      </c>
      <c r="O1489" t="str">
        <f>IF(AND($A1489=Dashboard!$B$3,$B1489=Dashboard!$G$3,$D1489&lt;&gt;"NO_SERVICE"),ROW(),"")</f>
        <v/>
      </c>
    </row>
    <row r="1490" spans="1:15" x14ac:dyDescent="0.25">
      <c r="A1490" t="s">
        <v>904</v>
      </c>
      <c r="B1490" t="s">
        <v>4</v>
      </c>
      <c r="C1490" t="s">
        <v>1972</v>
      </c>
      <c r="D1490" t="s">
        <v>24</v>
      </c>
      <c r="E1490" t="s">
        <v>1979</v>
      </c>
      <c r="F1490" t="s">
        <v>172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f t="shared" si="23"/>
        <v>7</v>
      </c>
      <c r="O1490" t="str">
        <f>IF(AND($A1490=Dashboard!$B$3,$B1490=Dashboard!$G$3,$D1490&lt;&gt;"NO_SERVICE"),ROW(),"")</f>
        <v/>
      </c>
    </row>
    <row r="1491" spans="1:15" x14ac:dyDescent="0.25">
      <c r="A1491" t="s">
        <v>904</v>
      </c>
      <c r="B1491" t="s">
        <v>4</v>
      </c>
      <c r="C1491" t="s">
        <v>1972</v>
      </c>
      <c r="D1491" t="s">
        <v>24</v>
      </c>
      <c r="E1491" t="s">
        <v>1980</v>
      </c>
      <c r="F1491" t="s">
        <v>729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f t="shared" si="23"/>
        <v>7</v>
      </c>
      <c r="O1491" t="str">
        <f>IF(AND($A1491=Dashboard!$B$3,$B1491=Dashboard!$G$3,$D1491&lt;&gt;"NO_SERVICE"),ROW(),"")</f>
        <v/>
      </c>
    </row>
    <row r="1492" spans="1:15" x14ac:dyDescent="0.25">
      <c r="A1492" t="s">
        <v>904</v>
      </c>
      <c r="B1492" t="s">
        <v>4</v>
      </c>
      <c r="C1492" t="s">
        <v>1972</v>
      </c>
      <c r="D1492" t="s">
        <v>24</v>
      </c>
      <c r="E1492" t="s">
        <v>1981</v>
      </c>
      <c r="F1492" t="s">
        <v>256</v>
      </c>
      <c r="G1492">
        <v>1</v>
      </c>
      <c r="H1492">
        <v>0</v>
      </c>
      <c r="I1492">
        <v>1</v>
      </c>
      <c r="J1492">
        <v>0</v>
      </c>
      <c r="K1492">
        <v>1</v>
      </c>
      <c r="L1492">
        <v>0</v>
      </c>
      <c r="M1492">
        <v>1</v>
      </c>
      <c r="N1492">
        <f t="shared" si="23"/>
        <v>4</v>
      </c>
      <c r="O1492" t="str">
        <f>IF(AND($A1492=Dashboard!$B$3,$B1492=Dashboard!$G$3,$D1492&lt;&gt;"NO_SERVICE"),ROW(),"")</f>
        <v/>
      </c>
    </row>
    <row r="1493" spans="1:15" x14ac:dyDescent="0.25">
      <c r="A1493" t="s">
        <v>904</v>
      </c>
      <c r="B1493" t="s">
        <v>4</v>
      </c>
      <c r="C1493" t="s">
        <v>1972</v>
      </c>
      <c r="D1493" t="s">
        <v>24</v>
      </c>
      <c r="E1493" t="s">
        <v>1982</v>
      </c>
      <c r="F1493" t="s">
        <v>232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f t="shared" si="23"/>
        <v>7</v>
      </c>
      <c r="O1493" t="str">
        <f>IF(AND($A1493=Dashboard!$B$3,$B1493=Dashboard!$G$3,$D1493&lt;&gt;"NO_SERVICE"),ROW(),"")</f>
        <v/>
      </c>
    </row>
    <row r="1494" spans="1:15" x14ac:dyDescent="0.25">
      <c r="A1494" t="s">
        <v>904</v>
      </c>
      <c r="B1494" t="s">
        <v>4</v>
      </c>
      <c r="C1494" t="s">
        <v>1972</v>
      </c>
      <c r="D1494" t="s">
        <v>24</v>
      </c>
      <c r="E1494" t="s">
        <v>1983</v>
      </c>
      <c r="F1494" t="s">
        <v>303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f t="shared" si="23"/>
        <v>7</v>
      </c>
      <c r="O1494" t="str">
        <f>IF(AND($A1494=Dashboard!$B$3,$B1494=Dashboard!$G$3,$D1494&lt;&gt;"NO_SERVICE"),ROW(),"")</f>
        <v/>
      </c>
    </row>
    <row r="1495" spans="1:15" x14ac:dyDescent="0.25">
      <c r="A1495" t="s">
        <v>904</v>
      </c>
      <c r="B1495" t="s">
        <v>4</v>
      </c>
      <c r="C1495" t="s">
        <v>1972</v>
      </c>
      <c r="D1495" t="s">
        <v>24</v>
      </c>
      <c r="E1495" t="s">
        <v>1984</v>
      </c>
      <c r="F1495" t="s">
        <v>1914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f t="shared" si="23"/>
        <v>7</v>
      </c>
      <c r="O1495" t="str">
        <f>IF(AND($A1495=Dashboard!$B$3,$B1495=Dashboard!$G$3,$D1495&lt;&gt;"NO_SERVICE"),ROW(),"")</f>
        <v/>
      </c>
    </row>
    <row r="1496" spans="1:15" x14ac:dyDescent="0.25">
      <c r="A1496" t="s">
        <v>904</v>
      </c>
      <c r="B1496" t="s">
        <v>4</v>
      </c>
      <c r="C1496" t="s">
        <v>1972</v>
      </c>
      <c r="D1496" t="s">
        <v>21</v>
      </c>
      <c r="E1496" t="s">
        <v>1985</v>
      </c>
      <c r="F1496" t="s">
        <v>199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f t="shared" si="23"/>
        <v>7</v>
      </c>
      <c r="O1496" t="str">
        <f>IF(AND($A1496=Dashboard!$B$3,$B1496=Dashboard!$G$3,$D1496&lt;&gt;"NO_SERVICE"),ROW(),"")</f>
        <v/>
      </c>
    </row>
    <row r="1497" spans="1:15" x14ac:dyDescent="0.25">
      <c r="A1497" t="s">
        <v>904</v>
      </c>
      <c r="B1497" t="s">
        <v>4</v>
      </c>
      <c r="C1497" t="s">
        <v>1972</v>
      </c>
      <c r="D1497" t="s">
        <v>21</v>
      </c>
      <c r="E1497" t="s">
        <v>1986</v>
      </c>
      <c r="F1497" t="s">
        <v>157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f t="shared" si="23"/>
        <v>7</v>
      </c>
      <c r="O1497" t="str">
        <f>IF(AND($A1497=Dashboard!$B$3,$B1497=Dashboard!$G$3,$D1497&lt;&gt;"NO_SERVICE"),ROW(),"")</f>
        <v/>
      </c>
    </row>
    <row r="1498" spans="1:15" x14ac:dyDescent="0.25">
      <c r="A1498" t="s">
        <v>904</v>
      </c>
      <c r="B1498" t="s">
        <v>4</v>
      </c>
      <c r="C1498" t="s">
        <v>1972</v>
      </c>
      <c r="D1498" t="s">
        <v>21</v>
      </c>
      <c r="E1498" t="s">
        <v>1987</v>
      </c>
      <c r="F1498" t="s">
        <v>830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f t="shared" si="23"/>
        <v>7</v>
      </c>
      <c r="O1498" t="str">
        <f>IF(AND($A1498=Dashboard!$B$3,$B1498=Dashboard!$G$3,$D1498&lt;&gt;"NO_SERVICE"),ROW(),"")</f>
        <v/>
      </c>
    </row>
    <row r="1499" spans="1:15" x14ac:dyDescent="0.25">
      <c r="A1499" t="s">
        <v>904</v>
      </c>
      <c r="B1499" t="s">
        <v>4</v>
      </c>
      <c r="C1499" t="s">
        <v>1972</v>
      </c>
      <c r="D1499" t="s">
        <v>21</v>
      </c>
      <c r="E1499" t="s">
        <v>1988</v>
      </c>
      <c r="F1499" t="s">
        <v>1861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f t="shared" si="23"/>
        <v>7</v>
      </c>
      <c r="O1499" t="str">
        <f>IF(AND($A1499=Dashboard!$B$3,$B1499=Dashboard!$G$3,$D1499&lt;&gt;"NO_SERVICE"),ROW(),"")</f>
        <v/>
      </c>
    </row>
    <row r="1500" spans="1:15" x14ac:dyDescent="0.25">
      <c r="A1500" t="s">
        <v>904</v>
      </c>
      <c r="B1500" t="s">
        <v>4</v>
      </c>
      <c r="C1500" t="s">
        <v>1972</v>
      </c>
      <c r="D1500" t="s">
        <v>21</v>
      </c>
      <c r="E1500" t="s">
        <v>1989</v>
      </c>
      <c r="F1500" t="s">
        <v>503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f t="shared" si="23"/>
        <v>7</v>
      </c>
      <c r="O1500" t="str">
        <f>IF(AND($A1500=Dashboard!$B$3,$B1500=Dashboard!$G$3,$D1500&lt;&gt;"NO_SERVICE"),ROW(),"")</f>
        <v/>
      </c>
    </row>
    <row r="1501" spans="1:15" x14ac:dyDescent="0.25">
      <c r="A1501" t="s">
        <v>904</v>
      </c>
      <c r="B1501" t="s">
        <v>4</v>
      </c>
      <c r="C1501" t="s">
        <v>1972</v>
      </c>
      <c r="D1501" t="s">
        <v>21</v>
      </c>
      <c r="E1501" t="s">
        <v>1990</v>
      </c>
      <c r="F1501" t="s">
        <v>368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f t="shared" si="23"/>
        <v>7</v>
      </c>
      <c r="O1501" t="str">
        <f>IF(AND($A1501=Dashboard!$B$3,$B1501=Dashboard!$G$3,$D1501&lt;&gt;"NO_SERVICE"),ROW(),"")</f>
        <v/>
      </c>
    </row>
    <row r="1502" spans="1:15" x14ac:dyDescent="0.25">
      <c r="A1502" t="s">
        <v>904</v>
      </c>
      <c r="B1502" t="s">
        <v>4</v>
      </c>
      <c r="C1502" t="s">
        <v>1972</v>
      </c>
      <c r="D1502" t="s">
        <v>21</v>
      </c>
      <c r="E1502" t="s">
        <v>1674</v>
      </c>
      <c r="F1502" t="s">
        <v>147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f t="shared" si="23"/>
        <v>7</v>
      </c>
      <c r="O1502" t="str">
        <f>IF(AND($A1502=Dashboard!$B$3,$B1502=Dashboard!$G$3,$D1502&lt;&gt;"NO_SERVICE"),ROW(),"")</f>
        <v/>
      </c>
    </row>
    <row r="1503" spans="1:15" x14ac:dyDescent="0.25">
      <c r="A1503" t="s">
        <v>904</v>
      </c>
      <c r="B1503" t="s">
        <v>4</v>
      </c>
      <c r="C1503" t="s">
        <v>1972</v>
      </c>
      <c r="D1503" t="s">
        <v>21</v>
      </c>
      <c r="E1503" t="s">
        <v>1991</v>
      </c>
      <c r="F1503" t="s">
        <v>335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f t="shared" si="23"/>
        <v>7</v>
      </c>
      <c r="O1503" t="str">
        <f>IF(AND($A1503=Dashboard!$B$3,$B1503=Dashboard!$G$3,$D1503&lt;&gt;"NO_SERVICE"),ROW(),"")</f>
        <v/>
      </c>
    </row>
    <row r="1504" spans="1:15" x14ac:dyDescent="0.25">
      <c r="A1504" t="s">
        <v>904</v>
      </c>
      <c r="B1504" t="s">
        <v>4</v>
      </c>
      <c r="C1504" t="s">
        <v>1972</v>
      </c>
      <c r="D1504" t="s">
        <v>21</v>
      </c>
      <c r="E1504" t="s">
        <v>1992</v>
      </c>
      <c r="F1504" t="s">
        <v>266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f t="shared" si="23"/>
        <v>7</v>
      </c>
      <c r="O1504" t="str">
        <f>IF(AND($A1504=Dashboard!$B$3,$B1504=Dashboard!$G$3,$D1504&lt;&gt;"NO_SERVICE"),ROW(),"")</f>
        <v/>
      </c>
    </row>
    <row r="1505" spans="1:15" x14ac:dyDescent="0.25">
      <c r="A1505" t="s">
        <v>904</v>
      </c>
      <c r="B1505" t="s">
        <v>4</v>
      </c>
      <c r="C1505" t="s">
        <v>1972</v>
      </c>
      <c r="D1505" t="s">
        <v>21</v>
      </c>
      <c r="E1505" t="s">
        <v>1993</v>
      </c>
      <c r="F1505" t="s">
        <v>949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f t="shared" si="23"/>
        <v>7</v>
      </c>
      <c r="O1505" t="str">
        <f>IF(AND($A1505=Dashboard!$B$3,$B1505=Dashboard!$G$3,$D1505&lt;&gt;"NO_SERVICE"),ROW(),"")</f>
        <v/>
      </c>
    </row>
    <row r="1506" spans="1:15" x14ac:dyDescent="0.25">
      <c r="A1506" t="s">
        <v>904</v>
      </c>
      <c r="B1506" t="s">
        <v>4</v>
      </c>
      <c r="C1506" t="s">
        <v>1972</v>
      </c>
      <c r="D1506" t="s">
        <v>21</v>
      </c>
      <c r="E1506" t="s">
        <v>1994</v>
      </c>
      <c r="F1506" t="s">
        <v>674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f t="shared" si="23"/>
        <v>7</v>
      </c>
      <c r="O1506" t="str">
        <f>IF(AND($A1506=Dashboard!$B$3,$B1506=Dashboard!$G$3,$D1506&lt;&gt;"NO_SERVICE"),ROW(),"")</f>
        <v/>
      </c>
    </row>
    <row r="1507" spans="1:15" x14ac:dyDescent="0.25">
      <c r="A1507" t="s">
        <v>904</v>
      </c>
      <c r="B1507" t="s">
        <v>4</v>
      </c>
      <c r="C1507" t="s">
        <v>1972</v>
      </c>
      <c r="D1507" t="s">
        <v>21</v>
      </c>
      <c r="E1507" t="s">
        <v>1995</v>
      </c>
      <c r="F1507" t="s">
        <v>1207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f t="shared" si="23"/>
        <v>7</v>
      </c>
      <c r="O1507" t="str">
        <f>IF(AND($A1507=Dashboard!$B$3,$B1507=Dashboard!$G$3,$D1507&lt;&gt;"NO_SERVICE"),ROW(),"")</f>
        <v/>
      </c>
    </row>
    <row r="1508" spans="1:15" x14ac:dyDescent="0.25">
      <c r="A1508" t="s">
        <v>904</v>
      </c>
      <c r="B1508" t="s">
        <v>4</v>
      </c>
      <c r="C1508" t="s">
        <v>1972</v>
      </c>
      <c r="D1508" t="s">
        <v>21</v>
      </c>
      <c r="E1508" t="s">
        <v>1996</v>
      </c>
      <c r="F1508" t="s">
        <v>1376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f t="shared" si="23"/>
        <v>7</v>
      </c>
      <c r="O1508" t="str">
        <f>IF(AND($A1508=Dashboard!$B$3,$B1508=Dashboard!$G$3,$D1508&lt;&gt;"NO_SERVICE"),ROW(),"")</f>
        <v/>
      </c>
    </row>
    <row r="1509" spans="1:15" x14ac:dyDescent="0.25">
      <c r="A1509" t="s">
        <v>904</v>
      </c>
      <c r="B1509" t="s">
        <v>4</v>
      </c>
      <c r="C1509" t="s">
        <v>1972</v>
      </c>
      <c r="D1509" t="s">
        <v>21</v>
      </c>
      <c r="E1509" t="s">
        <v>1997</v>
      </c>
      <c r="F1509" t="s">
        <v>1914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f t="shared" si="23"/>
        <v>7</v>
      </c>
      <c r="O1509" t="str">
        <f>IF(AND($A1509=Dashboard!$B$3,$B1509=Dashboard!$G$3,$D1509&lt;&gt;"NO_SERVICE"),ROW(),"")</f>
        <v/>
      </c>
    </row>
    <row r="1510" spans="1:15" x14ac:dyDescent="0.25">
      <c r="A1510" t="s">
        <v>904</v>
      </c>
      <c r="B1510" t="s">
        <v>4</v>
      </c>
      <c r="C1510" t="s">
        <v>1972</v>
      </c>
      <c r="D1510" t="s">
        <v>26</v>
      </c>
      <c r="E1510" t="s">
        <v>1998</v>
      </c>
      <c r="F1510" t="s">
        <v>746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f t="shared" si="23"/>
        <v>7</v>
      </c>
      <c r="O1510" t="str">
        <f>IF(AND($A1510=Dashboard!$B$3,$B1510=Dashboard!$G$3,$D1510&lt;&gt;"NO_SERVICE"),ROW(),"")</f>
        <v/>
      </c>
    </row>
    <row r="1511" spans="1:15" x14ac:dyDescent="0.25">
      <c r="A1511" t="s">
        <v>904</v>
      </c>
      <c r="B1511" t="s">
        <v>4</v>
      </c>
      <c r="C1511" t="s">
        <v>1972</v>
      </c>
      <c r="D1511" t="s">
        <v>26</v>
      </c>
      <c r="E1511" t="s">
        <v>1999</v>
      </c>
      <c r="F1511" t="s">
        <v>266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f t="shared" si="23"/>
        <v>7</v>
      </c>
      <c r="O1511" t="str">
        <f>IF(AND($A1511=Dashboard!$B$3,$B1511=Dashboard!$G$3,$D1511&lt;&gt;"NO_SERVICE"),ROW(),"")</f>
        <v/>
      </c>
    </row>
    <row r="1512" spans="1:15" x14ac:dyDescent="0.25">
      <c r="A1512" t="s">
        <v>904</v>
      </c>
      <c r="B1512" t="s">
        <v>1004</v>
      </c>
      <c r="C1512" t="s">
        <v>2000</v>
      </c>
      <c r="D1512" t="s">
        <v>24</v>
      </c>
      <c r="E1512" t="s">
        <v>2001</v>
      </c>
      <c r="F1512" t="s">
        <v>168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f t="shared" si="23"/>
        <v>7</v>
      </c>
      <c r="O1512" t="str">
        <f>IF(AND($A1512=Dashboard!$B$3,$B1512=Dashboard!$G$3,$D1512&lt;&gt;"NO_SERVICE"),ROW(),"")</f>
        <v/>
      </c>
    </row>
    <row r="1513" spans="1:15" x14ac:dyDescent="0.25">
      <c r="A1513" t="s">
        <v>904</v>
      </c>
      <c r="B1513" t="s">
        <v>1004</v>
      </c>
      <c r="C1513" t="s">
        <v>2000</v>
      </c>
      <c r="D1513" t="s">
        <v>24</v>
      </c>
      <c r="E1513" t="s">
        <v>2002</v>
      </c>
      <c r="F1513" t="s">
        <v>228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f t="shared" si="23"/>
        <v>7</v>
      </c>
      <c r="O1513" t="str">
        <f>IF(AND($A1513=Dashboard!$B$3,$B1513=Dashboard!$G$3,$D1513&lt;&gt;"NO_SERVICE"),ROW(),"")</f>
        <v/>
      </c>
    </row>
    <row r="1514" spans="1:15" x14ac:dyDescent="0.25">
      <c r="A1514" t="s">
        <v>904</v>
      </c>
      <c r="B1514" t="s">
        <v>1004</v>
      </c>
      <c r="C1514" t="s">
        <v>2000</v>
      </c>
      <c r="D1514" t="s">
        <v>24</v>
      </c>
      <c r="E1514" t="s">
        <v>2003</v>
      </c>
      <c r="F1514" t="s">
        <v>806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f t="shared" si="23"/>
        <v>7</v>
      </c>
      <c r="O1514" t="str">
        <f>IF(AND($A1514=Dashboard!$B$3,$B1514=Dashboard!$G$3,$D1514&lt;&gt;"NO_SERVICE"),ROW(),"")</f>
        <v/>
      </c>
    </row>
    <row r="1515" spans="1:15" x14ac:dyDescent="0.25">
      <c r="A1515" t="s">
        <v>904</v>
      </c>
      <c r="B1515" t="s">
        <v>1004</v>
      </c>
      <c r="C1515" t="s">
        <v>2000</v>
      </c>
      <c r="D1515" t="s">
        <v>24</v>
      </c>
      <c r="E1515" t="s">
        <v>2004</v>
      </c>
      <c r="F1515" t="s">
        <v>230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f t="shared" si="23"/>
        <v>7</v>
      </c>
      <c r="O1515" t="str">
        <f>IF(AND($A1515=Dashboard!$B$3,$B1515=Dashboard!$G$3,$D1515&lt;&gt;"NO_SERVICE"),ROW(),"")</f>
        <v/>
      </c>
    </row>
    <row r="1516" spans="1:15" x14ac:dyDescent="0.25">
      <c r="A1516" t="s">
        <v>904</v>
      </c>
      <c r="B1516" t="s">
        <v>1004</v>
      </c>
      <c r="C1516" t="s">
        <v>2000</v>
      </c>
      <c r="D1516" t="s">
        <v>24</v>
      </c>
      <c r="E1516" t="s">
        <v>2005</v>
      </c>
      <c r="F1516" t="s">
        <v>49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f t="shared" si="23"/>
        <v>7</v>
      </c>
      <c r="O1516" t="str">
        <f>IF(AND($A1516=Dashboard!$B$3,$B1516=Dashboard!$G$3,$D1516&lt;&gt;"NO_SERVICE"),ROW(),"")</f>
        <v/>
      </c>
    </row>
    <row r="1517" spans="1:15" x14ac:dyDescent="0.25">
      <c r="A1517" t="s">
        <v>904</v>
      </c>
      <c r="B1517" t="s">
        <v>1004</v>
      </c>
      <c r="C1517" t="s">
        <v>2000</v>
      </c>
      <c r="D1517" t="s">
        <v>24</v>
      </c>
      <c r="E1517" t="s">
        <v>2006</v>
      </c>
      <c r="F1517" t="s">
        <v>317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f t="shared" si="23"/>
        <v>7</v>
      </c>
      <c r="O1517" t="str">
        <f>IF(AND($A1517=Dashboard!$B$3,$B1517=Dashboard!$G$3,$D1517&lt;&gt;"NO_SERVICE"),ROW(),"")</f>
        <v/>
      </c>
    </row>
    <row r="1518" spans="1:15" x14ac:dyDescent="0.25">
      <c r="A1518" t="s">
        <v>904</v>
      </c>
      <c r="B1518" t="s">
        <v>1004</v>
      </c>
      <c r="C1518" t="s">
        <v>2000</v>
      </c>
      <c r="D1518" t="s">
        <v>24</v>
      </c>
      <c r="E1518" t="s">
        <v>2007</v>
      </c>
      <c r="F1518" t="s">
        <v>359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f t="shared" si="23"/>
        <v>7</v>
      </c>
      <c r="O1518" t="str">
        <f>IF(AND($A1518=Dashboard!$B$3,$B1518=Dashboard!$G$3,$D1518&lt;&gt;"NO_SERVICE"),ROW(),"")</f>
        <v/>
      </c>
    </row>
    <row r="1519" spans="1:15" x14ac:dyDescent="0.25">
      <c r="A1519" t="s">
        <v>904</v>
      </c>
      <c r="B1519" t="s">
        <v>1079</v>
      </c>
      <c r="C1519" t="s">
        <v>2008</v>
      </c>
      <c r="D1519" t="s">
        <v>24</v>
      </c>
      <c r="E1519" t="s">
        <v>2009</v>
      </c>
      <c r="F1519" t="s">
        <v>1098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f t="shared" si="23"/>
        <v>7</v>
      </c>
      <c r="O1519" t="str">
        <f>IF(AND($A1519=Dashboard!$B$3,$B1519=Dashboard!$G$3,$D1519&lt;&gt;"NO_SERVICE"),ROW(),"")</f>
        <v/>
      </c>
    </row>
    <row r="1520" spans="1:15" x14ac:dyDescent="0.25">
      <c r="A1520" t="s">
        <v>904</v>
      </c>
      <c r="B1520" t="s">
        <v>1079</v>
      </c>
      <c r="C1520" t="s">
        <v>2008</v>
      </c>
      <c r="D1520" t="s">
        <v>24</v>
      </c>
      <c r="E1520" t="s">
        <v>2010</v>
      </c>
      <c r="F1520" t="s">
        <v>2011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f t="shared" si="23"/>
        <v>7</v>
      </c>
      <c r="O1520" t="str">
        <f>IF(AND($A1520=Dashboard!$B$3,$B1520=Dashboard!$G$3,$D1520&lt;&gt;"NO_SERVICE"),ROW(),"")</f>
        <v/>
      </c>
    </row>
    <row r="1521" spans="1:15" x14ac:dyDescent="0.25">
      <c r="A1521" t="s">
        <v>904</v>
      </c>
      <c r="B1521" t="s">
        <v>1079</v>
      </c>
      <c r="C1521" t="s">
        <v>2008</v>
      </c>
      <c r="D1521" t="s">
        <v>24</v>
      </c>
      <c r="E1521" t="s">
        <v>2012</v>
      </c>
      <c r="F1521" t="s">
        <v>443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0</v>
      </c>
      <c r="M1521">
        <v>1</v>
      </c>
      <c r="N1521">
        <f t="shared" si="23"/>
        <v>6</v>
      </c>
      <c r="O1521" t="str">
        <f>IF(AND($A1521=Dashboard!$B$3,$B1521=Dashboard!$G$3,$D1521&lt;&gt;"NO_SERVICE"),ROW(),"")</f>
        <v/>
      </c>
    </row>
    <row r="1522" spans="1:15" x14ac:dyDescent="0.25">
      <c r="A1522" t="s">
        <v>904</v>
      </c>
      <c r="B1522" t="s">
        <v>1079</v>
      </c>
      <c r="C1522" t="s">
        <v>2008</v>
      </c>
      <c r="D1522" t="s">
        <v>24</v>
      </c>
      <c r="E1522" t="s">
        <v>1952</v>
      </c>
      <c r="F1522" t="s">
        <v>1560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0</v>
      </c>
      <c r="M1522">
        <v>1</v>
      </c>
      <c r="N1522">
        <f t="shared" si="23"/>
        <v>6</v>
      </c>
      <c r="O1522" t="str">
        <f>IF(AND($A1522=Dashboard!$B$3,$B1522=Dashboard!$G$3,$D1522&lt;&gt;"NO_SERVICE"),ROW(),"")</f>
        <v/>
      </c>
    </row>
    <row r="1523" spans="1:15" x14ac:dyDescent="0.25">
      <c r="A1523" t="s">
        <v>904</v>
      </c>
      <c r="B1523" t="s">
        <v>1079</v>
      </c>
      <c r="C1523" t="s">
        <v>2008</v>
      </c>
      <c r="D1523" t="s">
        <v>24</v>
      </c>
      <c r="E1523" t="s">
        <v>1222</v>
      </c>
      <c r="F1523" t="s">
        <v>388</v>
      </c>
      <c r="G1523">
        <v>0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f t="shared" si="23"/>
        <v>1</v>
      </c>
      <c r="O1523" t="str">
        <f>IF(AND($A1523=Dashboard!$B$3,$B1523=Dashboard!$G$3,$D1523&lt;&gt;"NO_SERVICE"),ROW(),"")</f>
        <v/>
      </c>
    </row>
    <row r="1524" spans="1:15" x14ac:dyDescent="0.25">
      <c r="A1524" t="s">
        <v>904</v>
      </c>
      <c r="B1524" t="s">
        <v>1079</v>
      </c>
      <c r="C1524" t="s">
        <v>2008</v>
      </c>
      <c r="D1524" t="s">
        <v>24</v>
      </c>
      <c r="E1524" t="s">
        <v>2013</v>
      </c>
      <c r="F1524" t="s">
        <v>172</v>
      </c>
      <c r="G1524">
        <v>1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f t="shared" si="23"/>
        <v>2</v>
      </c>
      <c r="O1524" t="str">
        <f>IF(AND($A1524=Dashboard!$B$3,$B1524=Dashboard!$G$3,$D1524&lt;&gt;"NO_SERVICE"),ROW(),"")</f>
        <v/>
      </c>
    </row>
    <row r="1525" spans="1:15" x14ac:dyDescent="0.25">
      <c r="A1525" t="s">
        <v>904</v>
      </c>
      <c r="B1525" t="s">
        <v>1079</v>
      </c>
      <c r="C1525" t="s">
        <v>2008</v>
      </c>
      <c r="D1525" t="s">
        <v>24</v>
      </c>
      <c r="E1525" t="s">
        <v>2014</v>
      </c>
      <c r="F1525" t="s">
        <v>537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f t="shared" si="23"/>
        <v>1</v>
      </c>
      <c r="O1525" t="str">
        <f>IF(AND($A1525=Dashboard!$B$3,$B1525=Dashboard!$G$3,$D1525&lt;&gt;"NO_SERVICE"),ROW(),"")</f>
        <v/>
      </c>
    </row>
    <row r="1526" spans="1:15" x14ac:dyDescent="0.25">
      <c r="A1526" t="s">
        <v>904</v>
      </c>
      <c r="B1526" t="s">
        <v>1079</v>
      </c>
      <c r="C1526" t="s">
        <v>2008</v>
      </c>
      <c r="D1526" t="s">
        <v>24</v>
      </c>
      <c r="E1526" t="s">
        <v>1579</v>
      </c>
      <c r="F1526" t="s">
        <v>60</v>
      </c>
      <c r="G1526">
        <v>1</v>
      </c>
      <c r="H1526">
        <v>1</v>
      </c>
      <c r="I1526">
        <v>1</v>
      </c>
      <c r="J1526">
        <v>0</v>
      </c>
      <c r="K1526">
        <v>1</v>
      </c>
      <c r="L1526">
        <v>0</v>
      </c>
      <c r="M1526">
        <v>1</v>
      </c>
      <c r="N1526">
        <f t="shared" si="23"/>
        <v>5</v>
      </c>
      <c r="O1526" t="str">
        <f>IF(AND($A1526=Dashboard!$B$3,$B1526=Dashboard!$G$3,$D1526&lt;&gt;"NO_SERVICE"),ROW(),"")</f>
        <v/>
      </c>
    </row>
    <row r="1527" spans="1:15" x14ac:dyDescent="0.25">
      <c r="A1527" t="s">
        <v>904</v>
      </c>
      <c r="B1527" t="s">
        <v>1079</v>
      </c>
      <c r="C1527" t="s">
        <v>2008</v>
      </c>
      <c r="D1527" t="s">
        <v>24</v>
      </c>
      <c r="E1527" t="s">
        <v>2015</v>
      </c>
      <c r="F1527" t="s">
        <v>392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f t="shared" si="23"/>
        <v>7</v>
      </c>
      <c r="O1527" t="str">
        <f>IF(AND($A1527=Dashboard!$B$3,$B1527=Dashboard!$G$3,$D1527&lt;&gt;"NO_SERVICE"),ROW(),"")</f>
        <v/>
      </c>
    </row>
    <row r="1528" spans="1:15" x14ac:dyDescent="0.25">
      <c r="A1528" t="s">
        <v>1079</v>
      </c>
      <c r="B1528" t="s">
        <v>2</v>
      </c>
      <c r="C1528" t="s">
        <v>2016</v>
      </c>
      <c r="D1528" t="s">
        <v>24</v>
      </c>
      <c r="E1528" t="s">
        <v>2017</v>
      </c>
      <c r="F1528" t="s">
        <v>269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f t="shared" si="23"/>
        <v>7</v>
      </c>
      <c r="O1528" t="str">
        <f>IF(AND($A1528=Dashboard!$B$3,$B1528=Dashboard!$G$3,$D1528&lt;&gt;"NO_SERVICE"),ROW(),"")</f>
        <v/>
      </c>
    </row>
    <row r="1529" spans="1:15" x14ac:dyDescent="0.25">
      <c r="A1529" t="s">
        <v>1079</v>
      </c>
      <c r="B1529" t="s">
        <v>2</v>
      </c>
      <c r="C1529" t="s">
        <v>2016</v>
      </c>
      <c r="D1529" t="s">
        <v>24</v>
      </c>
      <c r="E1529" t="s">
        <v>2018</v>
      </c>
      <c r="F1529" t="s">
        <v>1405</v>
      </c>
      <c r="G1529">
        <v>0</v>
      </c>
      <c r="H1529">
        <v>1</v>
      </c>
      <c r="I1529">
        <v>0</v>
      </c>
      <c r="J1529">
        <v>1</v>
      </c>
      <c r="K1529">
        <v>0</v>
      </c>
      <c r="L1529">
        <v>1</v>
      </c>
      <c r="M1529">
        <v>1</v>
      </c>
      <c r="N1529">
        <f t="shared" si="23"/>
        <v>4</v>
      </c>
      <c r="O1529" t="str">
        <f>IF(AND($A1529=Dashboard!$B$3,$B1529=Dashboard!$G$3,$D1529&lt;&gt;"NO_SERVICE"),ROW(),"")</f>
        <v/>
      </c>
    </row>
    <row r="1530" spans="1:15" x14ac:dyDescent="0.25">
      <c r="A1530" t="s">
        <v>1079</v>
      </c>
      <c r="B1530" t="s">
        <v>2</v>
      </c>
      <c r="C1530" t="s">
        <v>2016</v>
      </c>
      <c r="D1530" t="s">
        <v>24</v>
      </c>
      <c r="E1530" t="s">
        <v>2019</v>
      </c>
      <c r="F1530" t="s">
        <v>291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0</v>
      </c>
      <c r="M1530">
        <v>1</v>
      </c>
      <c r="N1530">
        <f t="shared" si="23"/>
        <v>6</v>
      </c>
      <c r="O1530" t="str">
        <f>IF(AND($A1530=Dashboard!$B$3,$B1530=Dashboard!$G$3,$D1530&lt;&gt;"NO_SERVICE"),ROW(),"")</f>
        <v/>
      </c>
    </row>
    <row r="1531" spans="1:15" x14ac:dyDescent="0.25">
      <c r="A1531" t="s">
        <v>1079</v>
      </c>
      <c r="B1531" t="s">
        <v>2</v>
      </c>
      <c r="C1531" t="s">
        <v>2016</v>
      </c>
      <c r="D1531" t="s">
        <v>24</v>
      </c>
      <c r="E1531" t="s">
        <v>2020</v>
      </c>
      <c r="F1531" t="s">
        <v>1174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f t="shared" si="23"/>
        <v>7</v>
      </c>
      <c r="O1531" t="str">
        <f>IF(AND($A1531=Dashboard!$B$3,$B1531=Dashboard!$G$3,$D1531&lt;&gt;"NO_SERVICE"),ROW(),"")</f>
        <v/>
      </c>
    </row>
    <row r="1532" spans="1:15" x14ac:dyDescent="0.25">
      <c r="A1532" t="s">
        <v>1079</v>
      </c>
      <c r="B1532" t="s">
        <v>2</v>
      </c>
      <c r="C1532" t="s">
        <v>2016</v>
      </c>
      <c r="D1532" t="s">
        <v>26</v>
      </c>
      <c r="E1532" t="s">
        <v>2021</v>
      </c>
      <c r="F1532" t="s">
        <v>49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f t="shared" si="23"/>
        <v>7</v>
      </c>
      <c r="O1532" t="str">
        <f>IF(AND($A1532=Dashboard!$B$3,$B1532=Dashboard!$G$3,$D1532&lt;&gt;"NO_SERVICE"),ROW(),"")</f>
        <v/>
      </c>
    </row>
    <row r="1533" spans="1:15" x14ac:dyDescent="0.25">
      <c r="A1533" t="s">
        <v>1079</v>
      </c>
      <c r="B1533" t="s">
        <v>2</v>
      </c>
      <c r="C1533" t="s">
        <v>2016</v>
      </c>
      <c r="D1533" t="s">
        <v>26</v>
      </c>
      <c r="E1533" t="s">
        <v>2022</v>
      </c>
      <c r="F1533" t="s">
        <v>1947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f t="shared" si="23"/>
        <v>7</v>
      </c>
      <c r="O1533" t="str">
        <f>IF(AND($A1533=Dashboard!$B$3,$B1533=Dashboard!$G$3,$D1533&lt;&gt;"NO_SERVICE"),ROW(),"")</f>
        <v/>
      </c>
    </row>
    <row r="1534" spans="1:15" x14ac:dyDescent="0.25">
      <c r="A1534" t="s">
        <v>1079</v>
      </c>
      <c r="B1534" t="s">
        <v>154</v>
      </c>
      <c r="C1534" t="s">
        <v>2023</v>
      </c>
      <c r="D1534" t="s">
        <v>24</v>
      </c>
      <c r="E1534" t="s">
        <v>2024</v>
      </c>
      <c r="F1534" t="s">
        <v>1157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f t="shared" si="23"/>
        <v>7</v>
      </c>
      <c r="O1534" t="str">
        <f>IF(AND($A1534=Dashboard!$B$3,$B1534=Dashboard!$G$3,$D1534&lt;&gt;"NO_SERVICE"),ROW(),"")</f>
        <v/>
      </c>
    </row>
    <row r="1535" spans="1:15" x14ac:dyDescent="0.25">
      <c r="A1535" t="s">
        <v>1079</v>
      </c>
      <c r="B1535" t="s">
        <v>154</v>
      </c>
      <c r="C1535" t="s">
        <v>2023</v>
      </c>
      <c r="D1535" t="s">
        <v>24</v>
      </c>
      <c r="E1535" t="s">
        <v>2025</v>
      </c>
      <c r="F1535" t="s">
        <v>1784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f t="shared" si="23"/>
        <v>7</v>
      </c>
      <c r="O1535" t="str">
        <f>IF(AND($A1535=Dashboard!$B$3,$B1535=Dashboard!$G$3,$D1535&lt;&gt;"NO_SERVICE"),ROW(),"")</f>
        <v/>
      </c>
    </row>
    <row r="1536" spans="1:15" x14ac:dyDescent="0.25">
      <c r="A1536" t="s">
        <v>1079</v>
      </c>
      <c r="B1536" t="s">
        <v>154</v>
      </c>
      <c r="C1536" t="s">
        <v>2023</v>
      </c>
      <c r="D1536" t="s">
        <v>24</v>
      </c>
      <c r="E1536" t="s">
        <v>2026</v>
      </c>
      <c r="F1536" t="s">
        <v>395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0</v>
      </c>
      <c r="M1536">
        <v>1</v>
      </c>
      <c r="N1536">
        <f t="shared" si="23"/>
        <v>6</v>
      </c>
      <c r="O1536" t="str">
        <f>IF(AND($A1536=Dashboard!$B$3,$B1536=Dashboard!$G$3,$D1536&lt;&gt;"NO_SERVICE"),ROW(),"")</f>
        <v/>
      </c>
    </row>
    <row r="1537" spans="1:15" x14ac:dyDescent="0.25">
      <c r="A1537" t="s">
        <v>1079</v>
      </c>
      <c r="B1537" t="s">
        <v>154</v>
      </c>
      <c r="C1537" t="s">
        <v>2023</v>
      </c>
      <c r="D1537" t="s">
        <v>24</v>
      </c>
      <c r="E1537" t="s">
        <v>2026</v>
      </c>
      <c r="F1537" t="s">
        <v>716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f t="shared" si="23"/>
        <v>1</v>
      </c>
      <c r="O1537" t="str">
        <f>IF(AND($A1537=Dashboard!$B$3,$B1537=Dashboard!$G$3,$D1537&lt;&gt;"NO_SERVICE"),ROW(),"")</f>
        <v/>
      </c>
    </row>
    <row r="1538" spans="1:15" x14ac:dyDescent="0.25">
      <c r="A1538" t="s">
        <v>1079</v>
      </c>
      <c r="B1538" t="s">
        <v>154</v>
      </c>
      <c r="C1538" t="s">
        <v>2023</v>
      </c>
      <c r="D1538" t="s">
        <v>24</v>
      </c>
      <c r="E1538" t="s">
        <v>2027</v>
      </c>
      <c r="F1538" t="s">
        <v>676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f t="shared" ref="N1538:N1601" si="24">SUM(G1538:M1538)</f>
        <v>7</v>
      </c>
      <c r="O1538" t="str">
        <f>IF(AND($A1538=Dashboard!$B$3,$B1538=Dashboard!$G$3,$D1538&lt;&gt;"NO_SERVICE"),ROW(),"")</f>
        <v/>
      </c>
    </row>
    <row r="1539" spans="1:15" x14ac:dyDescent="0.25">
      <c r="A1539" t="s">
        <v>1079</v>
      </c>
      <c r="B1539" t="s">
        <v>154</v>
      </c>
      <c r="C1539" t="s">
        <v>2023</v>
      </c>
      <c r="D1539" t="s">
        <v>24</v>
      </c>
      <c r="E1539" t="s">
        <v>2028</v>
      </c>
      <c r="F1539" t="s">
        <v>56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f t="shared" si="24"/>
        <v>1</v>
      </c>
      <c r="O1539" t="str">
        <f>IF(AND($A1539=Dashboard!$B$3,$B1539=Dashboard!$G$3,$D1539&lt;&gt;"NO_SERVICE"),ROW(),"")</f>
        <v/>
      </c>
    </row>
    <row r="1540" spans="1:15" x14ac:dyDescent="0.25">
      <c r="A1540" t="s">
        <v>1079</v>
      </c>
      <c r="B1540" t="s">
        <v>154</v>
      </c>
      <c r="C1540" t="s">
        <v>2023</v>
      </c>
      <c r="D1540" t="s">
        <v>24</v>
      </c>
      <c r="E1540" t="s">
        <v>2029</v>
      </c>
      <c r="F1540" t="s">
        <v>172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0</v>
      </c>
      <c r="M1540">
        <v>1</v>
      </c>
      <c r="N1540">
        <f t="shared" si="24"/>
        <v>6</v>
      </c>
      <c r="O1540" t="str">
        <f>IF(AND($A1540=Dashboard!$B$3,$B1540=Dashboard!$G$3,$D1540&lt;&gt;"NO_SERVICE"),ROW(),"")</f>
        <v/>
      </c>
    </row>
    <row r="1541" spans="1:15" x14ac:dyDescent="0.25">
      <c r="A1541" t="s">
        <v>1079</v>
      </c>
      <c r="B1541" t="s">
        <v>154</v>
      </c>
      <c r="C1541" t="s">
        <v>2023</v>
      </c>
      <c r="D1541" t="s">
        <v>24</v>
      </c>
      <c r="E1541" t="s">
        <v>2030</v>
      </c>
      <c r="F1541" t="s">
        <v>225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f t="shared" si="24"/>
        <v>7</v>
      </c>
      <c r="O1541" t="str">
        <f>IF(AND($A1541=Dashboard!$B$3,$B1541=Dashboard!$G$3,$D1541&lt;&gt;"NO_SERVICE"),ROW(),"")</f>
        <v/>
      </c>
    </row>
    <row r="1542" spans="1:15" x14ac:dyDescent="0.25">
      <c r="A1542" t="s">
        <v>1079</v>
      </c>
      <c r="B1542" t="s">
        <v>154</v>
      </c>
      <c r="C1542" t="s">
        <v>2023</v>
      </c>
      <c r="D1542" t="s">
        <v>24</v>
      </c>
      <c r="E1542" t="s">
        <v>2031</v>
      </c>
      <c r="F1542" t="s">
        <v>182</v>
      </c>
      <c r="G1542">
        <v>1</v>
      </c>
      <c r="H1542">
        <v>0</v>
      </c>
      <c r="I1542">
        <v>1</v>
      </c>
      <c r="J1542">
        <v>0</v>
      </c>
      <c r="K1542">
        <v>1</v>
      </c>
      <c r="L1542">
        <v>0</v>
      </c>
      <c r="M1542">
        <v>1</v>
      </c>
      <c r="N1542">
        <f t="shared" si="24"/>
        <v>4</v>
      </c>
      <c r="O1542" t="str">
        <f>IF(AND($A1542=Dashboard!$B$3,$B1542=Dashboard!$G$3,$D1542&lt;&gt;"NO_SERVICE"),ROW(),"")</f>
        <v/>
      </c>
    </row>
    <row r="1543" spans="1:15" x14ac:dyDescent="0.25">
      <c r="A1543" t="s">
        <v>1079</v>
      </c>
      <c r="B1543" t="s">
        <v>154</v>
      </c>
      <c r="C1543" t="s">
        <v>2023</v>
      </c>
      <c r="D1543" t="s">
        <v>24</v>
      </c>
      <c r="E1543" t="s">
        <v>2032</v>
      </c>
      <c r="F1543" t="s">
        <v>108</v>
      </c>
      <c r="G1543">
        <v>0</v>
      </c>
      <c r="H1543">
        <v>0</v>
      </c>
      <c r="I1543">
        <v>0</v>
      </c>
      <c r="J1543">
        <v>1</v>
      </c>
      <c r="K1543">
        <v>0</v>
      </c>
      <c r="L1543">
        <v>1</v>
      </c>
      <c r="M1543">
        <v>0</v>
      </c>
      <c r="N1543">
        <f t="shared" si="24"/>
        <v>2</v>
      </c>
      <c r="O1543" t="str">
        <f>IF(AND($A1543=Dashboard!$B$3,$B1543=Dashboard!$G$3,$D1543&lt;&gt;"NO_SERVICE"),ROW(),"")</f>
        <v/>
      </c>
    </row>
    <row r="1544" spans="1:15" x14ac:dyDescent="0.25">
      <c r="A1544" t="s">
        <v>1079</v>
      </c>
      <c r="B1544" t="s">
        <v>154</v>
      </c>
      <c r="C1544" t="s">
        <v>2023</v>
      </c>
      <c r="D1544" t="s">
        <v>24</v>
      </c>
      <c r="E1544" t="s">
        <v>2033</v>
      </c>
      <c r="F1544" t="s">
        <v>1217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f t="shared" si="24"/>
        <v>7</v>
      </c>
      <c r="O1544" t="str">
        <f>IF(AND($A1544=Dashboard!$B$3,$B1544=Dashboard!$G$3,$D1544&lt;&gt;"NO_SERVICE"),ROW(),"")</f>
        <v/>
      </c>
    </row>
    <row r="1545" spans="1:15" x14ac:dyDescent="0.25">
      <c r="A1545" t="s">
        <v>1079</v>
      </c>
      <c r="B1545" t="s">
        <v>154</v>
      </c>
      <c r="C1545" t="s">
        <v>2023</v>
      </c>
      <c r="D1545" t="s">
        <v>24</v>
      </c>
      <c r="E1545" t="s">
        <v>2034</v>
      </c>
      <c r="F1545" t="s">
        <v>1914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f t="shared" si="24"/>
        <v>7</v>
      </c>
      <c r="O1545" t="str">
        <f>IF(AND($A1545=Dashboard!$B$3,$B1545=Dashboard!$G$3,$D1545&lt;&gt;"NO_SERVICE"),ROW(),"")</f>
        <v/>
      </c>
    </row>
    <row r="1546" spans="1:15" x14ac:dyDescent="0.25">
      <c r="A1546" t="s">
        <v>1079</v>
      </c>
      <c r="B1546" t="s">
        <v>154</v>
      </c>
      <c r="C1546" t="s">
        <v>2023</v>
      </c>
      <c r="D1546" t="s">
        <v>26</v>
      </c>
      <c r="E1546" t="s">
        <v>2035</v>
      </c>
      <c r="F1546" t="s">
        <v>422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f t="shared" si="24"/>
        <v>7</v>
      </c>
      <c r="O1546" t="str">
        <f>IF(AND($A1546=Dashboard!$B$3,$B1546=Dashboard!$G$3,$D1546&lt;&gt;"NO_SERVICE"),ROW(),"")</f>
        <v/>
      </c>
    </row>
    <row r="1547" spans="1:15" x14ac:dyDescent="0.25">
      <c r="A1547" t="s">
        <v>1079</v>
      </c>
      <c r="B1547" t="s">
        <v>154</v>
      </c>
      <c r="C1547" t="s">
        <v>2023</v>
      </c>
      <c r="D1547" t="s">
        <v>26</v>
      </c>
      <c r="E1547" t="s">
        <v>2036</v>
      </c>
      <c r="F1547" t="s">
        <v>1319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0</v>
      </c>
      <c r="M1547">
        <v>1</v>
      </c>
      <c r="N1547">
        <f t="shared" si="24"/>
        <v>6</v>
      </c>
      <c r="O1547" t="str">
        <f>IF(AND($A1547=Dashboard!$B$3,$B1547=Dashboard!$G$3,$D1547&lt;&gt;"NO_SERVICE"),ROW(),"")</f>
        <v/>
      </c>
    </row>
    <row r="1548" spans="1:15" x14ac:dyDescent="0.25">
      <c r="A1548" t="s">
        <v>1079</v>
      </c>
      <c r="B1548" t="s">
        <v>154</v>
      </c>
      <c r="C1548" t="s">
        <v>2023</v>
      </c>
      <c r="D1548" t="s">
        <v>26</v>
      </c>
      <c r="E1548" t="s">
        <v>2036</v>
      </c>
      <c r="F1548" t="s">
        <v>208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f t="shared" si="24"/>
        <v>1</v>
      </c>
      <c r="O1548" t="str">
        <f>IF(AND($A1548=Dashboard!$B$3,$B1548=Dashboard!$G$3,$D1548&lt;&gt;"NO_SERVICE"),ROW(),"")</f>
        <v/>
      </c>
    </row>
    <row r="1549" spans="1:15" x14ac:dyDescent="0.25">
      <c r="A1549" t="s">
        <v>1079</v>
      </c>
      <c r="B1549" t="s">
        <v>154</v>
      </c>
      <c r="C1549" t="s">
        <v>2023</v>
      </c>
      <c r="D1549" t="s">
        <v>26</v>
      </c>
      <c r="E1549" t="s">
        <v>2037</v>
      </c>
      <c r="F1549" t="s">
        <v>376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0</v>
      </c>
      <c r="M1549">
        <v>1</v>
      </c>
      <c r="N1549">
        <f t="shared" si="24"/>
        <v>6</v>
      </c>
      <c r="O1549" t="str">
        <f>IF(AND($A1549=Dashboard!$B$3,$B1549=Dashboard!$G$3,$D1549&lt;&gt;"NO_SERVICE"),ROW(),"")</f>
        <v/>
      </c>
    </row>
    <row r="1550" spans="1:15" x14ac:dyDescent="0.25">
      <c r="A1550" t="s">
        <v>1079</v>
      </c>
      <c r="B1550" t="s">
        <v>154</v>
      </c>
      <c r="C1550" t="s">
        <v>2023</v>
      </c>
      <c r="D1550" t="s">
        <v>26</v>
      </c>
      <c r="E1550" t="s">
        <v>2038</v>
      </c>
      <c r="F1550" t="s">
        <v>426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f t="shared" si="24"/>
        <v>7</v>
      </c>
      <c r="O1550" t="str">
        <f>IF(AND($A1550=Dashboard!$B$3,$B1550=Dashboard!$G$3,$D1550&lt;&gt;"NO_SERVICE"),ROW(),"")</f>
        <v/>
      </c>
    </row>
    <row r="1551" spans="1:15" x14ac:dyDescent="0.25">
      <c r="A1551" t="s">
        <v>1079</v>
      </c>
      <c r="B1551" t="s">
        <v>154</v>
      </c>
      <c r="C1551" t="s">
        <v>2023</v>
      </c>
      <c r="D1551" t="s">
        <v>26</v>
      </c>
      <c r="E1551" t="s">
        <v>2039</v>
      </c>
      <c r="F1551" t="s">
        <v>402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f t="shared" si="24"/>
        <v>7</v>
      </c>
      <c r="O1551" t="str">
        <f>IF(AND($A1551=Dashboard!$B$3,$B1551=Dashboard!$G$3,$D1551&lt;&gt;"NO_SERVICE"),ROW(),"")</f>
        <v/>
      </c>
    </row>
    <row r="1552" spans="1:15" x14ac:dyDescent="0.25">
      <c r="A1552" t="s">
        <v>1079</v>
      </c>
      <c r="B1552" t="s">
        <v>154</v>
      </c>
      <c r="C1552" t="s">
        <v>2023</v>
      </c>
      <c r="D1552" t="s">
        <v>21</v>
      </c>
      <c r="E1552" t="s">
        <v>2040</v>
      </c>
      <c r="F1552" t="s">
        <v>1185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f t="shared" si="24"/>
        <v>7</v>
      </c>
      <c r="O1552" t="str">
        <f>IF(AND($A1552=Dashboard!$B$3,$B1552=Dashboard!$G$3,$D1552&lt;&gt;"NO_SERVICE"),ROW(),"")</f>
        <v/>
      </c>
    </row>
    <row r="1553" spans="1:15" x14ac:dyDescent="0.25">
      <c r="A1553" t="s">
        <v>1079</v>
      </c>
      <c r="B1553" t="s">
        <v>154</v>
      </c>
      <c r="C1553" t="s">
        <v>2023</v>
      </c>
      <c r="D1553" t="s">
        <v>21</v>
      </c>
      <c r="E1553" t="s">
        <v>2041</v>
      </c>
      <c r="F1553" t="s">
        <v>637</v>
      </c>
      <c r="G1553">
        <v>0</v>
      </c>
      <c r="H1553">
        <v>0</v>
      </c>
      <c r="I1553">
        <v>1</v>
      </c>
      <c r="J1553">
        <v>0</v>
      </c>
      <c r="K1553">
        <v>1</v>
      </c>
      <c r="L1553">
        <v>0</v>
      </c>
      <c r="M1553">
        <v>1</v>
      </c>
      <c r="N1553">
        <f t="shared" si="24"/>
        <v>3</v>
      </c>
      <c r="O1553" t="str">
        <f>IF(AND($A1553=Dashboard!$B$3,$B1553=Dashboard!$G$3,$D1553&lt;&gt;"NO_SERVICE"),ROW(),"")</f>
        <v/>
      </c>
    </row>
    <row r="1554" spans="1:15" x14ac:dyDescent="0.25">
      <c r="A1554" t="s">
        <v>1079</v>
      </c>
      <c r="B1554" t="s">
        <v>154</v>
      </c>
      <c r="C1554" t="s">
        <v>2023</v>
      </c>
      <c r="D1554" t="s">
        <v>21</v>
      </c>
      <c r="E1554" t="s">
        <v>2042</v>
      </c>
      <c r="F1554" t="s">
        <v>711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0</v>
      </c>
      <c r="M1554">
        <v>1</v>
      </c>
      <c r="N1554">
        <f t="shared" si="24"/>
        <v>6</v>
      </c>
      <c r="O1554" t="str">
        <f>IF(AND($A1554=Dashboard!$B$3,$B1554=Dashboard!$G$3,$D1554&lt;&gt;"NO_SERVICE"),ROW(),"")</f>
        <v/>
      </c>
    </row>
    <row r="1555" spans="1:15" x14ac:dyDescent="0.25">
      <c r="A1555" t="s">
        <v>1079</v>
      </c>
      <c r="B1555" t="s">
        <v>154</v>
      </c>
      <c r="C1555" t="s">
        <v>2023</v>
      </c>
      <c r="D1555" t="s">
        <v>21</v>
      </c>
      <c r="E1555" t="s">
        <v>2043</v>
      </c>
      <c r="F1555" t="s">
        <v>419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f t="shared" si="24"/>
        <v>7</v>
      </c>
      <c r="O1555" t="str">
        <f>IF(AND($A1555=Dashboard!$B$3,$B1555=Dashboard!$G$3,$D1555&lt;&gt;"NO_SERVICE"),ROW(),"")</f>
        <v/>
      </c>
    </row>
    <row r="1556" spans="1:15" x14ac:dyDescent="0.25">
      <c r="A1556" t="s">
        <v>1079</v>
      </c>
      <c r="B1556" t="s">
        <v>154</v>
      </c>
      <c r="C1556" t="s">
        <v>2023</v>
      </c>
      <c r="D1556" t="s">
        <v>21</v>
      </c>
      <c r="E1556" t="s">
        <v>2044</v>
      </c>
      <c r="F1556" t="s">
        <v>322</v>
      </c>
      <c r="G1556">
        <v>1</v>
      </c>
      <c r="H1556">
        <v>0</v>
      </c>
      <c r="I1556">
        <v>1</v>
      </c>
      <c r="J1556">
        <v>0</v>
      </c>
      <c r="K1556">
        <v>1</v>
      </c>
      <c r="L1556">
        <v>0</v>
      </c>
      <c r="M1556">
        <v>1</v>
      </c>
      <c r="N1556">
        <f t="shared" si="24"/>
        <v>4</v>
      </c>
      <c r="O1556" t="str">
        <f>IF(AND($A1556=Dashboard!$B$3,$B1556=Dashboard!$G$3,$D1556&lt;&gt;"NO_SERVICE"),ROW(),"")</f>
        <v/>
      </c>
    </row>
    <row r="1557" spans="1:15" x14ac:dyDescent="0.25">
      <c r="A1557" t="s">
        <v>1079</v>
      </c>
      <c r="B1557" t="s">
        <v>541</v>
      </c>
      <c r="C1557" t="s">
        <v>2045</v>
      </c>
      <c r="D1557" t="s">
        <v>24</v>
      </c>
      <c r="E1557" t="s">
        <v>2046</v>
      </c>
      <c r="F1557" t="s">
        <v>374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f t="shared" si="24"/>
        <v>7</v>
      </c>
      <c r="O1557" t="str">
        <f>IF(AND($A1557=Dashboard!$B$3,$B1557=Dashboard!$G$3,$D1557&lt;&gt;"NO_SERVICE"),ROW(),"")</f>
        <v/>
      </c>
    </row>
    <row r="1558" spans="1:15" x14ac:dyDescent="0.25">
      <c r="A1558" t="s">
        <v>1079</v>
      </c>
      <c r="B1558" t="s">
        <v>541</v>
      </c>
      <c r="C1558" t="s">
        <v>2045</v>
      </c>
      <c r="D1558" t="s">
        <v>24</v>
      </c>
      <c r="E1558" t="s">
        <v>2047</v>
      </c>
      <c r="F1558" t="s">
        <v>182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0</v>
      </c>
      <c r="M1558">
        <v>1</v>
      </c>
      <c r="N1558">
        <f t="shared" si="24"/>
        <v>6</v>
      </c>
      <c r="O1558" t="str">
        <f>IF(AND($A1558=Dashboard!$B$3,$B1558=Dashboard!$G$3,$D1558&lt;&gt;"NO_SERVICE"),ROW(),"")</f>
        <v/>
      </c>
    </row>
    <row r="1559" spans="1:15" x14ac:dyDescent="0.25">
      <c r="A1559" t="s">
        <v>1079</v>
      </c>
      <c r="B1559" t="s">
        <v>541</v>
      </c>
      <c r="C1559" t="s">
        <v>2045</v>
      </c>
      <c r="D1559" t="s">
        <v>24</v>
      </c>
      <c r="E1559" t="s">
        <v>2047</v>
      </c>
      <c r="F1559" t="s">
        <v>589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f t="shared" si="24"/>
        <v>1</v>
      </c>
      <c r="O1559" t="str">
        <f>IF(AND($A1559=Dashboard!$B$3,$B1559=Dashboard!$G$3,$D1559&lt;&gt;"NO_SERVICE"),ROW(),"")</f>
        <v/>
      </c>
    </row>
    <row r="1560" spans="1:15" x14ac:dyDescent="0.25">
      <c r="A1560" t="s">
        <v>1079</v>
      </c>
      <c r="B1560" t="s">
        <v>541</v>
      </c>
      <c r="C1560" t="s">
        <v>2045</v>
      </c>
      <c r="D1560" t="s">
        <v>24</v>
      </c>
      <c r="E1560" t="s">
        <v>2048</v>
      </c>
      <c r="F1560" t="s">
        <v>1334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f t="shared" si="24"/>
        <v>7</v>
      </c>
      <c r="O1560" t="str">
        <f>IF(AND($A1560=Dashboard!$B$3,$B1560=Dashboard!$G$3,$D1560&lt;&gt;"NO_SERVICE"),ROW(),"")</f>
        <v/>
      </c>
    </row>
    <row r="1561" spans="1:15" x14ac:dyDescent="0.25">
      <c r="A1561" t="s">
        <v>1079</v>
      </c>
      <c r="B1561" t="s">
        <v>541</v>
      </c>
      <c r="C1561" t="s">
        <v>2045</v>
      </c>
      <c r="D1561" t="s">
        <v>26</v>
      </c>
      <c r="E1561" t="s">
        <v>2049</v>
      </c>
      <c r="F1561" t="s">
        <v>262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f t="shared" si="24"/>
        <v>7</v>
      </c>
      <c r="O1561" t="str">
        <f>IF(AND($A1561=Dashboard!$B$3,$B1561=Dashboard!$G$3,$D1561&lt;&gt;"NO_SERVICE"),ROW(),"")</f>
        <v/>
      </c>
    </row>
    <row r="1562" spans="1:15" x14ac:dyDescent="0.25">
      <c r="A1562" t="s">
        <v>1079</v>
      </c>
      <c r="B1562" t="s">
        <v>4</v>
      </c>
      <c r="C1562" t="s">
        <v>2050</v>
      </c>
      <c r="D1562" t="s">
        <v>24</v>
      </c>
      <c r="E1562" t="s">
        <v>2051</v>
      </c>
      <c r="F1562" t="s">
        <v>1509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f t="shared" si="24"/>
        <v>7</v>
      </c>
      <c r="O1562" t="str">
        <f>IF(AND($A1562=Dashboard!$B$3,$B1562=Dashboard!$G$3,$D1562&lt;&gt;"NO_SERVICE"),ROW(),"")</f>
        <v/>
      </c>
    </row>
    <row r="1563" spans="1:15" x14ac:dyDescent="0.25">
      <c r="A1563" t="s">
        <v>1079</v>
      </c>
      <c r="B1563" t="s">
        <v>4</v>
      </c>
      <c r="C1563" t="s">
        <v>2050</v>
      </c>
      <c r="D1563" t="s">
        <v>24</v>
      </c>
      <c r="E1563" t="s">
        <v>2052</v>
      </c>
      <c r="F1563" t="s">
        <v>2053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f t="shared" si="24"/>
        <v>7</v>
      </c>
      <c r="O1563" t="str">
        <f>IF(AND($A1563=Dashboard!$B$3,$B1563=Dashboard!$G$3,$D1563&lt;&gt;"NO_SERVICE"),ROW(),"")</f>
        <v/>
      </c>
    </row>
    <row r="1564" spans="1:15" x14ac:dyDescent="0.25">
      <c r="A1564" t="s">
        <v>1079</v>
      </c>
      <c r="B1564" t="s">
        <v>4</v>
      </c>
      <c r="C1564" t="s">
        <v>2050</v>
      </c>
      <c r="D1564" t="s">
        <v>24</v>
      </c>
      <c r="E1564" t="s">
        <v>2054</v>
      </c>
      <c r="F1564" t="s">
        <v>386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f t="shared" si="24"/>
        <v>1</v>
      </c>
      <c r="O1564" t="str">
        <f>IF(AND($A1564=Dashboard!$B$3,$B1564=Dashboard!$G$3,$D1564&lt;&gt;"NO_SERVICE"),ROW(),"")</f>
        <v/>
      </c>
    </row>
    <row r="1565" spans="1:15" x14ac:dyDescent="0.25">
      <c r="A1565" t="s">
        <v>1079</v>
      </c>
      <c r="B1565" t="s">
        <v>4</v>
      </c>
      <c r="C1565" t="s">
        <v>2050</v>
      </c>
      <c r="D1565" t="s">
        <v>24</v>
      </c>
      <c r="E1565" t="s">
        <v>2055</v>
      </c>
      <c r="F1565" t="s">
        <v>386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0</v>
      </c>
      <c r="M1565">
        <v>1</v>
      </c>
      <c r="N1565">
        <f t="shared" si="24"/>
        <v>6</v>
      </c>
      <c r="O1565" t="str">
        <f>IF(AND($A1565=Dashboard!$B$3,$B1565=Dashboard!$G$3,$D1565&lt;&gt;"NO_SERVICE"),ROW(),"")</f>
        <v/>
      </c>
    </row>
    <row r="1566" spans="1:15" x14ac:dyDescent="0.25">
      <c r="A1566" t="s">
        <v>1079</v>
      </c>
      <c r="B1566" t="s">
        <v>4</v>
      </c>
      <c r="C1566" t="s">
        <v>2050</v>
      </c>
      <c r="D1566" t="s">
        <v>24</v>
      </c>
      <c r="E1566" t="s">
        <v>2056</v>
      </c>
      <c r="F1566" t="s">
        <v>422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f t="shared" si="24"/>
        <v>7</v>
      </c>
      <c r="O1566" t="str">
        <f>IF(AND($A1566=Dashboard!$B$3,$B1566=Dashboard!$G$3,$D1566&lt;&gt;"NO_SERVICE"),ROW(),"")</f>
        <v/>
      </c>
    </row>
    <row r="1567" spans="1:15" x14ac:dyDescent="0.25">
      <c r="A1567" t="s">
        <v>1079</v>
      </c>
      <c r="B1567" t="s">
        <v>4</v>
      </c>
      <c r="C1567" t="s">
        <v>2050</v>
      </c>
      <c r="D1567" t="s">
        <v>24</v>
      </c>
      <c r="E1567" t="s">
        <v>2057</v>
      </c>
      <c r="F1567" t="s">
        <v>573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f t="shared" si="24"/>
        <v>7</v>
      </c>
      <c r="O1567" t="str">
        <f>IF(AND($A1567=Dashboard!$B$3,$B1567=Dashboard!$G$3,$D1567&lt;&gt;"NO_SERVICE"),ROW(),"")</f>
        <v/>
      </c>
    </row>
    <row r="1568" spans="1:15" x14ac:dyDescent="0.25">
      <c r="A1568" t="s">
        <v>1079</v>
      </c>
      <c r="B1568" t="s">
        <v>4</v>
      </c>
      <c r="C1568" t="s">
        <v>2050</v>
      </c>
      <c r="D1568" t="s">
        <v>24</v>
      </c>
      <c r="E1568" t="s">
        <v>2058</v>
      </c>
      <c r="F1568" t="s">
        <v>411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0</v>
      </c>
      <c r="M1568">
        <v>1</v>
      </c>
      <c r="N1568">
        <f t="shared" si="24"/>
        <v>6</v>
      </c>
      <c r="O1568" t="str">
        <f>IF(AND($A1568=Dashboard!$B$3,$B1568=Dashboard!$G$3,$D1568&lt;&gt;"NO_SERVICE"),ROW(),"")</f>
        <v/>
      </c>
    </row>
    <row r="1569" spans="1:15" x14ac:dyDescent="0.25">
      <c r="A1569" t="s">
        <v>1079</v>
      </c>
      <c r="B1569" t="s">
        <v>4</v>
      </c>
      <c r="C1569" t="s">
        <v>2050</v>
      </c>
      <c r="D1569" t="s">
        <v>24</v>
      </c>
      <c r="E1569" t="s">
        <v>1621</v>
      </c>
      <c r="F1569" t="s">
        <v>147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0</v>
      </c>
      <c r="M1569">
        <v>1</v>
      </c>
      <c r="N1569">
        <f t="shared" si="24"/>
        <v>6</v>
      </c>
      <c r="O1569" t="str">
        <f>IF(AND($A1569=Dashboard!$B$3,$B1569=Dashboard!$G$3,$D1569&lt;&gt;"NO_SERVICE"),ROW(),"")</f>
        <v/>
      </c>
    </row>
    <row r="1570" spans="1:15" x14ac:dyDescent="0.25">
      <c r="A1570" t="s">
        <v>1079</v>
      </c>
      <c r="B1570" t="s">
        <v>4</v>
      </c>
      <c r="C1570" t="s">
        <v>2050</v>
      </c>
      <c r="D1570" t="s">
        <v>24</v>
      </c>
      <c r="E1570" t="s">
        <v>2059</v>
      </c>
      <c r="F1570" t="s">
        <v>232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f t="shared" si="24"/>
        <v>7</v>
      </c>
      <c r="O1570" t="str">
        <f>IF(AND($A1570=Dashboard!$B$3,$B1570=Dashboard!$G$3,$D1570&lt;&gt;"NO_SERVICE"),ROW(),"")</f>
        <v/>
      </c>
    </row>
    <row r="1571" spans="1:15" x14ac:dyDescent="0.25">
      <c r="A1571" t="s">
        <v>1079</v>
      </c>
      <c r="B1571" t="s">
        <v>4</v>
      </c>
      <c r="C1571" t="s">
        <v>2050</v>
      </c>
      <c r="D1571" t="s">
        <v>24</v>
      </c>
      <c r="E1571" t="s">
        <v>2060</v>
      </c>
      <c r="F1571" t="s">
        <v>303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f t="shared" si="24"/>
        <v>7</v>
      </c>
      <c r="O1571" t="str">
        <f>IF(AND($A1571=Dashboard!$B$3,$B1571=Dashboard!$G$3,$D1571&lt;&gt;"NO_SERVICE"),ROW(),"")</f>
        <v/>
      </c>
    </row>
    <row r="1572" spans="1:15" x14ac:dyDescent="0.25">
      <c r="A1572" t="s">
        <v>1079</v>
      </c>
      <c r="B1572" t="s">
        <v>4</v>
      </c>
      <c r="C1572" t="s">
        <v>2050</v>
      </c>
      <c r="D1572" t="s">
        <v>21</v>
      </c>
      <c r="E1572" t="s">
        <v>2061</v>
      </c>
      <c r="F1572" t="s">
        <v>1305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f t="shared" si="24"/>
        <v>7</v>
      </c>
      <c r="O1572" t="str">
        <f>IF(AND($A1572=Dashboard!$B$3,$B1572=Dashboard!$G$3,$D1572&lt;&gt;"NO_SERVICE"),ROW(),"")</f>
        <v/>
      </c>
    </row>
    <row r="1573" spans="1:15" x14ac:dyDescent="0.25">
      <c r="A1573" t="s">
        <v>1079</v>
      </c>
      <c r="B1573" t="s">
        <v>4</v>
      </c>
      <c r="C1573" t="s">
        <v>2050</v>
      </c>
      <c r="D1573" t="s">
        <v>21</v>
      </c>
      <c r="E1573" t="s">
        <v>2062</v>
      </c>
      <c r="F1573" t="s">
        <v>689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f t="shared" si="24"/>
        <v>7</v>
      </c>
      <c r="O1573" t="str">
        <f>IF(AND($A1573=Dashboard!$B$3,$B1573=Dashboard!$G$3,$D1573&lt;&gt;"NO_SERVICE"),ROW(),"")</f>
        <v/>
      </c>
    </row>
    <row r="1574" spans="1:15" x14ac:dyDescent="0.25">
      <c r="A1574" t="s">
        <v>1079</v>
      </c>
      <c r="B1574" t="s">
        <v>4</v>
      </c>
      <c r="C1574" t="s">
        <v>2050</v>
      </c>
      <c r="D1574" t="s">
        <v>21</v>
      </c>
      <c r="E1574" t="s">
        <v>2063</v>
      </c>
      <c r="F1574" t="s">
        <v>1148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f t="shared" si="24"/>
        <v>7</v>
      </c>
      <c r="O1574" t="str">
        <f>IF(AND($A1574=Dashboard!$B$3,$B1574=Dashboard!$G$3,$D1574&lt;&gt;"NO_SERVICE"),ROW(),"")</f>
        <v/>
      </c>
    </row>
    <row r="1575" spans="1:15" x14ac:dyDescent="0.25">
      <c r="A1575" t="s">
        <v>1079</v>
      </c>
      <c r="B1575" t="s">
        <v>4</v>
      </c>
      <c r="C1575" t="s">
        <v>2050</v>
      </c>
      <c r="D1575" t="s">
        <v>21</v>
      </c>
      <c r="E1575" t="s">
        <v>2064</v>
      </c>
      <c r="F1575" t="s">
        <v>119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f t="shared" si="24"/>
        <v>7</v>
      </c>
      <c r="O1575" t="str">
        <f>IF(AND($A1575=Dashboard!$B$3,$B1575=Dashboard!$G$3,$D1575&lt;&gt;"NO_SERVICE"),ROW(),"")</f>
        <v/>
      </c>
    </row>
    <row r="1576" spans="1:15" x14ac:dyDescent="0.25">
      <c r="A1576" t="s">
        <v>1079</v>
      </c>
      <c r="B1576" t="s">
        <v>4</v>
      </c>
      <c r="C1576" t="s">
        <v>2050</v>
      </c>
      <c r="D1576" t="s">
        <v>21</v>
      </c>
      <c r="E1576" t="s">
        <v>2065</v>
      </c>
      <c r="F1576" t="s">
        <v>890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f t="shared" si="24"/>
        <v>7</v>
      </c>
      <c r="O1576" t="str">
        <f>IF(AND($A1576=Dashboard!$B$3,$B1576=Dashboard!$G$3,$D1576&lt;&gt;"NO_SERVICE"),ROW(),"")</f>
        <v/>
      </c>
    </row>
    <row r="1577" spans="1:15" x14ac:dyDescent="0.25">
      <c r="A1577" t="s">
        <v>1079</v>
      </c>
      <c r="B1577" t="s">
        <v>4</v>
      </c>
      <c r="C1577" t="s">
        <v>2050</v>
      </c>
      <c r="D1577" t="s">
        <v>21</v>
      </c>
      <c r="E1577" t="s">
        <v>2066</v>
      </c>
      <c r="F1577" t="s">
        <v>291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0</v>
      </c>
      <c r="M1577">
        <v>1</v>
      </c>
      <c r="N1577">
        <f t="shared" si="24"/>
        <v>6</v>
      </c>
      <c r="O1577" t="str">
        <f>IF(AND($A1577=Dashboard!$B$3,$B1577=Dashboard!$G$3,$D1577&lt;&gt;"NO_SERVICE"),ROW(),"")</f>
        <v/>
      </c>
    </row>
    <row r="1578" spans="1:15" x14ac:dyDescent="0.25">
      <c r="A1578" t="s">
        <v>1079</v>
      </c>
      <c r="B1578" t="s">
        <v>4</v>
      </c>
      <c r="C1578" t="s">
        <v>2050</v>
      </c>
      <c r="D1578" t="s">
        <v>21</v>
      </c>
      <c r="E1578" t="s">
        <v>2067</v>
      </c>
      <c r="F1578" t="s">
        <v>478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f t="shared" si="24"/>
        <v>7</v>
      </c>
      <c r="O1578" t="str">
        <f>IF(AND($A1578=Dashboard!$B$3,$B1578=Dashboard!$G$3,$D1578&lt;&gt;"NO_SERVICE"),ROW(),"")</f>
        <v/>
      </c>
    </row>
    <row r="1579" spans="1:15" x14ac:dyDescent="0.25">
      <c r="A1579" t="s">
        <v>1079</v>
      </c>
      <c r="B1579" t="s">
        <v>4</v>
      </c>
      <c r="C1579" t="s">
        <v>2050</v>
      </c>
      <c r="D1579" t="s">
        <v>21</v>
      </c>
      <c r="E1579" t="s">
        <v>2068</v>
      </c>
      <c r="F1579" t="s">
        <v>272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f t="shared" si="24"/>
        <v>7</v>
      </c>
      <c r="O1579" t="str">
        <f>IF(AND($A1579=Dashboard!$B$3,$B1579=Dashboard!$G$3,$D1579&lt;&gt;"NO_SERVICE"),ROW(),"")</f>
        <v/>
      </c>
    </row>
    <row r="1580" spans="1:15" x14ac:dyDescent="0.25">
      <c r="A1580" t="s">
        <v>1079</v>
      </c>
      <c r="B1580" t="s">
        <v>4</v>
      </c>
      <c r="C1580" t="s">
        <v>2050</v>
      </c>
      <c r="D1580" t="s">
        <v>21</v>
      </c>
      <c r="E1580" t="s">
        <v>2069</v>
      </c>
      <c r="F1580" t="s">
        <v>1212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f t="shared" si="24"/>
        <v>7</v>
      </c>
      <c r="O1580" t="str">
        <f>IF(AND($A1580=Dashboard!$B$3,$B1580=Dashboard!$G$3,$D1580&lt;&gt;"NO_SERVICE"),ROW(),"")</f>
        <v/>
      </c>
    </row>
    <row r="1581" spans="1:15" x14ac:dyDescent="0.25">
      <c r="A1581" t="s">
        <v>1079</v>
      </c>
      <c r="B1581" t="s">
        <v>4</v>
      </c>
      <c r="C1581" t="s">
        <v>2050</v>
      </c>
      <c r="D1581" t="s">
        <v>29</v>
      </c>
      <c r="E1581" t="s">
        <v>2070</v>
      </c>
      <c r="F1581" t="s">
        <v>2071</v>
      </c>
      <c r="G1581">
        <v>0</v>
      </c>
      <c r="H1581">
        <v>0</v>
      </c>
      <c r="I1581">
        <v>1</v>
      </c>
      <c r="J1581">
        <v>0</v>
      </c>
      <c r="K1581">
        <v>1</v>
      </c>
      <c r="L1581">
        <v>0</v>
      </c>
      <c r="M1581">
        <v>1</v>
      </c>
      <c r="N1581">
        <f t="shared" si="24"/>
        <v>3</v>
      </c>
      <c r="O1581" t="str">
        <f>IF(AND($A1581=Dashboard!$B$3,$B1581=Dashboard!$G$3,$D1581&lt;&gt;"NO_SERVICE"),ROW(),"")</f>
        <v/>
      </c>
    </row>
    <row r="1582" spans="1:15" x14ac:dyDescent="0.25">
      <c r="A1582" t="s">
        <v>1079</v>
      </c>
      <c r="B1582" t="s">
        <v>4</v>
      </c>
      <c r="C1582" t="s">
        <v>2050</v>
      </c>
      <c r="D1582" t="s">
        <v>29</v>
      </c>
      <c r="E1582" t="s">
        <v>2072</v>
      </c>
      <c r="F1582" t="s">
        <v>319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f t="shared" si="24"/>
        <v>7</v>
      </c>
      <c r="O1582" t="str">
        <f>IF(AND($A1582=Dashboard!$B$3,$B1582=Dashboard!$G$3,$D1582&lt;&gt;"NO_SERVICE"),ROW(),"")</f>
        <v/>
      </c>
    </row>
    <row r="1583" spans="1:15" x14ac:dyDescent="0.25">
      <c r="A1583" t="s">
        <v>1079</v>
      </c>
      <c r="B1583" t="s">
        <v>4</v>
      </c>
      <c r="C1583" t="s">
        <v>2050</v>
      </c>
      <c r="D1583" t="s">
        <v>26</v>
      </c>
      <c r="E1583" t="s">
        <v>2073</v>
      </c>
      <c r="F1583" t="s">
        <v>356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f t="shared" si="24"/>
        <v>7</v>
      </c>
      <c r="O1583" t="str">
        <f>IF(AND($A1583=Dashboard!$B$3,$B1583=Dashboard!$G$3,$D1583&lt;&gt;"NO_SERVICE"),ROW(),"")</f>
        <v/>
      </c>
    </row>
    <row r="1584" spans="1:15" x14ac:dyDescent="0.25">
      <c r="A1584" t="s">
        <v>1079</v>
      </c>
      <c r="B1584" t="s">
        <v>4</v>
      </c>
      <c r="C1584" t="s">
        <v>2050</v>
      </c>
      <c r="D1584" t="s">
        <v>26</v>
      </c>
      <c r="E1584" t="s">
        <v>2074</v>
      </c>
      <c r="F1584" t="s">
        <v>593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0</v>
      </c>
      <c r="M1584">
        <v>1</v>
      </c>
      <c r="N1584">
        <f t="shared" si="24"/>
        <v>6</v>
      </c>
      <c r="O1584" t="str">
        <f>IF(AND($A1584=Dashboard!$B$3,$B1584=Dashboard!$G$3,$D1584&lt;&gt;"NO_SERVICE"),ROW(),"")</f>
        <v/>
      </c>
    </row>
    <row r="1585" spans="1:15" x14ac:dyDescent="0.25">
      <c r="A1585" t="s">
        <v>1079</v>
      </c>
      <c r="B1585" t="s">
        <v>4</v>
      </c>
      <c r="C1585" t="s">
        <v>2050</v>
      </c>
      <c r="D1585" t="s">
        <v>26</v>
      </c>
      <c r="E1585" t="s">
        <v>2075</v>
      </c>
      <c r="F1585" t="s">
        <v>90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f t="shared" si="24"/>
        <v>7</v>
      </c>
      <c r="O1585" t="str">
        <f>IF(AND($A1585=Dashboard!$B$3,$B1585=Dashboard!$G$3,$D1585&lt;&gt;"NO_SERVICE"),ROW(),"")</f>
        <v/>
      </c>
    </row>
    <row r="1586" spans="1:15" x14ac:dyDescent="0.25">
      <c r="A1586" t="s">
        <v>1079</v>
      </c>
      <c r="B1586" t="s">
        <v>4</v>
      </c>
      <c r="C1586" t="s">
        <v>2050</v>
      </c>
      <c r="D1586" t="s">
        <v>21</v>
      </c>
      <c r="E1586" t="s">
        <v>2076</v>
      </c>
      <c r="F1586" t="s">
        <v>119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0</v>
      </c>
      <c r="M1586">
        <v>1</v>
      </c>
      <c r="N1586">
        <f t="shared" si="24"/>
        <v>6</v>
      </c>
      <c r="O1586" t="str">
        <f>IF(AND($A1586=Dashboard!$B$3,$B1586=Dashboard!$G$3,$D1586&lt;&gt;"NO_SERVICE"),ROW(),"")</f>
        <v/>
      </c>
    </row>
    <row r="1587" spans="1:15" x14ac:dyDescent="0.25">
      <c r="A1587" t="s">
        <v>1079</v>
      </c>
      <c r="B1587" t="s">
        <v>4</v>
      </c>
      <c r="C1587" t="s">
        <v>2050</v>
      </c>
      <c r="D1587" t="s">
        <v>21</v>
      </c>
      <c r="E1587" t="s">
        <v>2076</v>
      </c>
      <c r="F1587" t="s">
        <v>772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0</v>
      </c>
      <c r="N1587">
        <f t="shared" si="24"/>
        <v>1</v>
      </c>
      <c r="O1587" t="str">
        <f>IF(AND($A1587=Dashboard!$B$3,$B1587=Dashboard!$G$3,$D1587&lt;&gt;"NO_SERVICE"),ROW(),"")</f>
        <v/>
      </c>
    </row>
    <row r="1588" spans="1:15" x14ac:dyDescent="0.25">
      <c r="A1588" t="s">
        <v>1079</v>
      </c>
      <c r="B1588" t="s">
        <v>4</v>
      </c>
      <c r="C1588" t="s">
        <v>2050</v>
      </c>
      <c r="D1588" t="s">
        <v>21</v>
      </c>
      <c r="E1588" t="s">
        <v>2077</v>
      </c>
      <c r="F1588" t="s">
        <v>462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f t="shared" si="24"/>
        <v>7</v>
      </c>
      <c r="O1588" t="str">
        <f>IF(AND($A1588=Dashboard!$B$3,$B1588=Dashboard!$G$3,$D1588&lt;&gt;"NO_SERVICE"),ROW(),"")</f>
        <v/>
      </c>
    </row>
    <row r="1589" spans="1:15" x14ac:dyDescent="0.25">
      <c r="A1589" t="s">
        <v>1079</v>
      </c>
      <c r="B1589" t="s">
        <v>904</v>
      </c>
      <c r="C1589" t="s">
        <v>2078</v>
      </c>
      <c r="D1589" t="s">
        <v>24</v>
      </c>
      <c r="E1589" t="s">
        <v>2079</v>
      </c>
      <c r="F1589" t="s">
        <v>1370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f t="shared" si="24"/>
        <v>7</v>
      </c>
      <c r="O1589" t="str">
        <f>IF(AND($A1589=Dashboard!$B$3,$B1589=Dashboard!$G$3,$D1589&lt;&gt;"NO_SERVICE"),ROW(),"")</f>
        <v/>
      </c>
    </row>
    <row r="1590" spans="1:15" x14ac:dyDescent="0.25">
      <c r="A1590" t="s">
        <v>1079</v>
      </c>
      <c r="B1590" t="s">
        <v>904</v>
      </c>
      <c r="C1590" t="s">
        <v>2078</v>
      </c>
      <c r="D1590" t="s">
        <v>24</v>
      </c>
      <c r="E1590" t="s">
        <v>2080</v>
      </c>
      <c r="F1590" t="s">
        <v>1197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f t="shared" si="24"/>
        <v>7</v>
      </c>
      <c r="O1590" t="str">
        <f>IF(AND($A1590=Dashboard!$B$3,$B1590=Dashboard!$G$3,$D1590&lt;&gt;"NO_SERVICE"),ROW(),"")</f>
        <v/>
      </c>
    </row>
    <row r="1591" spans="1:15" x14ac:dyDescent="0.25">
      <c r="A1591" t="s">
        <v>1079</v>
      </c>
      <c r="B1591" t="s">
        <v>904</v>
      </c>
      <c r="C1591" t="s">
        <v>2078</v>
      </c>
      <c r="D1591" t="s">
        <v>24</v>
      </c>
      <c r="E1591" t="s">
        <v>2081</v>
      </c>
      <c r="F1591" t="s">
        <v>315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0</v>
      </c>
      <c r="M1591">
        <v>1</v>
      </c>
      <c r="N1591">
        <f t="shared" si="24"/>
        <v>6</v>
      </c>
      <c r="O1591" t="str">
        <f>IF(AND($A1591=Dashboard!$B$3,$B1591=Dashboard!$G$3,$D1591&lt;&gt;"NO_SERVICE"),ROW(),"")</f>
        <v/>
      </c>
    </row>
    <row r="1592" spans="1:15" x14ac:dyDescent="0.25">
      <c r="A1592" t="s">
        <v>1079</v>
      </c>
      <c r="B1592" t="s">
        <v>904</v>
      </c>
      <c r="C1592" t="s">
        <v>2078</v>
      </c>
      <c r="D1592" t="s">
        <v>24</v>
      </c>
      <c r="E1592" t="s">
        <v>1545</v>
      </c>
      <c r="F1592" t="s">
        <v>1546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0</v>
      </c>
      <c r="M1592">
        <v>1</v>
      </c>
      <c r="N1592">
        <f t="shared" si="24"/>
        <v>6</v>
      </c>
      <c r="O1592" t="str">
        <f>IF(AND($A1592=Dashboard!$B$3,$B1592=Dashboard!$G$3,$D1592&lt;&gt;"NO_SERVICE"),ROW(),"")</f>
        <v/>
      </c>
    </row>
    <row r="1593" spans="1:15" x14ac:dyDescent="0.25">
      <c r="A1593" t="s">
        <v>1079</v>
      </c>
      <c r="B1593" t="s">
        <v>904</v>
      </c>
      <c r="C1593" t="s">
        <v>2078</v>
      </c>
      <c r="D1593" t="s">
        <v>24</v>
      </c>
      <c r="E1593" t="s">
        <v>2082</v>
      </c>
      <c r="F1593" t="s">
        <v>729</v>
      </c>
      <c r="G1593">
        <v>1</v>
      </c>
      <c r="H1593">
        <v>0</v>
      </c>
      <c r="I1593">
        <v>0</v>
      </c>
      <c r="J1593">
        <v>1</v>
      </c>
      <c r="K1593">
        <v>0</v>
      </c>
      <c r="L1593">
        <v>0</v>
      </c>
      <c r="M1593">
        <v>0</v>
      </c>
      <c r="N1593">
        <f t="shared" si="24"/>
        <v>2</v>
      </c>
      <c r="O1593" t="str">
        <f>IF(AND($A1593=Dashboard!$B$3,$B1593=Dashboard!$G$3,$D1593&lt;&gt;"NO_SERVICE"),ROW(),"")</f>
        <v/>
      </c>
    </row>
    <row r="1594" spans="1:15" x14ac:dyDescent="0.25">
      <c r="A1594" t="s">
        <v>1079</v>
      </c>
      <c r="B1594" t="s">
        <v>904</v>
      </c>
      <c r="C1594" t="s">
        <v>2078</v>
      </c>
      <c r="D1594" t="s">
        <v>24</v>
      </c>
      <c r="E1594" t="s">
        <v>2083</v>
      </c>
      <c r="F1594" t="s">
        <v>266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f t="shared" si="24"/>
        <v>1</v>
      </c>
      <c r="O1594" t="str">
        <f>IF(AND($A1594=Dashboard!$B$3,$B1594=Dashboard!$G$3,$D1594&lt;&gt;"NO_SERVICE"),ROW(),"")</f>
        <v/>
      </c>
    </row>
    <row r="1595" spans="1:15" x14ac:dyDescent="0.25">
      <c r="A1595" t="s">
        <v>1079</v>
      </c>
      <c r="B1595" t="s">
        <v>904</v>
      </c>
      <c r="C1595" t="s">
        <v>2078</v>
      </c>
      <c r="D1595" t="s">
        <v>24</v>
      </c>
      <c r="E1595" t="s">
        <v>2032</v>
      </c>
      <c r="F1595" t="s">
        <v>108</v>
      </c>
      <c r="G1595">
        <v>1</v>
      </c>
      <c r="H1595">
        <v>1</v>
      </c>
      <c r="I1595">
        <v>1</v>
      </c>
      <c r="J1595">
        <v>0</v>
      </c>
      <c r="K1595">
        <v>1</v>
      </c>
      <c r="L1595">
        <v>0</v>
      </c>
      <c r="M1595">
        <v>1</v>
      </c>
      <c r="N1595">
        <f t="shared" si="24"/>
        <v>5</v>
      </c>
      <c r="O1595" t="str">
        <f>IF(AND($A1595=Dashboard!$B$3,$B1595=Dashboard!$G$3,$D1595&lt;&gt;"NO_SERVICE"),ROW(),"")</f>
        <v/>
      </c>
    </row>
    <row r="1596" spans="1:15" x14ac:dyDescent="0.25">
      <c r="A1596" t="s">
        <v>1079</v>
      </c>
      <c r="B1596" t="s">
        <v>904</v>
      </c>
      <c r="C1596" t="s">
        <v>2078</v>
      </c>
      <c r="D1596" t="s">
        <v>24</v>
      </c>
      <c r="E1596" t="s">
        <v>2084</v>
      </c>
      <c r="F1596" t="s">
        <v>1265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f t="shared" si="24"/>
        <v>7</v>
      </c>
      <c r="O1596" t="str">
        <f>IF(AND($A1596=Dashboard!$B$3,$B1596=Dashboard!$G$3,$D1596&lt;&gt;"NO_SERVICE"),ROW(),"")</f>
        <v/>
      </c>
    </row>
    <row r="1597" spans="1:15" x14ac:dyDescent="0.25">
      <c r="A1597" t="s">
        <v>1079</v>
      </c>
      <c r="B1597" t="s">
        <v>1004</v>
      </c>
      <c r="C1597" t="s">
        <v>2085</v>
      </c>
      <c r="D1597" t="s">
        <v>24</v>
      </c>
      <c r="E1597" t="s">
        <v>2086</v>
      </c>
      <c r="F1597" t="s">
        <v>1455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f t="shared" si="24"/>
        <v>7</v>
      </c>
      <c r="O1597" t="str">
        <f>IF(AND($A1597=Dashboard!$B$3,$B1597=Dashboard!$G$3,$D1597&lt;&gt;"NO_SERVICE"),ROW(),"")</f>
        <v/>
      </c>
    </row>
    <row r="1598" spans="1:15" x14ac:dyDescent="0.25">
      <c r="A1598" t="s">
        <v>1079</v>
      </c>
      <c r="B1598" t="s">
        <v>1004</v>
      </c>
      <c r="C1598" t="s">
        <v>2085</v>
      </c>
      <c r="D1598" t="s">
        <v>24</v>
      </c>
      <c r="E1598" t="s">
        <v>2087</v>
      </c>
      <c r="F1598" t="s">
        <v>199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f t="shared" si="24"/>
        <v>7</v>
      </c>
      <c r="O1598" t="str">
        <f>IF(AND($A1598=Dashboard!$B$3,$B1598=Dashboard!$G$3,$D1598&lt;&gt;"NO_SERVICE"),ROW(),"")</f>
        <v/>
      </c>
    </row>
    <row r="1599" spans="1:15" x14ac:dyDescent="0.25">
      <c r="A1599" t="s">
        <v>1079</v>
      </c>
      <c r="B1599" t="s">
        <v>1004</v>
      </c>
      <c r="C1599" t="s">
        <v>2085</v>
      </c>
      <c r="D1599" t="s">
        <v>24</v>
      </c>
      <c r="E1599" t="s">
        <v>2088</v>
      </c>
      <c r="F1599" t="s">
        <v>163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0</v>
      </c>
      <c r="M1599">
        <v>1</v>
      </c>
      <c r="N1599">
        <f t="shared" si="24"/>
        <v>6</v>
      </c>
      <c r="O1599" t="str">
        <f>IF(AND($A1599=Dashboard!$B$3,$B1599=Dashboard!$G$3,$D1599&lt;&gt;"NO_SERVICE"),ROW(),"")</f>
        <v/>
      </c>
    </row>
    <row r="1600" spans="1:15" x14ac:dyDescent="0.25">
      <c r="A1600" t="s">
        <v>1079</v>
      </c>
      <c r="B1600" t="s">
        <v>1004</v>
      </c>
      <c r="C1600" t="s">
        <v>2085</v>
      </c>
      <c r="D1600" t="s">
        <v>24</v>
      </c>
      <c r="E1600" t="s">
        <v>2089</v>
      </c>
      <c r="F1600" t="s">
        <v>317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f t="shared" si="24"/>
        <v>7</v>
      </c>
      <c r="O1600" t="str">
        <f>IF(AND($A1600=Dashboard!$B$3,$B1600=Dashboard!$G$3,$D1600&lt;&gt;"NO_SERVICE"),ROW(),"")</f>
        <v/>
      </c>
    </row>
    <row r="1601" spans="1:15" x14ac:dyDescent="0.25">
      <c r="A1601" t="s">
        <v>1079</v>
      </c>
      <c r="B1601" t="s">
        <v>1004</v>
      </c>
      <c r="C1601" t="s">
        <v>2085</v>
      </c>
      <c r="D1601" t="s">
        <v>24</v>
      </c>
      <c r="E1601" t="s">
        <v>2090</v>
      </c>
      <c r="F1601" t="s">
        <v>473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f t="shared" si="24"/>
        <v>7</v>
      </c>
      <c r="O1601" t="str">
        <f>IF(AND($A1601=Dashboard!$B$3,$B1601=Dashboard!$G$3,$D1601&lt;&gt;"NO_SERVICE"),ROW(),"")</f>
        <v/>
      </c>
    </row>
    <row r="1602" spans="1:15" x14ac:dyDescent="0.25">
      <c r="A1602" t="s">
        <v>1079</v>
      </c>
      <c r="B1602" t="s">
        <v>1004</v>
      </c>
      <c r="C1602" t="s">
        <v>2085</v>
      </c>
      <c r="D1602" t="s">
        <v>21</v>
      </c>
      <c r="E1602" t="s">
        <v>2091</v>
      </c>
      <c r="F1602" t="s">
        <v>1509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f t="shared" ref="N1602:N1665" si="25">SUM(G1602:M1602)</f>
        <v>7</v>
      </c>
      <c r="O1602" t="str">
        <f>IF(AND($A1602=Dashboard!$B$3,$B1602=Dashboard!$G$3,$D1602&lt;&gt;"NO_SERVICE"),ROW(),"")</f>
        <v/>
      </c>
    </row>
    <row r="1603" spans="1:15" x14ac:dyDescent="0.25">
      <c r="A1603" t="s">
        <v>1004</v>
      </c>
      <c r="B1603" t="s">
        <v>2</v>
      </c>
      <c r="C1603" t="s">
        <v>2092</v>
      </c>
      <c r="D1603" t="s">
        <v>24</v>
      </c>
      <c r="E1603" t="s">
        <v>2093</v>
      </c>
      <c r="F1603" t="s">
        <v>2094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f t="shared" si="25"/>
        <v>7</v>
      </c>
      <c r="O1603" t="str">
        <f>IF(AND($A1603=Dashboard!$B$3,$B1603=Dashboard!$G$3,$D1603&lt;&gt;"NO_SERVICE"),ROW(),"")</f>
        <v/>
      </c>
    </row>
    <row r="1604" spans="1:15" x14ac:dyDescent="0.25">
      <c r="A1604" t="s">
        <v>1004</v>
      </c>
      <c r="B1604" t="s">
        <v>2</v>
      </c>
      <c r="C1604" t="s">
        <v>2092</v>
      </c>
      <c r="D1604" t="s">
        <v>24</v>
      </c>
      <c r="E1604" t="s">
        <v>2095</v>
      </c>
      <c r="F1604" t="s">
        <v>1321</v>
      </c>
      <c r="G1604">
        <v>0</v>
      </c>
      <c r="H1604">
        <v>1</v>
      </c>
      <c r="I1604">
        <v>0</v>
      </c>
      <c r="J1604">
        <v>1</v>
      </c>
      <c r="K1604">
        <v>0</v>
      </c>
      <c r="L1604">
        <v>1</v>
      </c>
      <c r="M1604">
        <v>0</v>
      </c>
      <c r="N1604">
        <f t="shared" si="25"/>
        <v>3</v>
      </c>
      <c r="O1604" t="str">
        <f>IF(AND($A1604=Dashboard!$B$3,$B1604=Dashboard!$G$3,$D1604&lt;&gt;"NO_SERVICE"),ROW(),"")</f>
        <v/>
      </c>
    </row>
    <row r="1605" spans="1:15" x14ac:dyDescent="0.25">
      <c r="A1605" t="s">
        <v>1004</v>
      </c>
      <c r="B1605" t="s">
        <v>2</v>
      </c>
      <c r="C1605" t="s">
        <v>2092</v>
      </c>
      <c r="D1605" t="s">
        <v>24</v>
      </c>
      <c r="E1605" t="s">
        <v>2096</v>
      </c>
      <c r="F1605" t="s">
        <v>628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f t="shared" si="25"/>
        <v>7</v>
      </c>
      <c r="O1605" t="str">
        <f>IF(AND($A1605=Dashboard!$B$3,$B1605=Dashboard!$G$3,$D1605&lt;&gt;"NO_SERVICE"),ROW(),"")</f>
        <v/>
      </c>
    </row>
    <row r="1606" spans="1:15" x14ac:dyDescent="0.25">
      <c r="A1606" t="s">
        <v>1004</v>
      </c>
      <c r="B1606" t="s">
        <v>2</v>
      </c>
      <c r="C1606" t="s">
        <v>2092</v>
      </c>
      <c r="D1606" t="s">
        <v>26</v>
      </c>
      <c r="E1606" t="s">
        <v>2097</v>
      </c>
      <c r="F1606" t="s">
        <v>685</v>
      </c>
      <c r="G1606">
        <v>0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f t="shared" si="25"/>
        <v>1</v>
      </c>
      <c r="O1606" t="str">
        <f>IF(AND($A1606=Dashboard!$B$3,$B1606=Dashboard!$G$3,$D1606&lt;&gt;"NO_SERVICE"),ROW(),"")</f>
        <v/>
      </c>
    </row>
    <row r="1607" spans="1:15" x14ac:dyDescent="0.25">
      <c r="A1607" t="s">
        <v>1004</v>
      </c>
      <c r="B1607" t="s">
        <v>353</v>
      </c>
      <c r="C1607" t="s">
        <v>2098</v>
      </c>
      <c r="D1607" t="s">
        <v>24</v>
      </c>
      <c r="E1607" t="s">
        <v>2099</v>
      </c>
      <c r="F1607" t="s">
        <v>1827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f t="shared" si="25"/>
        <v>7</v>
      </c>
      <c r="O1607" t="str">
        <f>IF(AND($A1607=Dashboard!$B$3,$B1607=Dashboard!$G$3,$D1607&lt;&gt;"NO_SERVICE"),ROW(),"")</f>
        <v/>
      </c>
    </row>
    <row r="1608" spans="1:15" x14ac:dyDescent="0.25">
      <c r="A1608" t="s">
        <v>1004</v>
      </c>
      <c r="B1608" t="s">
        <v>353</v>
      </c>
      <c r="C1608" t="s">
        <v>2098</v>
      </c>
      <c r="D1608" t="s">
        <v>24</v>
      </c>
      <c r="E1608" t="s">
        <v>2100</v>
      </c>
      <c r="F1608" t="s">
        <v>395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f t="shared" si="25"/>
        <v>2</v>
      </c>
      <c r="O1608" t="str">
        <f>IF(AND($A1608=Dashboard!$B$3,$B1608=Dashboard!$G$3,$D1608&lt;&gt;"NO_SERVICE"),ROW(),"")</f>
        <v/>
      </c>
    </row>
    <row r="1609" spans="1:15" x14ac:dyDescent="0.25">
      <c r="A1609" t="s">
        <v>1004</v>
      </c>
      <c r="B1609" t="s">
        <v>353</v>
      </c>
      <c r="C1609" t="s">
        <v>2098</v>
      </c>
      <c r="D1609" t="s">
        <v>24</v>
      </c>
      <c r="E1609" t="s">
        <v>2101</v>
      </c>
      <c r="F1609" t="s">
        <v>276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f t="shared" si="25"/>
        <v>7</v>
      </c>
      <c r="O1609" t="str">
        <f>IF(AND($A1609=Dashboard!$B$3,$B1609=Dashboard!$G$3,$D1609&lt;&gt;"NO_SERVICE"),ROW(),"")</f>
        <v/>
      </c>
    </row>
    <row r="1610" spans="1:15" x14ac:dyDescent="0.25">
      <c r="A1610" t="s">
        <v>1004</v>
      </c>
      <c r="B1610" t="s">
        <v>353</v>
      </c>
      <c r="C1610" t="s">
        <v>2098</v>
      </c>
      <c r="D1610" t="s">
        <v>24</v>
      </c>
      <c r="E1610" t="s">
        <v>2102</v>
      </c>
      <c r="F1610" t="s">
        <v>131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f t="shared" si="25"/>
        <v>7</v>
      </c>
      <c r="O1610" t="str">
        <f>IF(AND($A1610=Dashboard!$B$3,$B1610=Dashboard!$G$3,$D1610&lt;&gt;"NO_SERVICE"),ROW(),"")</f>
        <v/>
      </c>
    </row>
    <row r="1611" spans="1:15" x14ac:dyDescent="0.25">
      <c r="A1611" t="s">
        <v>1004</v>
      </c>
      <c r="B1611" t="s">
        <v>353</v>
      </c>
      <c r="C1611" t="s">
        <v>2098</v>
      </c>
      <c r="D1611" t="s">
        <v>24</v>
      </c>
      <c r="E1611" t="s">
        <v>2103</v>
      </c>
      <c r="F1611" t="s">
        <v>832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f t="shared" si="25"/>
        <v>7</v>
      </c>
      <c r="O1611" t="str">
        <f>IF(AND($A1611=Dashboard!$B$3,$B1611=Dashboard!$G$3,$D1611&lt;&gt;"NO_SERVICE"),ROW(),"")</f>
        <v/>
      </c>
    </row>
    <row r="1612" spans="1:15" x14ac:dyDescent="0.25">
      <c r="A1612" t="s">
        <v>1004</v>
      </c>
      <c r="B1612" t="s">
        <v>353</v>
      </c>
      <c r="C1612" t="s">
        <v>2098</v>
      </c>
      <c r="D1612" t="s">
        <v>24</v>
      </c>
      <c r="E1612" t="s">
        <v>2104</v>
      </c>
      <c r="F1612" t="s">
        <v>368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f t="shared" si="25"/>
        <v>7</v>
      </c>
      <c r="O1612" t="str">
        <f>IF(AND($A1612=Dashboard!$B$3,$B1612=Dashboard!$G$3,$D1612&lt;&gt;"NO_SERVICE"),ROW(),"")</f>
        <v/>
      </c>
    </row>
    <row r="1613" spans="1:15" x14ac:dyDescent="0.25">
      <c r="A1613" t="s">
        <v>1004</v>
      </c>
      <c r="B1613" t="s">
        <v>353</v>
      </c>
      <c r="C1613" t="s">
        <v>2098</v>
      </c>
      <c r="D1613" t="s">
        <v>24</v>
      </c>
      <c r="E1613" t="s">
        <v>2105</v>
      </c>
      <c r="F1613" t="s">
        <v>147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f t="shared" si="25"/>
        <v>7</v>
      </c>
      <c r="O1613" t="str">
        <f>IF(AND($A1613=Dashboard!$B$3,$B1613=Dashboard!$G$3,$D1613&lt;&gt;"NO_SERVICE"),ROW(),"")</f>
        <v/>
      </c>
    </row>
    <row r="1614" spans="1:15" x14ac:dyDescent="0.25">
      <c r="A1614" t="s">
        <v>1004</v>
      </c>
      <c r="B1614" t="s">
        <v>353</v>
      </c>
      <c r="C1614" t="s">
        <v>2098</v>
      </c>
      <c r="D1614" t="s">
        <v>24</v>
      </c>
      <c r="E1614" t="s">
        <v>2106</v>
      </c>
      <c r="F1614" t="s">
        <v>400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f t="shared" si="25"/>
        <v>7</v>
      </c>
      <c r="O1614" t="str">
        <f>IF(AND($A1614=Dashboard!$B$3,$B1614=Dashboard!$G$3,$D1614&lt;&gt;"NO_SERVICE"),ROW(),"")</f>
        <v/>
      </c>
    </row>
    <row r="1615" spans="1:15" x14ac:dyDescent="0.25">
      <c r="A1615" t="s">
        <v>1004</v>
      </c>
      <c r="B1615" t="s">
        <v>353</v>
      </c>
      <c r="C1615" t="s">
        <v>2098</v>
      </c>
      <c r="D1615" t="s">
        <v>24</v>
      </c>
      <c r="E1615" t="s">
        <v>2107</v>
      </c>
      <c r="F1615" t="s">
        <v>435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f t="shared" si="25"/>
        <v>7</v>
      </c>
      <c r="O1615" t="str">
        <f>IF(AND($A1615=Dashboard!$B$3,$B1615=Dashboard!$G$3,$D1615&lt;&gt;"NO_SERVICE"),ROW(),"")</f>
        <v/>
      </c>
    </row>
    <row r="1616" spans="1:15" x14ac:dyDescent="0.25">
      <c r="A1616" t="s">
        <v>1004</v>
      </c>
      <c r="B1616" t="s">
        <v>353</v>
      </c>
      <c r="C1616" t="s">
        <v>2098</v>
      </c>
      <c r="D1616" t="s">
        <v>24</v>
      </c>
      <c r="E1616" t="s">
        <v>2108</v>
      </c>
      <c r="F1616" t="s">
        <v>494</v>
      </c>
      <c r="G1616">
        <v>0</v>
      </c>
      <c r="H1616">
        <v>1</v>
      </c>
      <c r="I1616">
        <v>1</v>
      </c>
      <c r="J1616">
        <v>1</v>
      </c>
      <c r="K1616">
        <v>1</v>
      </c>
      <c r="L1616">
        <v>0</v>
      </c>
      <c r="M1616">
        <v>1</v>
      </c>
      <c r="N1616">
        <f t="shared" si="25"/>
        <v>5</v>
      </c>
      <c r="O1616" t="str">
        <f>IF(AND($A1616=Dashboard!$B$3,$B1616=Dashboard!$G$3,$D1616&lt;&gt;"NO_SERVICE"),ROW(),"")</f>
        <v/>
      </c>
    </row>
    <row r="1617" spans="1:15" x14ac:dyDescent="0.25">
      <c r="A1617" t="s">
        <v>1004</v>
      </c>
      <c r="B1617" t="s">
        <v>353</v>
      </c>
      <c r="C1617" t="s">
        <v>2098</v>
      </c>
      <c r="D1617" t="s">
        <v>24</v>
      </c>
      <c r="E1617" t="s">
        <v>2109</v>
      </c>
      <c r="F1617" t="s">
        <v>1376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f t="shared" si="25"/>
        <v>7</v>
      </c>
      <c r="O1617" t="str">
        <f>IF(AND($A1617=Dashboard!$B$3,$B1617=Dashboard!$G$3,$D1617&lt;&gt;"NO_SERVICE"),ROW(),"")</f>
        <v/>
      </c>
    </row>
    <row r="1618" spans="1:15" x14ac:dyDescent="0.25">
      <c r="A1618" t="s">
        <v>1004</v>
      </c>
      <c r="B1618" t="s">
        <v>353</v>
      </c>
      <c r="C1618" t="s">
        <v>2098</v>
      </c>
      <c r="D1618" t="s">
        <v>21</v>
      </c>
      <c r="E1618" t="s">
        <v>2110</v>
      </c>
      <c r="F1618" t="s">
        <v>985</v>
      </c>
      <c r="G1618">
        <v>1</v>
      </c>
      <c r="H1618">
        <v>1</v>
      </c>
      <c r="I1618">
        <v>0</v>
      </c>
      <c r="J1618">
        <v>1</v>
      </c>
      <c r="K1618">
        <v>1</v>
      </c>
      <c r="L1618">
        <v>1</v>
      </c>
      <c r="M1618">
        <v>1</v>
      </c>
      <c r="N1618">
        <f t="shared" si="25"/>
        <v>6</v>
      </c>
      <c r="O1618" t="str">
        <f>IF(AND($A1618=Dashboard!$B$3,$B1618=Dashboard!$G$3,$D1618&lt;&gt;"NO_SERVICE"),ROW(),"")</f>
        <v/>
      </c>
    </row>
    <row r="1619" spans="1:15" x14ac:dyDescent="0.25">
      <c r="A1619" t="s">
        <v>1004</v>
      </c>
      <c r="B1619" t="s">
        <v>353</v>
      </c>
      <c r="C1619" t="s">
        <v>2098</v>
      </c>
      <c r="D1619" t="s">
        <v>21</v>
      </c>
      <c r="E1619" t="s">
        <v>2110</v>
      </c>
      <c r="F1619" t="s">
        <v>1197</v>
      </c>
      <c r="G1619">
        <v>0</v>
      </c>
      <c r="H1619">
        <v>0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f t="shared" si="25"/>
        <v>1</v>
      </c>
      <c r="O1619" t="str">
        <f>IF(AND($A1619=Dashboard!$B$3,$B1619=Dashboard!$G$3,$D1619&lt;&gt;"NO_SERVICE"),ROW(),"")</f>
        <v/>
      </c>
    </row>
    <row r="1620" spans="1:15" x14ac:dyDescent="0.25">
      <c r="A1620" t="s">
        <v>1004</v>
      </c>
      <c r="B1620" t="s">
        <v>353</v>
      </c>
      <c r="C1620" t="s">
        <v>2098</v>
      </c>
      <c r="D1620" t="s">
        <v>21</v>
      </c>
      <c r="E1620" t="s">
        <v>2111</v>
      </c>
      <c r="F1620" t="s">
        <v>217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f t="shared" si="25"/>
        <v>7</v>
      </c>
      <c r="O1620" t="str">
        <f>IF(AND($A1620=Dashboard!$B$3,$B1620=Dashboard!$G$3,$D1620&lt;&gt;"NO_SERVICE"),ROW(),"")</f>
        <v/>
      </c>
    </row>
    <row r="1621" spans="1:15" x14ac:dyDescent="0.25">
      <c r="A1621" t="s">
        <v>1004</v>
      </c>
      <c r="B1621" t="s">
        <v>353</v>
      </c>
      <c r="C1621" t="s">
        <v>2098</v>
      </c>
      <c r="D1621" t="s">
        <v>21</v>
      </c>
      <c r="E1621" t="s">
        <v>2112</v>
      </c>
      <c r="F1621" t="s">
        <v>219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f t="shared" si="25"/>
        <v>7</v>
      </c>
      <c r="O1621" t="str">
        <f>IF(AND($A1621=Dashboard!$B$3,$B1621=Dashboard!$G$3,$D1621&lt;&gt;"NO_SERVICE"),ROW(),"")</f>
        <v/>
      </c>
    </row>
    <row r="1622" spans="1:15" x14ac:dyDescent="0.25">
      <c r="A1622" t="s">
        <v>1004</v>
      </c>
      <c r="B1622" t="s">
        <v>353</v>
      </c>
      <c r="C1622" t="s">
        <v>2098</v>
      </c>
      <c r="D1622" t="s">
        <v>21</v>
      </c>
      <c r="E1622" t="s">
        <v>2113</v>
      </c>
      <c r="F1622" t="s">
        <v>293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f t="shared" si="25"/>
        <v>7</v>
      </c>
      <c r="O1622" t="str">
        <f>IF(AND($A1622=Dashboard!$B$3,$B1622=Dashboard!$G$3,$D1622&lt;&gt;"NO_SERVICE"),ROW(),"")</f>
        <v/>
      </c>
    </row>
    <row r="1623" spans="1:15" x14ac:dyDescent="0.25">
      <c r="A1623" t="s">
        <v>1004</v>
      </c>
      <c r="B1623" t="s">
        <v>353</v>
      </c>
      <c r="C1623" t="s">
        <v>2098</v>
      </c>
      <c r="D1623" t="s">
        <v>21</v>
      </c>
      <c r="E1623" t="s">
        <v>2114</v>
      </c>
      <c r="F1623" t="s">
        <v>90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f t="shared" si="25"/>
        <v>7</v>
      </c>
      <c r="O1623" t="str">
        <f>IF(AND($A1623=Dashboard!$B$3,$B1623=Dashboard!$G$3,$D1623&lt;&gt;"NO_SERVICE"),ROW(),"")</f>
        <v/>
      </c>
    </row>
    <row r="1624" spans="1:15" x14ac:dyDescent="0.25">
      <c r="A1624" t="s">
        <v>1004</v>
      </c>
      <c r="B1624" t="s">
        <v>353</v>
      </c>
      <c r="C1624" t="s">
        <v>2098</v>
      </c>
      <c r="D1624" t="s">
        <v>21</v>
      </c>
      <c r="E1624" t="s">
        <v>2115</v>
      </c>
      <c r="F1624" t="s">
        <v>1108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f t="shared" si="25"/>
        <v>7</v>
      </c>
      <c r="O1624" t="str">
        <f>IF(AND($A1624=Dashboard!$B$3,$B1624=Dashboard!$G$3,$D1624&lt;&gt;"NO_SERVICE"),ROW(),"")</f>
        <v/>
      </c>
    </row>
    <row r="1625" spans="1:15" x14ac:dyDescent="0.25">
      <c r="A1625" t="s">
        <v>1004</v>
      </c>
      <c r="B1625" t="s">
        <v>353</v>
      </c>
      <c r="C1625" t="s">
        <v>2098</v>
      </c>
      <c r="D1625" t="s">
        <v>26</v>
      </c>
      <c r="E1625" t="s">
        <v>2116</v>
      </c>
      <c r="F1625" t="s">
        <v>163</v>
      </c>
      <c r="G1625">
        <v>1</v>
      </c>
      <c r="H1625">
        <v>0</v>
      </c>
      <c r="I1625">
        <v>1</v>
      </c>
      <c r="J1625">
        <v>0</v>
      </c>
      <c r="K1625">
        <v>1</v>
      </c>
      <c r="L1625">
        <v>0</v>
      </c>
      <c r="M1625">
        <v>1</v>
      </c>
      <c r="N1625">
        <f t="shared" si="25"/>
        <v>4</v>
      </c>
      <c r="O1625" t="str">
        <f>IF(AND($A1625=Dashboard!$B$3,$B1625=Dashboard!$G$3,$D1625&lt;&gt;"NO_SERVICE"),ROW(),"")</f>
        <v/>
      </c>
    </row>
    <row r="1626" spans="1:15" x14ac:dyDescent="0.25">
      <c r="A1626" t="s">
        <v>1004</v>
      </c>
      <c r="B1626" t="s">
        <v>154</v>
      </c>
      <c r="C1626" t="s">
        <v>2117</v>
      </c>
      <c r="D1626" t="s">
        <v>24</v>
      </c>
      <c r="E1626" t="s">
        <v>2118</v>
      </c>
      <c r="F1626" t="s">
        <v>168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f t="shared" si="25"/>
        <v>7</v>
      </c>
      <c r="O1626" t="str">
        <f>IF(AND($A1626=Dashboard!$B$3,$B1626=Dashboard!$G$3,$D1626&lt;&gt;"NO_SERVICE"),ROW(),"")</f>
        <v/>
      </c>
    </row>
    <row r="1627" spans="1:15" x14ac:dyDescent="0.25">
      <c r="A1627" t="s">
        <v>1004</v>
      </c>
      <c r="B1627" t="s">
        <v>154</v>
      </c>
      <c r="C1627" t="s">
        <v>2117</v>
      </c>
      <c r="D1627" t="s">
        <v>24</v>
      </c>
      <c r="E1627" t="s">
        <v>2119</v>
      </c>
      <c r="F1627" t="s">
        <v>1405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f t="shared" si="25"/>
        <v>7</v>
      </c>
      <c r="O1627" t="str">
        <f>IF(AND($A1627=Dashboard!$B$3,$B1627=Dashboard!$G$3,$D1627&lt;&gt;"NO_SERVICE"),ROW(),"")</f>
        <v/>
      </c>
    </row>
    <row r="1628" spans="1:15" x14ac:dyDescent="0.25">
      <c r="A1628" t="s">
        <v>1004</v>
      </c>
      <c r="B1628" t="s">
        <v>154</v>
      </c>
      <c r="C1628" t="s">
        <v>2117</v>
      </c>
      <c r="D1628" t="s">
        <v>24</v>
      </c>
      <c r="E1628" t="s">
        <v>2120</v>
      </c>
      <c r="F1628" t="s">
        <v>56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f t="shared" si="25"/>
        <v>7</v>
      </c>
      <c r="O1628" t="str">
        <f>IF(AND($A1628=Dashboard!$B$3,$B1628=Dashboard!$G$3,$D1628&lt;&gt;"NO_SERVICE"),ROW(),"")</f>
        <v/>
      </c>
    </row>
    <row r="1629" spans="1:15" x14ac:dyDescent="0.25">
      <c r="A1629" t="s">
        <v>1004</v>
      </c>
      <c r="B1629" t="s">
        <v>154</v>
      </c>
      <c r="C1629" t="s">
        <v>2117</v>
      </c>
      <c r="D1629" t="s">
        <v>24</v>
      </c>
      <c r="E1629" t="s">
        <v>2121</v>
      </c>
      <c r="F1629" t="s">
        <v>347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f t="shared" si="25"/>
        <v>7</v>
      </c>
      <c r="O1629" t="str">
        <f>IF(AND($A1629=Dashboard!$B$3,$B1629=Dashboard!$G$3,$D1629&lt;&gt;"NO_SERVICE"),ROW(),"")</f>
        <v/>
      </c>
    </row>
    <row r="1630" spans="1:15" x14ac:dyDescent="0.25">
      <c r="A1630" t="s">
        <v>1004</v>
      </c>
      <c r="B1630" t="s">
        <v>154</v>
      </c>
      <c r="C1630" t="s">
        <v>2117</v>
      </c>
      <c r="D1630" t="s">
        <v>24</v>
      </c>
      <c r="E1630" t="s">
        <v>2122</v>
      </c>
      <c r="F1630" t="s">
        <v>60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f t="shared" si="25"/>
        <v>7</v>
      </c>
      <c r="O1630" t="str">
        <f>IF(AND($A1630=Dashboard!$B$3,$B1630=Dashboard!$G$3,$D1630&lt;&gt;"NO_SERVICE"),ROW(),"")</f>
        <v/>
      </c>
    </row>
    <row r="1631" spans="1:15" x14ac:dyDescent="0.25">
      <c r="A1631" t="s">
        <v>1004</v>
      </c>
      <c r="B1631" t="s">
        <v>154</v>
      </c>
      <c r="C1631" t="s">
        <v>2117</v>
      </c>
      <c r="D1631" t="s">
        <v>24</v>
      </c>
      <c r="E1631" t="s">
        <v>2123</v>
      </c>
      <c r="F1631" t="s">
        <v>256</v>
      </c>
      <c r="G1631">
        <v>1</v>
      </c>
      <c r="H1631">
        <v>1</v>
      </c>
      <c r="I1631">
        <v>0</v>
      </c>
      <c r="J1631">
        <v>1</v>
      </c>
      <c r="K1631">
        <v>0</v>
      </c>
      <c r="L1631">
        <v>1</v>
      </c>
      <c r="M1631">
        <v>0</v>
      </c>
      <c r="N1631">
        <f t="shared" si="25"/>
        <v>4</v>
      </c>
      <c r="O1631" t="str">
        <f>IF(AND($A1631=Dashboard!$B$3,$B1631=Dashboard!$G$3,$D1631&lt;&gt;"NO_SERVICE"),ROW(),"")</f>
        <v/>
      </c>
    </row>
    <row r="1632" spans="1:15" x14ac:dyDescent="0.25">
      <c r="A1632" t="s">
        <v>1004</v>
      </c>
      <c r="B1632" t="s">
        <v>154</v>
      </c>
      <c r="C1632" t="s">
        <v>2117</v>
      </c>
      <c r="D1632" t="s">
        <v>24</v>
      </c>
      <c r="E1632" t="s">
        <v>2124</v>
      </c>
      <c r="F1632" t="s">
        <v>655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f t="shared" si="25"/>
        <v>7</v>
      </c>
      <c r="O1632" t="str">
        <f>IF(AND($A1632=Dashboard!$B$3,$B1632=Dashboard!$G$3,$D1632&lt;&gt;"NO_SERVICE"),ROW(),"")</f>
        <v/>
      </c>
    </row>
    <row r="1633" spans="1:15" x14ac:dyDescent="0.25">
      <c r="A1633" t="s">
        <v>1004</v>
      </c>
      <c r="B1633" t="s">
        <v>154</v>
      </c>
      <c r="C1633" t="s">
        <v>2117</v>
      </c>
      <c r="D1633" t="s">
        <v>24</v>
      </c>
      <c r="E1633" t="s">
        <v>2125</v>
      </c>
      <c r="F1633" t="s">
        <v>1212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f t="shared" si="25"/>
        <v>7</v>
      </c>
      <c r="O1633" t="str">
        <f>IF(AND($A1633=Dashboard!$B$3,$B1633=Dashboard!$G$3,$D1633&lt;&gt;"NO_SERVICE"),ROW(),"")</f>
        <v/>
      </c>
    </row>
    <row r="1634" spans="1:15" x14ac:dyDescent="0.25">
      <c r="A1634" t="s">
        <v>1004</v>
      </c>
      <c r="B1634" t="s">
        <v>154</v>
      </c>
      <c r="C1634" t="s">
        <v>2117</v>
      </c>
      <c r="D1634" t="s">
        <v>21</v>
      </c>
      <c r="E1634" t="s">
        <v>2126</v>
      </c>
      <c r="F1634" t="s">
        <v>1197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0</v>
      </c>
      <c r="M1634">
        <v>0</v>
      </c>
      <c r="N1634">
        <f t="shared" si="25"/>
        <v>5</v>
      </c>
      <c r="O1634" t="str">
        <f>IF(AND($A1634=Dashboard!$B$3,$B1634=Dashboard!$G$3,$D1634&lt;&gt;"NO_SERVICE"),ROW(),"")</f>
        <v/>
      </c>
    </row>
    <row r="1635" spans="1:15" x14ac:dyDescent="0.25">
      <c r="A1635" t="s">
        <v>1004</v>
      </c>
      <c r="B1635" t="s">
        <v>154</v>
      </c>
      <c r="C1635" t="s">
        <v>2117</v>
      </c>
      <c r="D1635" t="s">
        <v>21</v>
      </c>
      <c r="E1635" t="s">
        <v>2127</v>
      </c>
      <c r="F1635" t="s">
        <v>168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1</v>
      </c>
      <c r="N1635">
        <f t="shared" si="25"/>
        <v>1</v>
      </c>
      <c r="O1635" t="str">
        <f>IF(AND($A1635=Dashboard!$B$3,$B1635=Dashboard!$G$3,$D1635&lt;&gt;"NO_SERVICE"),ROW(),"")</f>
        <v/>
      </c>
    </row>
    <row r="1636" spans="1:15" x14ac:dyDescent="0.25">
      <c r="A1636" t="s">
        <v>1004</v>
      </c>
      <c r="B1636" t="s">
        <v>154</v>
      </c>
      <c r="C1636" t="s">
        <v>2117</v>
      </c>
      <c r="D1636" t="s">
        <v>21</v>
      </c>
      <c r="E1636" t="s">
        <v>279</v>
      </c>
      <c r="F1636" t="s">
        <v>890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1</v>
      </c>
      <c r="N1636">
        <f t="shared" si="25"/>
        <v>2</v>
      </c>
      <c r="O1636" t="str">
        <f>IF(AND($A1636=Dashboard!$B$3,$B1636=Dashboard!$G$3,$D1636&lt;&gt;"NO_SERVICE"),ROW(),"")</f>
        <v/>
      </c>
    </row>
    <row r="1637" spans="1:15" x14ac:dyDescent="0.25">
      <c r="A1637" t="s">
        <v>1004</v>
      </c>
      <c r="B1637" t="s">
        <v>154</v>
      </c>
      <c r="C1637" t="s">
        <v>2117</v>
      </c>
      <c r="D1637" t="s">
        <v>21</v>
      </c>
      <c r="E1637" t="s">
        <v>465</v>
      </c>
      <c r="F1637" t="s">
        <v>1405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0</v>
      </c>
      <c r="M1637">
        <v>0</v>
      </c>
      <c r="N1637">
        <f t="shared" si="25"/>
        <v>5</v>
      </c>
      <c r="O1637" t="str">
        <f>IF(AND($A1637=Dashboard!$B$3,$B1637=Dashboard!$G$3,$D1637&lt;&gt;"NO_SERVICE"),ROW(),"")</f>
        <v/>
      </c>
    </row>
    <row r="1638" spans="1:15" x14ac:dyDescent="0.25">
      <c r="A1638" t="s">
        <v>1004</v>
      </c>
      <c r="B1638" t="s">
        <v>154</v>
      </c>
      <c r="C1638" t="s">
        <v>2117</v>
      </c>
      <c r="D1638" t="s">
        <v>21</v>
      </c>
      <c r="E1638" t="s">
        <v>2128</v>
      </c>
      <c r="F1638" t="s">
        <v>242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0</v>
      </c>
      <c r="M1638">
        <v>0</v>
      </c>
      <c r="N1638">
        <f t="shared" si="25"/>
        <v>5</v>
      </c>
      <c r="O1638" t="str">
        <f>IF(AND($A1638=Dashboard!$B$3,$B1638=Dashboard!$G$3,$D1638&lt;&gt;"NO_SERVICE"),ROW(),"")</f>
        <v/>
      </c>
    </row>
    <row r="1639" spans="1:15" x14ac:dyDescent="0.25">
      <c r="A1639" t="s">
        <v>1004</v>
      </c>
      <c r="B1639" t="s">
        <v>154</v>
      </c>
      <c r="C1639" t="s">
        <v>2117</v>
      </c>
      <c r="D1639" t="s">
        <v>21</v>
      </c>
      <c r="E1639" t="s">
        <v>2128</v>
      </c>
      <c r="F1639" t="s">
        <v>413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1</v>
      </c>
      <c r="N1639">
        <f t="shared" si="25"/>
        <v>2</v>
      </c>
      <c r="O1639" t="str">
        <f>IF(AND($A1639=Dashboard!$B$3,$B1639=Dashboard!$G$3,$D1639&lt;&gt;"NO_SERVICE"),ROW(),"")</f>
        <v/>
      </c>
    </row>
    <row r="1640" spans="1:15" x14ac:dyDescent="0.25">
      <c r="A1640" t="s">
        <v>1004</v>
      </c>
      <c r="B1640" t="s">
        <v>154</v>
      </c>
      <c r="C1640" t="s">
        <v>2117</v>
      </c>
      <c r="D1640" t="s">
        <v>21</v>
      </c>
      <c r="E1640" t="s">
        <v>2129</v>
      </c>
      <c r="F1640" t="s">
        <v>1923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0</v>
      </c>
      <c r="M1640">
        <v>0</v>
      </c>
      <c r="N1640">
        <f t="shared" si="25"/>
        <v>5</v>
      </c>
      <c r="O1640" t="str">
        <f>IF(AND($A1640=Dashboard!$B$3,$B1640=Dashboard!$G$3,$D1640&lt;&gt;"NO_SERVICE"),ROW(),"")</f>
        <v/>
      </c>
    </row>
    <row r="1641" spans="1:15" x14ac:dyDescent="0.25">
      <c r="A1641" t="s">
        <v>1004</v>
      </c>
      <c r="B1641" t="s">
        <v>154</v>
      </c>
      <c r="C1641" t="s">
        <v>2117</v>
      </c>
      <c r="D1641" t="s">
        <v>21</v>
      </c>
      <c r="E1641" t="s">
        <v>2129</v>
      </c>
      <c r="F1641" t="s">
        <v>744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1</v>
      </c>
      <c r="N1641">
        <f t="shared" si="25"/>
        <v>2</v>
      </c>
      <c r="O1641" t="str">
        <f>IF(AND($A1641=Dashboard!$B$3,$B1641=Dashboard!$G$3,$D1641&lt;&gt;"NO_SERVICE"),ROW(),"")</f>
        <v/>
      </c>
    </row>
    <row r="1642" spans="1:15" x14ac:dyDescent="0.25">
      <c r="A1642" t="s">
        <v>1004</v>
      </c>
      <c r="B1642" t="s">
        <v>541</v>
      </c>
      <c r="C1642" t="s">
        <v>2130</v>
      </c>
      <c r="D1642" t="s">
        <v>24</v>
      </c>
      <c r="E1642" t="s">
        <v>2131</v>
      </c>
      <c r="F1642" t="s">
        <v>630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f t="shared" si="25"/>
        <v>7</v>
      </c>
      <c r="O1642" t="str">
        <f>IF(AND($A1642=Dashboard!$B$3,$B1642=Dashboard!$G$3,$D1642&lt;&gt;"NO_SERVICE"),ROW(),"")</f>
        <v/>
      </c>
    </row>
    <row r="1643" spans="1:15" x14ac:dyDescent="0.25">
      <c r="A1643" t="s">
        <v>1004</v>
      </c>
      <c r="B1643" t="s">
        <v>541</v>
      </c>
      <c r="C1643" t="s">
        <v>2130</v>
      </c>
      <c r="D1643" t="s">
        <v>24</v>
      </c>
      <c r="E1643" t="s">
        <v>2132</v>
      </c>
      <c r="F1643" t="s">
        <v>240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f t="shared" si="25"/>
        <v>7</v>
      </c>
      <c r="O1643" t="str">
        <f>IF(AND($A1643=Dashboard!$B$3,$B1643=Dashboard!$G$3,$D1643&lt;&gt;"NO_SERVICE"),ROW(),"")</f>
        <v/>
      </c>
    </row>
    <row r="1644" spans="1:15" x14ac:dyDescent="0.25">
      <c r="A1644" t="s">
        <v>1004</v>
      </c>
      <c r="B1644" t="s">
        <v>541</v>
      </c>
      <c r="C1644" t="s">
        <v>2130</v>
      </c>
      <c r="D1644" t="s">
        <v>24</v>
      </c>
      <c r="E1644" t="s">
        <v>2133</v>
      </c>
      <c r="F1644" t="s">
        <v>235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f t="shared" si="25"/>
        <v>7</v>
      </c>
      <c r="O1644" t="str">
        <f>IF(AND($A1644=Dashboard!$B$3,$B1644=Dashboard!$G$3,$D1644&lt;&gt;"NO_SERVICE"),ROW(),"")</f>
        <v/>
      </c>
    </row>
    <row r="1645" spans="1:15" x14ac:dyDescent="0.25">
      <c r="A1645" t="s">
        <v>1004</v>
      </c>
      <c r="B1645" t="s">
        <v>541</v>
      </c>
      <c r="C1645" t="s">
        <v>2130</v>
      </c>
      <c r="D1645" t="s">
        <v>24</v>
      </c>
      <c r="E1645" t="s">
        <v>2134</v>
      </c>
      <c r="F1645" t="s">
        <v>589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f t="shared" si="25"/>
        <v>7</v>
      </c>
      <c r="O1645" t="str">
        <f>IF(AND($A1645=Dashboard!$B$3,$B1645=Dashboard!$G$3,$D1645&lt;&gt;"NO_SERVICE"),ROW(),"")</f>
        <v/>
      </c>
    </row>
    <row r="1646" spans="1:15" x14ac:dyDescent="0.25">
      <c r="A1646" t="s">
        <v>1004</v>
      </c>
      <c r="B1646" t="s">
        <v>541</v>
      </c>
      <c r="C1646" t="s">
        <v>2130</v>
      </c>
      <c r="D1646" t="s">
        <v>24</v>
      </c>
      <c r="E1646" t="s">
        <v>2135</v>
      </c>
      <c r="F1646" t="s">
        <v>760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f t="shared" si="25"/>
        <v>7</v>
      </c>
      <c r="O1646" t="str">
        <f>IF(AND($A1646=Dashboard!$B$3,$B1646=Dashboard!$G$3,$D1646&lt;&gt;"NO_SERVICE"),ROW(),"")</f>
        <v/>
      </c>
    </row>
    <row r="1647" spans="1:15" x14ac:dyDescent="0.25">
      <c r="A1647" t="s">
        <v>1004</v>
      </c>
      <c r="B1647" t="s">
        <v>541</v>
      </c>
      <c r="C1647" t="s">
        <v>2130</v>
      </c>
      <c r="D1647" t="s">
        <v>21</v>
      </c>
      <c r="E1647" t="s">
        <v>568</v>
      </c>
      <c r="F1647" t="s">
        <v>1861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f t="shared" si="25"/>
        <v>7</v>
      </c>
      <c r="O1647" t="str">
        <f>IF(AND($A1647=Dashboard!$B$3,$B1647=Dashboard!$G$3,$D1647&lt;&gt;"NO_SERVICE"),ROW(),"")</f>
        <v/>
      </c>
    </row>
    <row r="1648" spans="1:15" x14ac:dyDescent="0.25">
      <c r="A1648" t="s">
        <v>1004</v>
      </c>
      <c r="B1648" t="s">
        <v>541</v>
      </c>
      <c r="C1648" t="s">
        <v>2130</v>
      </c>
      <c r="D1648" t="s">
        <v>21</v>
      </c>
      <c r="E1648" t="s">
        <v>2136</v>
      </c>
      <c r="F1648" t="s">
        <v>693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f t="shared" si="25"/>
        <v>7</v>
      </c>
      <c r="O1648" t="str">
        <f>IF(AND($A1648=Dashboard!$B$3,$B1648=Dashboard!$G$3,$D1648&lt;&gt;"NO_SERVICE"),ROW(),"")</f>
        <v/>
      </c>
    </row>
    <row r="1649" spans="1:15" x14ac:dyDescent="0.25">
      <c r="A1649" t="s">
        <v>1004</v>
      </c>
      <c r="B1649" t="s">
        <v>4</v>
      </c>
      <c r="C1649" t="s">
        <v>2137</v>
      </c>
      <c r="D1649" t="s">
        <v>24</v>
      </c>
      <c r="E1649" t="s">
        <v>2138</v>
      </c>
      <c r="F1649" t="s">
        <v>515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f t="shared" si="25"/>
        <v>7</v>
      </c>
      <c r="O1649" t="str">
        <f>IF(AND($A1649=Dashboard!$B$3,$B1649=Dashboard!$G$3,$D1649&lt;&gt;"NO_SERVICE"),ROW(),"")</f>
        <v/>
      </c>
    </row>
    <row r="1650" spans="1:15" x14ac:dyDescent="0.25">
      <c r="A1650" t="s">
        <v>1004</v>
      </c>
      <c r="B1650" t="s">
        <v>4</v>
      </c>
      <c r="C1650" t="s">
        <v>2137</v>
      </c>
      <c r="D1650" t="s">
        <v>24</v>
      </c>
      <c r="E1650" t="s">
        <v>2139</v>
      </c>
      <c r="F1650" t="s">
        <v>476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f t="shared" si="25"/>
        <v>7</v>
      </c>
      <c r="O1650" t="str">
        <f>IF(AND($A1650=Dashboard!$B$3,$B1650=Dashboard!$G$3,$D1650&lt;&gt;"NO_SERVICE"),ROW(),"")</f>
        <v/>
      </c>
    </row>
    <row r="1651" spans="1:15" x14ac:dyDescent="0.25">
      <c r="A1651" t="s">
        <v>1004</v>
      </c>
      <c r="B1651" t="s">
        <v>4</v>
      </c>
      <c r="C1651" t="s">
        <v>2137</v>
      </c>
      <c r="D1651" t="s">
        <v>24</v>
      </c>
      <c r="E1651" t="s">
        <v>2140</v>
      </c>
      <c r="F1651" t="s">
        <v>112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f t="shared" si="25"/>
        <v>7</v>
      </c>
      <c r="O1651" t="str">
        <f>IF(AND($A1651=Dashboard!$B$3,$B1651=Dashboard!$G$3,$D1651&lt;&gt;"NO_SERVICE"),ROW(),"")</f>
        <v/>
      </c>
    </row>
    <row r="1652" spans="1:15" x14ac:dyDescent="0.25">
      <c r="A1652" t="s">
        <v>1004</v>
      </c>
      <c r="B1652" t="s">
        <v>4</v>
      </c>
      <c r="C1652" t="s">
        <v>2137</v>
      </c>
      <c r="D1652" t="s">
        <v>24</v>
      </c>
      <c r="E1652" t="s">
        <v>2141</v>
      </c>
      <c r="F1652" t="s">
        <v>1319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f t="shared" si="25"/>
        <v>7</v>
      </c>
      <c r="O1652" t="str">
        <f>IF(AND($A1652=Dashboard!$B$3,$B1652=Dashboard!$G$3,$D1652&lt;&gt;"NO_SERVICE"),ROW(),"")</f>
        <v/>
      </c>
    </row>
    <row r="1653" spans="1:15" x14ac:dyDescent="0.25">
      <c r="A1653" t="s">
        <v>1004</v>
      </c>
      <c r="B1653" t="s">
        <v>4</v>
      </c>
      <c r="C1653" t="s">
        <v>2137</v>
      </c>
      <c r="D1653" t="s">
        <v>24</v>
      </c>
      <c r="E1653" t="s">
        <v>2142</v>
      </c>
      <c r="F1653" t="s">
        <v>678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f t="shared" si="25"/>
        <v>7</v>
      </c>
      <c r="O1653" t="str">
        <f>IF(AND($A1653=Dashboard!$B$3,$B1653=Dashboard!$G$3,$D1653&lt;&gt;"NO_SERVICE"),ROW(),"")</f>
        <v/>
      </c>
    </row>
    <row r="1654" spans="1:15" x14ac:dyDescent="0.25">
      <c r="A1654" t="s">
        <v>1004</v>
      </c>
      <c r="B1654" t="s">
        <v>4</v>
      </c>
      <c r="C1654" t="s">
        <v>2137</v>
      </c>
      <c r="D1654" t="s">
        <v>24</v>
      </c>
      <c r="E1654" t="s">
        <v>2143</v>
      </c>
      <c r="F1654" t="s">
        <v>250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f t="shared" si="25"/>
        <v>7</v>
      </c>
      <c r="O1654" t="str">
        <f>IF(AND($A1654=Dashboard!$B$3,$B1654=Dashboard!$G$3,$D1654&lt;&gt;"NO_SERVICE"),ROW(),"")</f>
        <v/>
      </c>
    </row>
    <row r="1655" spans="1:15" x14ac:dyDescent="0.25">
      <c r="A1655" t="s">
        <v>1004</v>
      </c>
      <c r="B1655" t="s">
        <v>4</v>
      </c>
      <c r="C1655" t="s">
        <v>2137</v>
      </c>
      <c r="D1655" t="s">
        <v>24</v>
      </c>
      <c r="E1655" t="s">
        <v>2144</v>
      </c>
      <c r="F1655" t="s">
        <v>317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f t="shared" si="25"/>
        <v>7</v>
      </c>
      <c r="O1655" t="str">
        <f>IF(AND($A1655=Dashboard!$B$3,$B1655=Dashboard!$G$3,$D1655&lt;&gt;"NO_SERVICE"),ROW(),"")</f>
        <v/>
      </c>
    </row>
    <row r="1656" spans="1:15" x14ac:dyDescent="0.25">
      <c r="A1656" t="s">
        <v>1004</v>
      </c>
      <c r="B1656" t="s">
        <v>4</v>
      </c>
      <c r="C1656" t="s">
        <v>2137</v>
      </c>
      <c r="D1656" t="s">
        <v>24</v>
      </c>
      <c r="E1656" t="s">
        <v>2145</v>
      </c>
      <c r="F1656" t="s">
        <v>974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0</v>
      </c>
      <c r="M1656">
        <v>1</v>
      </c>
      <c r="N1656">
        <f t="shared" si="25"/>
        <v>6</v>
      </c>
      <c r="O1656" t="str">
        <f>IF(AND($A1656=Dashboard!$B$3,$B1656=Dashboard!$G$3,$D1656&lt;&gt;"NO_SERVICE"),ROW(),"")</f>
        <v/>
      </c>
    </row>
    <row r="1657" spans="1:15" x14ac:dyDescent="0.25">
      <c r="A1657" t="s">
        <v>1004</v>
      </c>
      <c r="B1657" t="s">
        <v>4</v>
      </c>
      <c r="C1657" t="s">
        <v>2137</v>
      </c>
      <c r="D1657" t="s">
        <v>24</v>
      </c>
      <c r="E1657" t="s">
        <v>2146</v>
      </c>
      <c r="F1657" t="s">
        <v>1334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f t="shared" si="25"/>
        <v>7</v>
      </c>
      <c r="O1657" t="str">
        <f>IF(AND($A1657=Dashboard!$B$3,$B1657=Dashboard!$G$3,$D1657&lt;&gt;"NO_SERVICE"),ROW(),"")</f>
        <v/>
      </c>
    </row>
    <row r="1658" spans="1:15" x14ac:dyDescent="0.25">
      <c r="A1658" t="s">
        <v>1004</v>
      </c>
      <c r="B1658" t="s">
        <v>4</v>
      </c>
      <c r="C1658" t="s">
        <v>2137</v>
      </c>
      <c r="D1658" t="s">
        <v>21</v>
      </c>
      <c r="E1658" t="s">
        <v>2147</v>
      </c>
      <c r="F1658" t="s">
        <v>70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f t="shared" si="25"/>
        <v>7</v>
      </c>
      <c r="O1658" t="str">
        <f>IF(AND($A1658=Dashboard!$B$3,$B1658=Dashboard!$G$3,$D1658&lt;&gt;"NO_SERVICE"),ROW(),"")</f>
        <v/>
      </c>
    </row>
    <row r="1659" spans="1:15" x14ac:dyDescent="0.25">
      <c r="A1659" t="s">
        <v>1004</v>
      </c>
      <c r="B1659" t="s">
        <v>4</v>
      </c>
      <c r="C1659" t="s">
        <v>2137</v>
      </c>
      <c r="D1659" t="s">
        <v>21</v>
      </c>
      <c r="E1659" t="s">
        <v>2148</v>
      </c>
      <c r="F1659" t="s">
        <v>285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f t="shared" si="25"/>
        <v>7</v>
      </c>
      <c r="O1659" t="str">
        <f>IF(AND($A1659=Dashboard!$B$3,$B1659=Dashboard!$G$3,$D1659&lt;&gt;"NO_SERVICE"),ROW(),"")</f>
        <v/>
      </c>
    </row>
    <row r="1660" spans="1:15" x14ac:dyDescent="0.25">
      <c r="A1660" t="s">
        <v>1004</v>
      </c>
      <c r="B1660" t="s">
        <v>4</v>
      </c>
      <c r="C1660" t="s">
        <v>2137</v>
      </c>
      <c r="D1660" t="s">
        <v>21</v>
      </c>
      <c r="E1660" t="s">
        <v>2149</v>
      </c>
      <c r="F1660" t="s">
        <v>252</v>
      </c>
      <c r="G1660">
        <v>0</v>
      </c>
      <c r="H1660">
        <v>1</v>
      </c>
      <c r="I1660">
        <v>0</v>
      </c>
      <c r="J1660">
        <v>1</v>
      </c>
      <c r="K1660">
        <v>0</v>
      </c>
      <c r="L1660">
        <v>0</v>
      </c>
      <c r="M1660">
        <v>1</v>
      </c>
      <c r="N1660">
        <f t="shared" si="25"/>
        <v>3</v>
      </c>
      <c r="O1660" t="str">
        <f>IF(AND($A1660=Dashboard!$B$3,$B1660=Dashboard!$G$3,$D1660&lt;&gt;"NO_SERVICE"),ROW(),"")</f>
        <v/>
      </c>
    </row>
    <row r="1661" spans="1:15" x14ac:dyDescent="0.25">
      <c r="A1661" t="s">
        <v>1004</v>
      </c>
      <c r="B1661" t="s">
        <v>4</v>
      </c>
      <c r="C1661" t="s">
        <v>2137</v>
      </c>
      <c r="D1661" t="s">
        <v>21</v>
      </c>
      <c r="E1661" t="s">
        <v>2150</v>
      </c>
      <c r="F1661" t="s">
        <v>832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f t="shared" si="25"/>
        <v>7</v>
      </c>
      <c r="O1661" t="str">
        <f>IF(AND($A1661=Dashboard!$B$3,$B1661=Dashboard!$G$3,$D1661&lt;&gt;"NO_SERVICE"),ROW(),"")</f>
        <v/>
      </c>
    </row>
    <row r="1662" spans="1:15" x14ac:dyDescent="0.25">
      <c r="A1662" t="s">
        <v>1004</v>
      </c>
      <c r="B1662" t="s">
        <v>4</v>
      </c>
      <c r="C1662" t="s">
        <v>2137</v>
      </c>
      <c r="D1662" t="s">
        <v>21</v>
      </c>
      <c r="E1662" t="s">
        <v>2151</v>
      </c>
      <c r="F1662" t="s">
        <v>801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f t="shared" si="25"/>
        <v>7</v>
      </c>
      <c r="O1662" t="str">
        <f>IF(AND($A1662=Dashboard!$B$3,$B1662=Dashboard!$G$3,$D1662&lt;&gt;"NO_SERVICE"),ROW(),"")</f>
        <v/>
      </c>
    </row>
    <row r="1663" spans="1:15" x14ac:dyDescent="0.25">
      <c r="A1663" t="s">
        <v>1004</v>
      </c>
      <c r="B1663" t="s">
        <v>4</v>
      </c>
      <c r="C1663" t="s">
        <v>2137</v>
      </c>
      <c r="D1663" t="s">
        <v>21</v>
      </c>
      <c r="E1663" t="s">
        <v>2152</v>
      </c>
      <c r="F1663" t="s">
        <v>72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f t="shared" si="25"/>
        <v>7</v>
      </c>
      <c r="O1663" t="str">
        <f>IF(AND($A1663=Dashboard!$B$3,$B1663=Dashboard!$G$3,$D1663&lt;&gt;"NO_SERVICE"),ROW(),"")</f>
        <v/>
      </c>
    </row>
    <row r="1664" spans="1:15" x14ac:dyDescent="0.25">
      <c r="A1664" t="s">
        <v>1004</v>
      </c>
      <c r="B1664" t="s">
        <v>904</v>
      </c>
      <c r="C1664" t="s">
        <v>2153</v>
      </c>
      <c r="D1664" t="s">
        <v>24</v>
      </c>
      <c r="E1664" t="s">
        <v>2154</v>
      </c>
      <c r="F1664" t="s">
        <v>215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f t="shared" si="25"/>
        <v>7</v>
      </c>
      <c r="O1664" t="str">
        <f>IF(AND($A1664=Dashboard!$B$3,$B1664=Dashboard!$G$3,$D1664&lt;&gt;"NO_SERVICE"),ROW(),"")</f>
        <v/>
      </c>
    </row>
    <row r="1665" spans="1:15" x14ac:dyDescent="0.25">
      <c r="A1665" t="s">
        <v>1004</v>
      </c>
      <c r="B1665" t="s">
        <v>904</v>
      </c>
      <c r="C1665" t="s">
        <v>2153</v>
      </c>
      <c r="D1665" t="s">
        <v>24</v>
      </c>
      <c r="E1665" t="s">
        <v>2155</v>
      </c>
      <c r="F1665" t="s">
        <v>330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f t="shared" si="25"/>
        <v>7</v>
      </c>
      <c r="O1665" t="str">
        <f>IF(AND($A1665=Dashboard!$B$3,$B1665=Dashboard!$G$3,$D1665&lt;&gt;"NO_SERVICE"),ROW(),"")</f>
        <v/>
      </c>
    </row>
    <row r="1666" spans="1:15" x14ac:dyDescent="0.25">
      <c r="A1666" t="s">
        <v>1004</v>
      </c>
      <c r="B1666" t="s">
        <v>904</v>
      </c>
      <c r="C1666" t="s">
        <v>2153</v>
      </c>
      <c r="D1666" t="s">
        <v>24</v>
      </c>
      <c r="E1666" t="s">
        <v>2156</v>
      </c>
      <c r="F1666" t="s">
        <v>212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f t="shared" ref="N1666:N1729" si="26">SUM(G1666:M1666)</f>
        <v>7</v>
      </c>
      <c r="O1666" t="str">
        <f>IF(AND($A1666=Dashboard!$B$3,$B1666=Dashboard!$G$3,$D1666&lt;&gt;"NO_SERVICE"),ROW(),"")</f>
        <v/>
      </c>
    </row>
    <row r="1667" spans="1:15" x14ac:dyDescent="0.25">
      <c r="A1667" t="s">
        <v>1004</v>
      </c>
      <c r="B1667" t="s">
        <v>904</v>
      </c>
      <c r="C1667" t="s">
        <v>2153</v>
      </c>
      <c r="D1667" t="s">
        <v>24</v>
      </c>
      <c r="E1667" t="s">
        <v>2157</v>
      </c>
      <c r="F1667" t="s">
        <v>846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f t="shared" si="26"/>
        <v>7</v>
      </c>
      <c r="O1667" t="str">
        <f>IF(AND($A1667=Dashboard!$B$3,$B1667=Dashboard!$G$3,$D1667&lt;&gt;"NO_SERVICE"),ROW(),"")</f>
        <v/>
      </c>
    </row>
    <row r="1668" spans="1:15" x14ac:dyDescent="0.25">
      <c r="A1668" t="s">
        <v>1004</v>
      </c>
      <c r="B1668" t="s">
        <v>904</v>
      </c>
      <c r="C1668" t="s">
        <v>2153</v>
      </c>
      <c r="D1668" t="s">
        <v>24</v>
      </c>
      <c r="E1668" t="s">
        <v>2158</v>
      </c>
      <c r="F1668" t="s">
        <v>221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f t="shared" si="26"/>
        <v>7</v>
      </c>
      <c r="O1668" t="str">
        <f>IF(AND($A1668=Dashboard!$B$3,$B1668=Dashboard!$G$3,$D1668&lt;&gt;"NO_SERVICE"),ROW(),"")</f>
        <v/>
      </c>
    </row>
    <row r="1669" spans="1:15" x14ac:dyDescent="0.25">
      <c r="A1669" t="s">
        <v>1004</v>
      </c>
      <c r="B1669" t="s">
        <v>904</v>
      </c>
      <c r="C1669" t="s">
        <v>2153</v>
      </c>
      <c r="D1669" t="s">
        <v>24</v>
      </c>
      <c r="E1669" t="s">
        <v>2159</v>
      </c>
      <c r="F1669" t="s">
        <v>674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f t="shared" si="26"/>
        <v>7</v>
      </c>
      <c r="O1669" t="str">
        <f>IF(AND($A1669=Dashboard!$B$3,$B1669=Dashboard!$G$3,$D1669&lt;&gt;"NO_SERVICE"),ROW(),"")</f>
        <v/>
      </c>
    </row>
    <row r="1670" spans="1:15" x14ac:dyDescent="0.25">
      <c r="A1670" t="s">
        <v>1004</v>
      </c>
      <c r="B1670" t="s">
        <v>904</v>
      </c>
      <c r="C1670" t="s">
        <v>2153</v>
      </c>
      <c r="D1670" t="s">
        <v>24</v>
      </c>
      <c r="E1670" t="s">
        <v>2160</v>
      </c>
      <c r="F1670" t="s">
        <v>744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f t="shared" si="26"/>
        <v>7</v>
      </c>
      <c r="O1670" t="str">
        <f>IF(AND($A1670=Dashboard!$B$3,$B1670=Dashboard!$G$3,$D1670&lt;&gt;"NO_SERVICE"),ROW(),"")</f>
        <v/>
      </c>
    </row>
    <row r="1671" spans="1:15" x14ac:dyDescent="0.25">
      <c r="A1671" t="s">
        <v>1004</v>
      </c>
      <c r="B1671" t="s">
        <v>904</v>
      </c>
      <c r="C1671" t="s">
        <v>2153</v>
      </c>
      <c r="D1671" t="s">
        <v>21</v>
      </c>
      <c r="E1671" t="s">
        <v>2161</v>
      </c>
      <c r="F1671" t="s">
        <v>300</v>
      </c>
      <c r="G1671">
        <v>0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f t="shared" si="26"/>
        <v>6</v>
      </c>
      <c r="O1671" t="str">
        <f>IF(AND($A1671=Dashboard!$B$3,$B1671=Dashboard!$G$3,$D1671&lt;&gt;"NO_SERVICE"),ROW(),"")</f>
        <v/>
      </c>
    </row>
    <row r="1672" spans="1:15" x14ac:dyDescent="0.25">
      <c r="A1672" t="s">
        <v>1004</v>
      </c>
      <c r="B1672" t="s">
        <v>1079</v>
      </c>
      <c r="C1672" t="s">
        <v>2162</v>
      </c>
      <c r="D1672" t="s">
        <v>24</v>
      </c>
      <c r="E1672" t="s">
        <v>2163</v>
      </c>
      <c r="F1672" t="s">
        <v>2164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f t="shared" si="26"/>
        <v>7</v>
      </c>
      <c r="O1672" t="str">
        <f>IF(AND($A1672=Dashboard!$B$3,$B1672=Dashboard!$G$3,$D1672&lt;&gt;"NO_SERVICE"),ROW(),"")</f>
        <v/>
      </c>
    </row>
    <row r="1673" spans="1:15" x14ac:dyDescent="0.25">
      <c r="A1673" t="s">
        <v>1004</v>
      </c>
      <c r="B1673" t="s">
        <v>1079</v>
      </c>
      <c r="C1673" t="s">
        <v>2162</v>
      </c>
      <c r="D1673" t="s">
        <v>24</v>
      </c>
      <c r="E1673" t="s">
        <v>2165</v>
      </c>
      <c r="F1673" t="s">
        <v>100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0</v>
      </c>
      <c r="M1673">
        <v>1</v>
      </c>
      <c r="N1673">
        <f t="shared" si="26"/>
        <v>6</v>
      </c>
      <c r="O1673" t="str">
        <f>IF(AND($A1673=Dashboard!$B$3,$B1673=Dashboard!$G$3,$D1673&lt;&gt;"NO_SERVICE"),ROW(),"")</f>
        <v/>
      </c>
    </row>
    <row r="1674" spans="1:15" x14ac:dyDescent="0.25">
      <c r="A1674" t="s">
        <v>1004</v>
      </c>
      <c r="B1674" t="s">
        <v>1079</v>
      </c>
      <c r="C1674" t="s">
        <v>2162</v>
      </c>
      <c r="D1674" t="s">
        <v>24</v>
      </c>
      <c r="E1674" t="s">
        <v>2165</v>
      </c>
      <c r="F1674" t="s">
        <v>716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f t="shared" si="26"/>
        <v>1</v>
      </c>
      <c r="O1674" t="str">
        <f>IF(AND($A1674=Dashboard!$B$3,$B1674=Dashboard!$G$3,$D1674&lt;&gt;"NO_SERVICE"),ROW(),"")</f>
        <v/>
      </c>
    </row>
    <row r="1675" spans="1:15" x14ac:dyDescent="0.25">
      <c r="A1675" t="s">
        <v>1004</v>
      </c>
      <c r="B1675" t="s">
        <v>1079</v>
      </c>
      <c r="C1675" t="s">
        <v>2162</v>
      </c>
      <c r="D1675" t="s">
        <v>24</v>
      </c>
      <c r="E1675" t="s">
        <v>2166</v>
      </c>
      <c r="F1675" t="s">
        <v>112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0</v>
      </c>
      <c r="M1675">
        <v>1</v>
      </c>
      <c r="N1675">
        <f t="shared" si="26"/>
        <v>6</v>
      </c>
      <c r="O1675" t="str">
        <f>IF(AND($A1675=Dashboard!$B$3,$B1675=Dashboard!$G$3,$D1675&lt;&gt;"NO_SERVICE"),ROW(),"")</f>
        <v/>
      </c>
    </row>
    <row r="1676" spans="1:15" x14ac:dyDescent="0.25">
      <c r="A1676" t="s">
        <v>1004</v>
      </c>
      <c r="B1676" t="s">
        <v>1079</v>
      </c>
      <c r="C1676" t="s">
        <v>2162</v>
      </c>
      <c r="D1676" t="s">
        <v>24</v>
      </c>
      <c r="E1676" t="s">
        <v>2167</v>
      </c>
      <c r="F1676" t="s">
        <v>738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f t="shared" si="26"/>
        <v>7</v>
      </c>
      <c r="O1676" t="str">
        <f>IF(AND($A1676=Dashboard!$B$3,$B1676=Dashboard!$G$3,$D1676&lt;&gt;"NO_SERVICE"),ROW(),"")</f>
        <v/>
      </c>
    </row>
    <row r="1677" spans="1:15" x14ac:dyDescent="0.25">
      <c r="A1677" t="s">
        <v>1004</v>
      </c>
      <c r="B1677" t="s">
        <v>1079</v>
      </c>
      <c r="C1677" t="s">
        <v>2162</v>
      </c>
      <c r="D1677" t="s">
        <v>24</v>
      </c>
      <c r="E1677" t="s">
        <v>2168</v>
      </c>
      <c r="F1677" t="s">
        <v>1265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f t="shared" si="26"/>
        <v>7</v>
      </c>
      <c r="O1677" t="str">
        <f>IF(AND($A1677=Dashboard!$B$3,$B1677=Dashboard!$G$3,$D1677&lt;&gt;"NO_SERVICE"),ROW(),"")</f>
        <v/>
      </c>
    </row>
    <row r="1678" spans="1:15" x14ac:dyDescent="0.25">
      <c r="A1678" t="s">
        <v>1004</v>
      </c>
      <c r="B1678" t="s">
        <v>1079</v>
      </c>
      <c r="C1678" t="s">
        <v>2162</v>
      </c>
      <c r="D1678" t="s">
        <v>21</v>
      </c>
      <c r="E1678" t="s">
        <v>2169</v>
      </c>
      <c r="F1678" t="s">
        <v>1939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f t="shared" si="26"/>
        <v>7</v>
      </c>
      <c r="O1678" t="str">
        <f>IF(AND($A1678=Dashboard!$B$3,$B1678=Dashboard!$G$3,$D1678&lt;&gt;"NO_SERVICE"),ROW(),"")</f>
        <v/>
      </c>
    </row>
    <row r="1679" spans="1:15" x14ac:dyDescent="0.25">
      <c r="A1679" t="s">
        <v>353</v>
      </c>
      <c r="B1679" t="s">
        <v>1079</v>
      </c>
      <c r="C1679" t="s">
        <v>2170</v>
      </c>
      <c r="D1679" t="s">
        <v>52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f t="shared" si="26"/>
        <v>0</v>
      </c>
      <c r="O1679" t="str">
        <f>IF(AND($A1679=Dashboard!$B$3,$B1679=Dashboard!$G$3,$D1679&lt;&gt;"NO_SERVICE"),ROW(),"")</f>
        <v/>
      </c>
    </row>
    <row r="1680" spans="1:15" x14ac:dyDescent="0.25">
      <c r="A1680" t="s">
        <v>1079</v>
      </c>
      <c r="B1680" t="s">
        <v>353</v>
      </c>
      <c r="C1680" t="s">
        <v>2171</v>
      </c>
      <c r="D1680" t="s">
        <v>52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f t="shared" si="26"/>
        <v>0</v>
      </c>
      <c r="O1680" t="str">
        <f>IF(AND($A1680=Dashboard!$B$3,$B1680=Dashboard!$G$3,$D1680&lt;&gt;"NO_SERVICE"),ROW(),"")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81"/>
  <sheetViews>
    <sheetView zoomScaleNormal="100" workbookViewId="0"/>
  </sheetViews>
  <sheetFormatPr defaultColWidth="8.7109375" defaultRowHeight="15" x14ac:dyDescent="0.25"/>
  <sheetData>
    <row r="1" spans="1:3" x14ac:dyDescent="0.25">
      <c r="A1" s="1" t="s">
        <v>34</v>
      </c>
      <c r="B1" s="1" t="s">
        <v>18</v>
      </c>
      <c r="C1" s="1" t="s">
        <v>2172</v>
      </c>
    </row>
    <row r="2" spans="1:3" x14ac:dyDescent="0.25">
      <c r="A2" t="s">
        <v>47</v>
      </c>
      <c r="B2" t="s">
        <v>25</v>
      </c>
      <c r="C2">
        <f>SUMIFS('Raw Data'!$N$2:$N$1680,'Raw Data'!$C$2:$C$1680,A2,'Raw Data'!$D$2:$D$1680,"INDIGO",'Raw Data'!$E$2:$E$1680,"6E*")</f>
        <v>5</v>
      </c>
    </row>
    <row r="3" spans="1:3" x14ac:dyDescent="0.25">
      <c r="A3" t="s">
        <v>51</v>
      </c>
      <c r="B3" t="s">
        <v>52</v>
      </c>
      <c r="C3">
        <f>SUMIFS('Raw Data'!$N$2:$N$1680,'Raw Data'!$C$2:$C$1680,A3,'Raw Data'!$D$2:$D$1680,B3)</f>
        <v>0</v>
      </c>
    </row>
    <row r="4" spans="1:3" x14ac:dyDescent="0.25">
      <c r="A4" t="s">
        <v>54</v>
      </c>
      <c r="B4" t="s">
        <v>25</v>
      </c>
      <c r="C4">
        <f>SUMIFS('Raw Data'!$N$2:$N$1680,'Raw Data'!$C$2:$C$1680,A4,'Raw Data'!$D$2:$D$1680,"INDIGO",'Raw Data'!$E$2:$E$1680,"6E*")</f>
        <v>5</v>
      </c>
    </row>
    <row r="5" spans="1:3" x14ac:dyDescent="0.25">
      <c r="A5" t="s">
        <v>58</v>
      </c>
      <c r="B5" t="s">
        <v>25</v>
      </c>
      <c r="C5">
        <f>SUMIFS('Raw Data'!$N$2:$N$1680,'Raw Data'!$C$2:$C$1680,A5,'Raw Data'!$D$2:$D$1680,"INDIGO",'Raw Data'!$E$2:$E$1680,"6E*")</f>
        <v>11</v>
      </c>
    </row>
    <row r="6" spans="1:3" x14ac:dyDescent="0.25">
      <c r="A6" t="s">
        <v>64</v>
      </c>
      <c r="B6" t="s">
        <v>25</v>
      </c>
      <c r="C6">
        <f>SUMIFS('Raw Data'!$N$2:$N$1680,'Raw Data'!$C$2:$C$1680,A6,'Raw Data'!$D$2:$D$1680,"INDIGO",'Raw Data'!$E$2:$E$1680,"6E*")</f>
        <v>7</v>
      </c>
    </row>
    <row r="7" spans="1:3" x14ac:dyDescent="0.25">
      <c r="A7" t="s">
        <v>68</v>
      </c>
      <c r="B7" t="s">
        <v>25</v>
      </c>
      <c r="C7">
        <f>SUMIFS('Raw Data'!$N$2:$N$1680,'Raw Data'!$C$2:$C$1680,A7,'Raw Data'!$D$2:$D$1680,"INDIGO",'Raw Data'!$E$2:$E$1680,"6E*")</f>
        <v>14</v>
      </c>
    </row>
    <row r="8" spans="1:3" x14ac:dyDescent="0.25">
      <c r="A8" t="s">
        <v>74</v>
      </c>
      <c r="B8" t="s">
        <v>27</v>
      </c>
      <c r="C8">
        <f>SUMIFS('Raw Data'!$N$2:$N$1680,'Raw Data'!$C$2:$C$1680,A8,'Raw Data'!$D$2:$D$1680,"AKASA",'Raw Data'!$E$2:$E$1680,"QP*")</f>
        <v>6</v>
      </c>
    </row>
    <row r="9" spans="1:3" x14ac:dyDescent="0.25">
      <c r="A9" t="s">
        <v>80</v>
      </c>
      <c r="B9" t="s">
        <v>52</v>
      </c>
      <c r="C9">
        <f>SUMIFS('Raw Data'!$N$2:$N$1680,'Raw Data'!$C$2:$C$1680,A9,'Raw Data'!$D$2:$D$1680,B9)</f>
        <v>0</v>
      </c>
    </row>
    <row r="10" spans="1:3" x14ac:dyDescent="0.25">
      <c r="A10" t="s">
        <v>82</v>
      </c>
      <c r="B10" t="s">
        <v>52</v>
      </c>
      <c r="C10">
        <f>SUMIFS('Raw Data'!$N$2:$N$1680,'Raw Data'!$C$2:$C$1680,A10,'Raw Data'!$D$2:$D$1680,B10)</f>
        <v>0</v>
      </c>
    </row>
    <row r="11" spans="1:3" x14ac:dyDescent="0.25">
      <c r="A11" t="s">
        <v>84</v>
      </c>
      <c r="B11" t="s">
        <v>25</v>
      </c>
      <c r="C11">
        <f>SUMIFS('Raw Data'!$N$2:$N$1680,'Raw Data'!$C$2:$C$1680,A11,'Raw Data'!$D$2:$D$1680,"INDIGO",'Raw Data'!$E$2:$E$1680,"6E*")</f>
        <v>21</v>
      </c>
    </row>
    <row r="12" spans="1:3" x14ac:dyDescent="0.25">
      <c r="A12" t="s">
        <v>92</v>
      </c>
      <c r="B12" t="s">
        <v>25</v>
      </c>
      <c r="C12">
        <f>SUMIFS('Raw Data'!$N$2:$N$1680,'Raw Data'!$C$2:$C$1680,A12,'Raw Data'!$D$2:$D$1680,"INDIGO",'Raw Data'!$E$2:$E$1680,"6E*")</f>
        <v>10</v>
      </c>
    </row>
    <row r="13" spans="1:3" x14ac:dyDescent="0.25">
      <c r="A13" t="s">
        <v>98</v>
      </c>
      <c r="B13" t="s">
        <v>25</v>
      </c>
      <c r="C13">
        <f>SUMIFS('Raw Data'!$N$2:$N$1680,'Raw Data'!$C$2:$C$1680,A13,'Raw Data'!$D$2:$D$1680,"INDIGO",'Raw Data'!$E$2:$E$1680,"6E*")</f>
        <v>14</v>
      </c>
    </row>
    <row r="14" spans="1:3" x14ac:dyDescent="0.25">
      <c r="A14" t="s">
        <v>104</v>
      </c>
      <c r="B14" t="s">
        <v>25</v>
      </c>
      <c r="C14">
        <f>SUMIFS('Raw Data'!$N$2:$N$1680,'Raw Data'!$C$2:$C$1680,A14,'Raw Data'!$D$2:$D$1680,"INDIGO",'Raw Data'!$E$2:$E$1680,"6E*")</f>
        <v>7</v>
      </c>
    </row>
    <row r="15" spans="1:3" x14ac:dyDescent="0.25">
      <c r="A15" t="s">
        <v>110</v>
      </c>
      <c r="B15" t="s">
        <v>25</v>
      </c>
      <c r="C15">
        <f>SUMIFS('Raw Data'!$N$2:$N$1680,'Raw Data'!$C$2:$C$1680,A15,'Raw Data'!$D$2:$D$1680,"INDIGO",'Raw Data'!$E$2:$E$1680,"6E*")</f>
        <v>7</v>
      </c>
    </row>
    <row r="16" spans="1:3" x14ac:dyDescent="0.25">
      <c r="A16" t="s">
        <v>114</v>
      </c>
      <c r="B16" t="s">
        <v>25</v>
      </c>
      <c r="C16">
        <f>SUMIFS('Raw Data'!$N$2:$N$1680,'Raw Data'!$C$2:$C$1680,A16,'Raw Data'!$D$2:$D$1680,"INDIGO",'Raw Data'!$E$2:$E$1680,"6E*")</f>
        <v>7</v>
      </c>
    </row>
    <row r="17" spans="1:3" x14ac:dyDescent="0.25">
      <c r="A17" t="s">
        <v>117</v>
      </c>
      <c r="B17" t="s">
        <v>25</v>
      </c>
      <c r="C17">
        <f>SUMIFS('Raw Data'!$N$2:$N$1680,'Raw Data'!$C$2:$C$1680,A17,'Raw Data'!$D$2:$D$1680,"INDIGO",'Raw Data'!$E$2:$E$1680,"6E*")</f>
        <v>7</v>
      </c>
    </row>
    <row r="18" spans="1:3" x14ac:dyDescent="0.25">
      <c r="A18" t="s">
        <v>123</v>
      </c>
      <c r="B18" t="s">
        <v>52</v>
      </c>
      <c r="C18">
        <f>SUMIFS('Raw Data'!$N$2:$N$1680,'Raw Data'!$C$2:$C$1680,A18,'Raw Data'!$D$2:$D$1680,B18)</f>
        <v>0</v>
      </c>
    </row>
    <row r="19" spans="1:3" x14ac:dyDescent="0.25">
      <c r="A19" t="s">
        <v>125</v>
      </c>
      <c r="B19" t="s">
        <v>25</v>
      </c>
      <c r="C19">
        <f>SUMIFS('Raw Data'!$N$2:$N$1680,'Raw Data'!$C$2:$C$1680,A19,'Raw Data'!$D$2:$D$1680,"INDIGO",'Raw Data'!$E$2:$E$1680,"6E*")</f>
        <v>3</v>
      </c>
    </row>
    <row r="20" spans="1:3" x14ac:dyDescent="0.25">
      <c r="A20" t="s">
        <v>129</v>
      </c>
      <c r="B20" t="s">
        <v>25</v>
      </c>
      <c r="C20">
        <f>SUMIFS('Raw Data'!$N$2:$N$1680,'Raw Data'!$C$2:$C$1680,A20,'Raw Data'!$D$2:$D$1680,"INDIGO",'Raw Data'!$E$2:$E$1680,"6E*")</f>
        <v>7</v>
      </c>
    </row>
    <row r="21" spans="1:3" x14ac:dyDescent="0.25">
      <c r="A21" t="s">
        <v>133</v>
      </c>
      <c r="B21" t="s">
        <v>52</v>
      </c>
      <c r="C21">
        <f>SUMIFS('Raw Data'!$N$2:$N$1680,'Raw Data'!$C$2:$C$1680,A21,'Raw Data'!$D$2:$D$1680,B21)</f>
        <v>0</v>
      </c>
    </row>
    <row r="22" spans="1:3" x14ac:dyDescent="0.25">
      <c r="A22" t="s">
        <v>135</v>
      </c>
      <c r="B22" t="s">
        <v>25</v>
      </c>
      <c r="C22">
        <f>SUMIFS('Raw Data'!$N$2:$N$1680,'Raw Data'!$C$2:$C$1680,A22,'Raw Data'!$D$2:$D$1680,"INDIGO",'Raw Data'!$E$2:$E$1680,"6E*")</f>
        <v>7</v>
      </c>
    </row>
    <row r="23" spans="1:3" x14ac:dyDescent="0.25">
      <c r="A23" t="s">
        <v>139</v>
      </c>
      <c r="B23" t="s">
        <v>52</v>
      </c>
      <c r="C23">
        <f>SUMIFS('Raw Data'!$N$2:$N$1680,'Raw Data'!$C$2:$C$1680,A23,'Raw Data'!$D$2:$D$1680,B23)</f>
        <v>0</v>
      </c>
    </row>
    <row r="24" spans="1:3" x14ac:dyDescent="0.25">
      <c r="A24" t="s">
        <v>141</v>
      </c>
      <c r="B24" t="s">
        <v>25</v>
      </c>
      <c r="C24">
        <f>SUMIFS('Raw Data'!$N$2:$N$1680,'Raw Data'!$C$2:$C$1680,A24,'Raw Data'!$D$2:$D$1680,"INDIGO",'Raw Data'!$E$2:$E$1680,"6E*")</f>
        <v>7</v>
      </c>
    </row>
    <row r="25" spans="1:3" x14ac:dyDescent="0.25">
      <c r="A25" t="s">
        <v>145</v>
      </c>
      <c r="B25" t="s">
        <v>25</v>
      </c>
      <c r="C25">
        <f>SUMIFS('Raw Data'!$N$2:$N$1680,'Raw Data'!$C$2:$C$1680,A25,'Raw Data'!$D$2:$D$1680,"INDIGO",'Raw Data'!$E$2:$E$1680,"6E*")</f>
        <v>7</v>
      </c>
    </row>
    <row r="26" spans="1:3" x14ac:dyDescent="0.25">
      <c r="A26" t="s">
        <v>149</v>
      </c>
      <c r="B26" t="s">
        <v>52</v>
      </c>
      <c r="C26">
        <f>SUMIFS('Raw Data'!$N$2:$N$1680,'Raw Data'!$C$2:$C$1680,A26,'Raw Data'!$D$2:$D$1680,B26)</f>
        <v>0</v>
      </c>
    </row>
    <row r="27" spans="1:3" x14ac:dyDescent="0.25">
      <c r="A27" t="s">
        <v>151</v>
      </c>
      <c r="B27" t="s">
        <v>52</v>
      </c>
      <c r="C27">
        <f>SUMIFS('Raw Data'!$N$2:$N$1680,'Raw Data'!$C$2:$C$1680,A27,'Raw Data'!$D$2:$D$1680,B27)</f>
        <v>0</v>
      </c>
    </row>
    <row r="28" spans="1:3" x14ac:dyDescent="0.25">
      <c r="A28" t="s">
        <v>153</v>
      </c>
      <c r="B28" t="s">
        <v>52</v>
      </c>
      <c r="C28">
        <f>SUMIFS('Raw Data'!$N$2:$N$1680,'Raw Data'!$C$2:$C$1680,A28,'Raw Data'!$D$2:$D$1680,B28)</f>
        <v>0</v>
      </c>
    </row>
    <row r="29" spans="1:3" x14ac:dyDescent="0.25">
      <c r="A29" t="s">
        <v>155</v>
      </c>
      <c r="B29" t="s">
        <v>25</v>
      </c>
      <c r="C29">
        <f>SUMIFS('Raw Data'!$N$2:$N$1680,'Raw Data'!$C$2:$C$1680,A29,'Raw Data'!$D$2:$D$1680,"INDIGO",'Raw Data'!$E$2:$E$1680,"6E*")</f>
        <v>17</v>
      </c>
    </row>
    <row r="30" spans="1:3" x14ac:dyDescent="0.25">
      <c r="A30" t="s">
        <v>155</v>
      </c>
      <c r="B30" t="s">
        <v>27</v>
      </c>
      <c r="C30">
        <f>SUMIFS('Raw Data'!$N$2:$N$1680,'Raw Data'!$C$2:$C$1680,A30,'Raw Data'!$D$2:$D$1680,"AKASA",'Raw Data'!$E$2:$E$1680,"QP*")</f>
        <v>7</v>
      </c>
    </row>
    <row r="31" spans="1:3" x14ac:dyDescent="0.25">
      <c r="A31" t="s">
        <v>155</v>
      </c>
      <c r="B31" t="s">
        <v>2173</v>
      </c>
      <c r="C31">
        <f>SUMIFS('Raw Data'!$N$2:$N$1680,'Raw Data'!$C$2:$C$1680,A31,'Raw Data'!$D$2:$D$1680,"AIRINDIA",'Raw Data'!$E$2:$E$1680,"IX*")</f>
        <v>7</v>
      </c>
    </row>
    <row r="32" spans="1:3" x14ac:dyDescent="0.25">
      <c r="A32" t="s">
        <v>166</v>
      </c>
      <c r="B32" t="s">
        <v>25</v>
      </c>
      <c r="C32">
        <f>SUMIFS('Raw Data'!$N$2:$N$1680,'Raw Data'!$C$2:$C$1680,A32,'Raw Data'!$D$2:$D$1680,"INDIGO",'Raw Data'!$E$2:$E$1680,"6E*")</f>
        <v>22</v>
      </c>
    </row>
    <row r="33" spans="1:3" x14ac:dyDescent="0.25">
      <c r="A33" t="s">
        <v>175</v>
      </c>
      <c r="B33" t="s">
        <v>25</v>
      </c>
      <c r="C33">
        <f>SUMIFS('Raw Data'!$N$2:$N$1680,'Raw Data'!$C$2:$C$1680,A33,'Raw Data'!$D$2:$D$1680,"INDIGO",'Raw Data'!$E$2:$E$1680,"6E*")</f>
        <v>35</v>
      </c>
    </row>
    <row r="34" spans="1:3" x14ac:dyDescent="0.25">
      <c r="A34" t="s">
        <v>175</v>
      </c>
      <c r="B34" t="s">
        <v>2174</v>
      </c>
      <c r="C34">
        <f>SUMIFS('Raw Data'!$N$2:$N$1680,'Raw Data'!$C$2:$C$1680,A34,'Raw Data'!$D$2:$D$1680,"ALLIANCE",'Raw Data'!$E$2:$E$1680,"9I*")</f>
        <v>0</v>
      </c>
    </row>
    <row r="35" spans="1:3" x14ac:dyDescent="0.25">
      <c r="A35" t="s">
        <v>175</v>
      </c>
      <c r="B35" t="s">
        <v>2173</v>
      </c>
      <c r="C35">
        <f>SUMIFS('Raw Data'!$N$2:$N$1680,'Raw Data'!$C$2:$C$1680,A35,'Raw Data'!$D$2:$D$1680,"AIRINDIA",'Raw Data'!$E$2:$E$1680,"IX*")</f>
        <v>10</v>
      </c>
    </row>
    <row r="36" spans="1:3" x14ac:dyDescent="0.25">
      <c r="A36" t="s">
        <v>189</v>
      </c>
      <c r="B36" t="s">
        <v>25</v>
      </c>
      <c r="C36">
        <f>SUMIFS('Raw Data'!$N$2:$N$1680,'Raw Data'!$C$2:$C$1680,A36,'Raw Data'!$D$2:$D$1680,"INDIGO",'Raw Data'!$E$2:$E$1680,"6E*")</f>
        <v>18</v>
      </c>
    </row>
    <row r="37" spans="1:3" x14ac:dyDescent="0.25">
      <c r="A37" t="s">
        <v>189</v>
      </c>
      <c r="B37" t="s">
        <v>2173</v>
      </c>
      <c r="C37">
        <f>SUMIFS('Raw Data'!$N$2:$N$1680,'Raw Data'!$C$2:$C$1680,A37,'Raw Data'!$D$2:$D$1680,"AIRINDIA",'Raw Data'!$E$2:$E$1680,"IX*")</f>
        <v>7</v>
      </c>
    </row>
    <row r="38" spans="1:3" x14ac:dyDescent="0.25">
      <c r="A38" t="s">
        <v>196</v>
      </c>
      <c r="B38" t="s">
        <v>25</v>
      </c>
      <c r="C38">
        <f>SUMIFS('Raw Data'!$N$2:$N$1680,'Raw Data'!$C$2:$C$1680,A38,'Raw Data'!$D$2:$D$1680,"INDIGO",'Raw Data'!$E$2:$E$1680,"6E*")</f>
        <v>4</v>
      </c>
    </row>
    <row r="39" spans="1:3" x14ac:dyDescent="0.25">
      <c r="A39" t="s">
        <v>196</v>
      </c>
      <c r="B39" t="s">
        <v>27</v>
      </c>
      <c r="C39">
        <f>SUMIFS('Raw Data'!$N$2:$N$1680,'Raw Data'!$C$2:$C$1680,A39,'Raw Data'!$D$2:$D$1680,"AKASA",'Raw Data'!$E$2:$E$1680,"QP*")</f>
        <v>4</v>
      </c>
    </row>
    <row r="40" spans="1:3" x14ac:dyDescent="0.25">
      <c r="A40" t="s">
        <v>196</v>
      </c>
      <c r="B40" t="s">
        <v>2173</v>
      </c>
      <c r="C40">
        <f>SUMIFS('Raw Data'!$N$2:$N$1680,'Raw Data'!$C$2:$C$1680,A40,'Raw Data'!$D$2:$D$1680,"AIRINDIA",'Raw Data'!$E$2:$E$1680,"IX*")</f>
        <v>13</v>
      </c>
    </row>
    <row r="41" spans="1:3" x14ac:dyDescent="0.25">
      <c r="A41" t="s">
        <v>205</v>
      </c>
      <c r="B41" t="s">
        <v>25</v>
      </c>
      <c r="C41">
        <f>SUMIFS('Raw Data'!$N$2:$N$1680,'Raw Data'!$C$2:$C$1680,A41,'Raw Data'!$D$2:$D$1680,"INDIGO",'Raw Data'!$E$2:$E$1680,"6E*")</f>
        <v>14</v>
      </c>
    </row>
    <row r="42" spans="1:3" x14ac:dyDescent="0.25">
      <c r="A42" t="s">
        <v>210</v>
      </c>
      <c r="B42" t="s">
        <v>2173</v>
      </c>
      <c r="C42">
        <f>SUMIFS('Raw Data'!$N$2:$N$1680,'Raw Data'!$C$2:$C$1680,A42,'Raw Data'!$D$2:$D$1680,"AIRINDIA",'Raw Data'!$E$2:$E$1680,"IX*")</f>
        <v>7</v>
      </c>
    </row>
    <row r="43" spans="1:3" x14ac:dyDescent="0.25">
      <c r="A43" t="s">
        <v>213</v>
      </c>
      <c r="B43" t="s">
        <v>25</v>
      </c>
      <c r="C43">
        <f>SUMIFS('Raw Data'!$N$2:$N$1680,'Raw Data'!$C$2:$C$1680,A43,'Raw Data'!$D$2:$D$1680,"INDIGO",'Raw Data'!$E$2:$E$1680,"6E*")</f>
        <v>22</v>
      </c>
    </row>
    <row r="44" spans="1:3" x14ac:dyDescent="0.25">
      <c r="A44" t="s">
        <v>213</v>
      </c>
      <c r="B44" t="s">
        <v>2173</v>
      </c>
      <c r="C44">
        <f>SUMIFS('Raw Data'!$N$2:$N$1680,'Raw Data'!$C$2:$C$1680,A44,'Raw Data'!$D$2:$D$1680,"AIRINDIA",'Raw Data'!$E$2:$E$1680,"IX*")</f>
        <v>14</v>
      </c>
    </row>
    <row r="45" spans="1:3" x14ac:dyDescent="0.25">
      <c r="A45" t="s">
        <v>226</v>
      </c>
      <c r="B45" t="s">
        <v>25</v>
      </c>
      <c r="C45">
        <f>SUMIFS('Raw Data'!$N$2:$N$1680,'Raw Data'!$C$2:$C$1680,A45,'Raw Data'!$D$2:$D$1680,"INDIGO",'Raw Data'!$E$2:$E$1680,"6E*")</f>
        <v>24</v>
      </c>
    </row>
    <row r="46" spans="1:3" x14ac:dyDescent="0.25">
      <c r="A46" t="s">
        <v>226</v>
      </c>
      <c r="B46" t="s">
        <v>2173</v>
      </c>
      <c r="C46">
        <f>SUMIFS('Raw Data'!$N$2:$N$1680,'Raw Data'!$C$2:$C$1680,A46,'Raw Data'!$D$2:$D$1680,"AIRINDIA",'Raw Data'!$E$2:$E$1680,"IX*")</f>
        <v>12</v>
      </c>
    </row>
    <row r="47" spans="1:3" x14ac:dyDescent="0.25">
      <c r="A47" t="s">
        <v>238</v>
      </c>
      <c r="B47" t="s">
        <v>25</v>
      </c>
      <c r="C47">
        <f>SUMIFS('Raw Data'!$N$2:$N$1680,'Raw Data'!$C$2:$C$1680,A47,'Raw Data'!$D$2:$D$1680,"INDIGO",'Raw Data'!$E$2:$E$1680,"6E*")</f>
        <v>14</v>
      </c>
    </row>
    <row r="48" spans="1:3" x14ac:dyDescent="0.25">
      <c r="A48" t="s">
        <v>238</v>
      </c>
      <c r="B48" t="s">
        <v>2173</v>
      </c>
      <c r="C48">
        <f>SUMIFS('Raw Data'!$N$2:$N$1680,'Raw Data'!$C$2:$C$1680,A48,'Raw Data'!$D$2:$D$1680,"AIRINDIA",'Raw Data'!$E$2:$E$1680,"IX*")</f>
        <v>7</v>
      </c>
    </row>
    <row r="49" spans="1:3" x14ac:dyDescent="0.25">
      <c r="A49" t="s">
        <v>245</v>
      </c>
      <c r="B49" t="s">
        <v>25</v>
      </c>
      <c r="C49">
        <f>SUMIFS('Raw Data'!$N$2:$N$1680,'Raw Data'!$C$2:$C$1680,A49,'Raw Data'!$D$2:$D$1680,"INDIGO",'Raw Data'!$E$2:$E$1680,"6E*")</f>
        <v>21</v>
      </c>
    </row>
    <row r="50" spans="1:3" x14ac:dyDescent="0.25">
      <c r="A50" t="s">
        <v>245</v>
      </c>
      <c r="B50" t="s">
        <v>2173</v>
      </c>
      <c r="C50">
        <f>SUMIFS('Raw Data'!$N$2:$N$1680,'Raw Data'!$C$2:$C$1680,A50,'Raw Data'!$D$2:$D$1680,"AIRINDIA",'Raw Data'!$E$2:$E$1680,"IX*")</f>
        <v>8</v>
      </c>
    </row>
    <row r="51" spans="1:3" x14ac:dyDescent="0.25">
      <c r="A51" t="s">
        <v>254</v>
      </c>
      <c r="B51" t="s">
        <v>25</v>
      </c>
      <c r="C51">
        <f>SUMIFS('Raw Data'!$N$2:$N$1680,'Raw Data'!$C$2:$C$1680,A51,'Raw Data'!$D$2:$D$1680,"INDIGO",'Raw Data'!$E$2:$E$1680,"6E*")</f>
        <v>7</v>
      </c>
    </row>
    <row r="52" spans="1:3" x14ac:dyDescent="0.25">
      <c r="A52" t="s">
        <v>254</v>
      </c>
      <c r="B52" t="s">
        <v>2173</v>
      </c>
      <c r="C52">
        <f>SUMIFS('Raw Data'!$N$2:$N$1680,'Raw Data'!$C$2:$C$1680,A52,'Raw Data'!$D$2:$D$1680,"AIRINDIA",'Raw Data'!$E$2:$E$1680,"IX*")</f>
        <v>21</v>
      </c>
    </row>
    <row r="53" spans="1:3" x14ac:dyDescent="0.25">
      <c r="A53" t="s">
        <v>263</v>
      </c>
      <c r="B53" t="s">
        <v>25</v>
      </c>
      <c r="C53">
        <f>SUMIFS('Raw Data'!$N$2:$N$1680,'Raw Data'!$C$2:$C$1680,A53,'Raw Data'!$D$2:$D$1680,"INDIGO",'Raw Data'!$E$2:$E$1680,"6E*")</f>
        <v>14</v>
      </c>
    </row>
    <row r="54" spans="1:3" x14ac:dyDescent="0.25">
      <c r="A54" t="s">
        <v>267</v>
      </c>
      <c r="B54" t="s">
        <v>25</v>
      </c>
      <c r="C54">
        <f>SUMIFS('Raw Data'!$N$2:$N$1680,'Raw Data'!$C$2:$C$1680,A54,'Raw Data'!$D$2:$D$1680,"INDIGO",'Raw Data'!$E$2:$E$1680,"6E*")</f>
        <v>18</v>
      </c>
    </row>
    <row r="55" spans="1:3" x14ac:dyDescent="0.25">
      <c r="A55" t="s">
        <v>267</v>
      </c>
      <c r="B55" t="s">
        <v>2173</v>
      </c>
      <c r="C55">
        <f>SUMIFS('Raw Data'!$N$2:$N$1680,'Raw Data'!$C$2:$C$1680,A55,'Raw Data'!$D$2:$D$1680,"AIRINDIA",'Raw Data'!$E$2:$E$1680,"IX*")</f>
        <v>7</v>
      </c>
    </row>
    <row r="56" spans="1:3" x14ac:dyDescent="0.25">
      <c r="A56" t="s">
        <v>274</v>
      </c>
      <c r="B56" t="s">
        <v>25</v>
      </c>
      <c r="C56">
        <f>SUMIFS('Raw Data'!$N$2:$N$1680,'Raw Data'!$C$2:$C$1680,A56,'Raw Data'!$D$2:$D$1680,"INDIGO",'Raw Data'!$E$2:$E$1680,"6E*")</f>
        <v>3</v>
      </c>
    </row>
    <row r="57" spans="1:3" x14ac:dyDescent="0.25">
      <c r="A57" t="s">
        <v>277</v>
      </c>
      <c r="B57" t="s">
        <v>25</v>
      </c>
      <c r="C57">
        <f>SUMIFS('Raw Data'!$N$2:$N$1680,'Raw Data'!$C$2:$C$1680,A57,'Raw Data'!$D$2:$D$1680,"INDIGO",'Raw Data'!$E$2:$E$1680,"6E*")</f>
        <v>2</v>
      </c>
    </row>
    <row r="58" spans="1:3" x14ac:dyDescent="0.25">
      <c r="A58" t="s">
        <v>277</v>
      </c>
      <c r="B58" t="s">
        <v>2173</v>
      </c>
      <c r="C58">
        <f>SUMIFS('Raw Data'!$N$2:$N$1680,'Raw Data'!$C$2:$C$1680,A58,'Raw Data'!$D$2:$D$1680,"AIRINDIA",'Raw Data'!$E$2:$E$1680,"IX*")</f>
        <v>7</v>
      </c>
    </row>
    <row r="59" spans="1:3" x14ac:dyDescent="0.25">
      <c r="A59" t="s">
        <v>280</v>
      </c>
      <c r="B59" t="s">
        <v>25</v>
      </c>
      <c r="C59">
        <f>SUMIFS('Raw Data'!$N$2:$N$1680,'Raw Data'!$C$2:$C$1680,A59,'Raw Data'!$D$2:$D$1680,"INDIGO",'Raw Data'!$E$2:$E$1680,"6E*")</f>
        <v>52</v>
      </c>
    </row>
    <row r="60" spans="1:3" x14ac:dyDescent="0.25">
      <c r="A60" t="s">
        <v>280</v>
      </c>
      <c r="B60" t="s">
        <v>2174</v>
      </c>
      <c r="C60">
        <f>SUMIFS('Raw Data'!$N$2:$N$1680,'Raw Data'!$C$2:$C$1680,A60,'Raw Data'!$D$2:$D$1680,"ALLIANCE",'Raw Data'!$E$2:$E$1680,"9I*")</f>
        <v>0</v>
      </c>
    </row>
    <row r="61" spans="1:3" x14ac:dyDescent="0.25">
      <c r="A61" t="s">
        <v>280</v>
      </c>
      <c r="B61" t="s">
        <v>2173</v>
      </c>
      <c r="C61">
        <f>SUMIFS('Raw Data'!$N$2:$N$1680,'Raw Data'!$C$2:$C$1680,A61,'Raw Data'!$D$2:$D$1680,"AIRINDIA",'Raw Data'!$E$2:$E$1680,"IX*")</f>
        <v>28</v>
      </c>
    </row>
    <row r="62" spans="1:3" x14ac:dyDescent="0.25">
      <c r="A62" t="s">
        <v>304</v>
      </c>
      <c r="B62" t="s">
        <v>52</v>
      </c>
      <c r="C62">
        <f>SUMIFS('Raw Data'!$N$2:$N$1680,'Raw Data'!$C$2:$C$1680,A62,'Raw Data'!$D$2:$D$1680,B62)</f>
        <v>0</v>
      </c>
    </row>
    <row r="63" spans="1:3" x14ac:dyDescent="0.25">
      <c r="A63" t="s">
        <v>305</v>
      </c>
      <c r="B63" t="s">
        <v>25</v>
      </c>
      <c r="C63">
        <f>SUMIFS('Raw Data'!$N$2:$N$1680,'Raw Data'!$C$2:$C$1680,A63,'Raw Data'!$D$2:$D$1680,"INDIGO",'Raw Data'!$E$2:$E$1680,"6E*")</f>
        <v>22</v>
      </c>
    </row>
    <row r="64" spans="1:3" x14ac:dyDescent="0.25">
      <c r="A64" t="s">
        <v>305</v>
      </c>
      <c r="B64" t="s">
        <v>2173</v>
      </c>
      <c r="C64">
        <f>SUMIFS('Raw Data'!$N$2:$N$1680,'Raw Data'!$C$2:$C$1680,A64,'Raw Data'!$D$2:$D$1680,"AIRINDIA",'Raw Data'!$E$2:$E$1680,"IX*")</f>
        <v>7</v>
      </c>
    </row>
    <row r="65" spans="1:3" x14ac:dyDescent="0.25">
      <c r="A65" t="s">
        <v>313</v>
      </c>
      <c r="B65" t="s">
        <v>25</v>
      </c>
      <c r="C65">
        <f>SUMIFS('Raw Data'!$N$2:$N$1680,'Raw Data'!$C$2:$C$1680,A65,'Raw Data'!$D$2:$D$1680,"INDIGO",'Raw Data'!$E$2:$E$1680,"6E*")</f>
        <v>14</v>
      </c>
    </row>
    <row r="66" spans="1:3" x14ac:dyDescent="0.25">
      <c r="A66" t="s">
        <v>313</v>
      </c>
      <c r="B66" t="s">
        <v>2173</v>
      </c>
      <c r="C66">
        <f>SUMIFS('Raw Data'!$N$2:$N$1680,'Raw Data'!$C$2:$C$1680,A66,'Raw Data'!$D$2:$D$1680,"AIRINDIA",'Raw Data'!$E$2:$E$1680,"IX*")</f>
        <v>14</v>
      </c>
    </row>
    <row r="67" spans="1:3" x14ac:dyDescent="0.25">
      <c r="A67" t="s">
        <v>323</v>
      </c>
      <c r="B67" t="s">
        <v>52</v>
      </c>
      <c r="C67">
        <f>SUMIFS('Raw Data'!$N$2:$N$1680,'Raw Data'!$C$2:$C$1680,A67,'Raw Data'!$D$2:$D$1680,B67)</f>
        <v>0</v>
      </c>
    </row>
    <row r="68" spans="1:3" x14ac:dyDescent="0.25">
      <c r="A68" t="s">
        <v>324</v>
      </c>
      <c r="B68" t="s">
        <v>25</v>
      </c>
      <c r="C68">
        <f>SUMIFS('Raw Data'!$N$2:$N$1680,'Raw Data'!$C$2:$C$1680,A68,'Raw Data'!$D$2:$D$1680,"INDIGO",'Raw Data'!$E$2:$E$1680,"6E*")</f>
        <v>10</v>
      </c>
    </row>
    <row r="69" spans="1:3" x14ac:dyDescent="0.25">
      <c r="A69" t="s">
        <v>328</v>
      </c>
      <c r="B69" t="s">
        <v>25</v>
      </c>
      <c r="C69">
        <f>SUMIFS('Raw Data'!$N$2:$N$1680,'Raw Data'!$C$2:$C$1680,A69,'Raw Data'!$D$2:$D$1680,"INDIGO",'Raw Data'!$E$2:$E$1680,"6E*")</f>
        <v>14</v>
      </c>
    </row>
    <row r="70" spans="1:3" x14ac:dyDescent="0.25">
      <c r="A70" t="s">
        <v>328</v>
      </c>
      <c r="B70" t="s">
        <v>27</v>
      </c>
      <c r="C70">
        <f>SUMIFS('Raw Data'!$N$2:$N$1680,'Raw Data'!$C$2:$C$1680,A70,'Raw Data'!$D$2:$D$1680,"AKASA",'Raw Data'!$E$2:$E$1680,"QP*")</f>
        <v>2</v>
      </c>
    </row>
    <row r="71" spans="1:3" x14ac:dyDescent="0.25">
      <c r="A71" t="s">
        <v>328</v>
      </c>
      <c r="B71" t="s">
        <v>2173</v>
      </c>
      <c r="C71">
        <f>SUMIFS('Raw Data'!$N$2:$N$1680,'Raw Data'!$C$2:$C$1680,A71,'Raw Data'!$D$2:$D$1680,"AIRINDIA",'Raw Data'!$E$2:$E$1680,"IX*")</f>
        <v>7</v>
      </c>
    </row>
    <row r="72" spans="1:3" x14ac:dyDescent="0.25">
      <c r="A72" t="s">
        <v>336</v>
      </c>
      <c r="B72" t="s">
        <v>52</v>
      </c>
      <c r="C72">
        <f>SUMIFS('Raw Data'!$N$2:$N$1680,'Raw Data'!$C$2:$C$1680,A72,'Raw Data'!$D$2:$D$1680,B72)</f>
        <v>0</v>
      </c>
    </row>
    <row r="73" spans="1:3" x14ac:dyDescent="0.25">
      <c r="A73" t="s">
        <v>337</v>
      </c>
      <c r="B73" t="s">
        <v>25</v>
      </c>
      <c r="C73">
        <f>SUMIFS('Raw Data'!$N$2:$N$1680,'Raw Data'!$C$2:$C$1680,A73,'Raw Data'!$D$2:$D$1680,"INDIGO",'Raw Data'!$E$2:$E$1680,"6E*")</f>
        <v>21</v>
      </c>
    </row>
    <row r="74" spans="1:3" x14ac:dyDescent="0.25">
      <c r="A74" t="s">
        <v>337</v>
      </c>
      <c r="B74" t="s">
        <v>2173</v>
      </c>
      <c r="C74">
        <f>SUMIFS('Raw Data'!$N$2:$N$1680,'Raw Data'!$C$2:$C$1680,A74,'Raw Data'!$D$2:$D$1680,"AIRINDIA",'Raw Data'!$E$2:$E$1680,"IX*")</f>
        <v>7</v>
      </c>
    </row>
    <row r="75" spans="1:3" x14ac:dyDescent="0.25">
      <c r="A75" t="s">
        <v>344</v>
      </c>
      <c r="B75" t="s">
        <v>25</v>
      </c>
      <c r="C75">
        <f>SUMIFS('Raw Data'!$N$2:$N$1680,'Raw Data'!$C$2:$C$1680,A75,'Raw Data'!$D$2:$D$1680,"INDIGO",'Raw Data'!$E$2:$E$1680,"6E*")</f>
        <v>18</v>
      </c>
    </row>
    <row r="76" spans="1:3" x14ac:dyDescent="0.25">
      <c r="A76" t="s">
        <v>344</v>
      </c>
      <c r="B76" t="s">
        <v>2173</v>
      </c>
      <c r="C76">
        <f>SUMIFS('Raw Data'!$N$2:$N$1680,'Raw Data'!$C$2:$C$1680,A76,'Raw Data'!$D$2:$D$1680,"AIRINDIA",'Raw Data'!$E$2:$E$1680,"IX*")</f>
        <v>5</v>
      </c>
    </row>
    <row r="77" spans="1:3" x14ac:dyDescent="0.25">
      <c r="A77" t="s">
        <v>354</v>
      </c>
      <c r="B77" t="s">
        <v>25</v>
      </c>
      <c r="C77">
        <f>SUMIFS('Raw Data'!$N$2:$N$1680,'Raw Data'!$C$2:$C$1680,A77,'Raw Data'!$D$2:$D$1680,"INDIGO",'Raw Data'!$E$2:$E$1680,"6E*")</f>
        <v>21</v>
      </c>
    </row>
    <row r="78" spans="1:3" x14ac:dyDescent="0.25">
      <c r="A78" t="s">
        <v>354</v>
      </c>
      <c r="B78" t="s">
        <v>2173</v>
      </c>
      <c r="C78">
        <f>SUMIFS('Raw Data'!$N$2:$N$1680,'Raw Data'!$C$2:$C$1680,A78,'Raw Data'!$D$2:$D$1680,"AIRINDIA",'Raw Data'!$E$2:$E$1680,"IX*")</f>
        <v>7</v>
      </c>
    </row>
    <row r="79" spans="1:3" x14ac:dyDescent="0.25">
      <c r="A79" t="s">
        <v>361</v>
      </c>
      <c r="B79" t="s">
        <v>25</v>
      </c>
      <c r="C79">
        <f>SUMIFS('Raw Data'!$N$2:$N$1680,'Raw Data'!$C$2:$C$1680,A79,'Raw Data'!$D$2:$D$1680,"INDIGO",'Raw Data'!$E$2:$E$1680,"6E*")</f>
        <v>14</v>
      </c>
    </row>
    <row r="80" spans="1:3" x14ac:dyDescent="0.25">
      <c r="A80" t="s">
        <v>361</v>
      </c>
      <c r="B80" t="s">
        <v>2175</v>
      </c>
      <c r="C80">
        <f>SUMIFS('Raw Data'!$N$2:$N$1680,'Raw Data'!$C$2:$C$1680,A80,'Raw Data'!$D$2:$D$1680,"AIRINDIA",'Raw Data'!$E$2:$E$1680,"AI*")</f>
        <v>17</v>
      </c>
    </row>
    <row r="81" spans="1:3" x14ac:dyDescent="0.25">
      <c r="A81" t="s">
        <v>370</v>
      </c>
      <c r="B81" t="s">
        <v>25</v>
      </c>
      <c r="C81">
        <f>SUMIFS('Raw Data'!$N$2:$N$1680,'Raw Data'!$C$2:$C$1680,A81,'Raw Data'!$D$2:$D$1680,"INDIGO",'Raw Data'!$E$2:$E$1680,"6E*")</f>
        <v>28</v>
      </c>
    </row>
    <row r="82" spans="1:3" x14ac:dyDescent="0.25">
      <c r="A82" t="s">
        <v>370</v>
      </c>
      <c r="B82" t="s">
        <v>2175</v>
      </c>
      <c r="C82">
        <f>SUMIFS('Raw Data'!$N$2:$N$1680,'Raw Data'!$C$2:$C$1680,A82,'Raw Data'!$D$2:$D$1680,"AIRINDIA",'Raw Data'!$E$2:$E$1680,"AI*")</f>
        <v>21</v>
      </c>
    </row>
    <row r="83" spans="1:3" x14ac:dyDescent="0.25">
      <c r="A83" t="s">
        <v>370</v>
      </c>
      <c r="B83" t="s">
        <v>27</v>
      </c>
      <c r="C83">
        <f>SUMIFS('Raw Data'!$N$2:$N$1680,'Raw Data'!$C$2:$C$1680,A83,'Raw Data'!$D$2:$D$1680,"AKASA",'Raw Data'!$E$2:$E$1680,"QP*")</f>
        <v>7</v>
      </c>
    </row>
    <row r="84" spans="1:3" x14ac:dyDescent="0.25">
      <c r="A84" t="s">
        <v>370</v>
      </c>
      <c r="B84" t="s">
        <v>2173</v>
      </c>
      <c r="C84">
        <f>SUMIFS('Raw Data'!$N$2:$N$1680,'Raw Data'!$C$2:$C$1680,A84,'Raw Data'!$D$2:$D$1680,"AIRINDIA",'Raw Data'!$E$2:$E$1680,"IX*")</f>
        <v>20</v>
      </c>
    </row>
    <row r="85" spans="1:3" x14ac:dyDescent="0.25">
      <c r="A85" t="s">
        <v>393</v>
      </c>
      <c r="B85" t="s">
        <v>25</v>
      </c>
      <c r="C85">
        <f>SUMIFS('Raw Data'!$N$2:$N$1680,'Raw Data'!$C$2:$C$1680,A85,'Raw Data'!$D$2:$D$1680,"INDIGO",'Raw Data'!$E$2:$E$1680,"6E*")</f>
        <v>35</v>
      </c>
    </row>
    <row r="86" spans="1:3" x14ac:dyDescent="0.25">
      <c r="A86" t="s">
        <v>393</v>
      </c>
      <c r="B86" t="s">
        <v>2175</v>
      </c>
      <c r="C86">
        <f>SUMIFS('Raw Data'!$N$2:$N$1680,'Raw Data'!$C$2:$C$1680,A86,'Raw Data'!$D$2:$D$1680,"AIRINDIA",'Raw Data'!$E$2:$E$1680,"AI*")</f>
        <v>29</v>
      </c>
    </row>
    <row r="87" spans="1:3" x14ac:dyDescent="0.25">
      <c r="A87" t="s">
        <v>393</v>
      </c>
      <c r="B87" t="s">
        <v>2173</v>
      </c>
      <c r="C87">
        <f>SUMIFS('Raw Data'!$N$2:$N$1680,'Raw Data'!$C$2:$C$1680,A87,'Raw Data'!$D$2:$D$1680,"AIRINDIA",'Raw Data'!$E$2:$E$1680,"IX*")</f>
        <v>14</v>
      </c>
    </row>
    <row r="88" spans="1:3" x14ac:dyDescent="0.25">
      <c r="A88" t="s">
        <v>414</v>
      </c>
      <c r="B88" t="s">
        <v>25</v>
      </c>
      <c r="C88">
        <f>SUMIFS('Raw Data'!$N$2:$N$1680,'Raw Data'!$C$2:$C$1680,A88,'Raw Data'!$D$2:$D$1680,"INDIGO",'Raw Data'!$E$2:$E$1680,"6E*")</f>
        <v>35</v>
      </c>
    </row>
    <row r="89" spans="1:3" x14ac:dyDescent="0.25">
      <c r="A89" t="s">
        <v>414</v>
      </c>
      <c r="B89" t="s">
        <v>2175</v>
      </c>
      <c r="C89">
        <f>SUMIFS('Raw Data'!$N$2:$N$1680,'Raw Data'!$C$2:$C$1680,A89,'Raw Data'!$D$2:$D$1680,"AIRINDIA",'Raw Data'!$E$2:$E$1680,"AI*")</f>
        <v>14</v>
      </c>
    </row>
    <row r="90" spans="1:3" x14ac:dyDescent="0.25">
      <c r="A90" t="s">
        <v>427</v>
      </c>
      <c r="B90" t="s">
        <v>25</v>
      </c>
      <c r="C90">
        <f>SUMIFS('Raw Data'!$N$2:$N$1680,'Raw Data'!$C$2:$C$1680,A90,'Raw Data'!$D$2:$D$1680,"INDIGO",'Raw Data'!$E$2:$E$1680,"6E*")</f>
        <v>5</v>
      </c>
    </row>
    <row r="91" spans="1:3" x14ac:dyDescent="0.25">
      <c r="A91" t="s">
        <v>427</v>
      </c>
      <c r="B91" t="s">
        <v>27</v>
      </c>
      <c r="C91">
        <f>SUMIFS('Raw Data'!$N$2:$N$1680,'Raw Data'!$C$2:$C$1680,A91,'Raw Data'!$D$2:$D$1680,"AKASA",'Raw Data'!$E$2:$E$1680,"QP*")</f>
        <v>6</v>
      </c>
    </row>
    <row r="92" spans="1:3" x14ac:dyDescent="0.25">
      <c r="A92" t="s">
        <v>427</v>
      </c>
      <c r="B92" t="s">
        <v>2173</v>
      </c>
      <c r="C92">
        <f>SUMIFS('Raw Data'!$N$2:$N$1680,'Raw Data'!$C$2:$C$1680,A92,'Raw Data'!$D$2:$D$1680,"AIRINDIA",'Raw Data'!$E$2:$E$1680,"IX*")</f>
        <v>6</v>
      </c>
    </row>
    <row r="93" spans="1:3" x14ac:dyDescent="0.25">
      <c r="A93" t="s">
        <v>433</v>
      </c>
      <c r="B93" t="s">
        <v>25</v>
      </c>
      <c r="C93">
        <f>SUMIFS('Raw Data'!$N$2:$N$1680,'Raw Data'!$C$2:$C$1680,A93,'Raw Data'!$D$2:$D$1680,"INDIGO",'Raw Data'!$E$2:$E$1680,"6E*")</f>
        <v>7</v>
      </c>
    </row>
    <row r="94" spans="1:3" x14ac:dyDescent="0.25">
      <c r="A94" t="s">
        <v>436</v>
      </c>
      <c r="B94" t="s">
        <v>25</v>
      </c>
      <c r="C94">
        <f>SUMIFS('Raw Data'!$N$2:$N$1680,'Raw Data'!$C$2:$C$1680,A94,'Raw Data'!$D$2:$D$1680,"INDIGO",'Raw Data'!$E$2:$E$1680,"6E*")</f>
        <v>4</v>
      </c>
    </row>
    <row r="95" spans="1:3" x14ac:dyDescent="0.25">
      <c r="A95" t="s">
        <v>438</v>
      </c>
      <c r="B95" t="s">
        <v>25</v>
      </c>
      <c r="C95">
        <f>SUMIFS('Raw Data'!$N$2:$N$1680,'Raw Data'!$C$2:$C$1680,A95,'Raw Data'!$D$2:$D$1680,"INDIGO",'Raw Data'!$E$2:$E$1680,"6E*")</f>
        <v>14</v>
      </c>
    </row>
    <row r="96" spans="1:3" x14ac:dyDescent="0.25">
      <c r="A96" t="s">
        <v>438</v>
      </c>
      <c r="B96" t="s">
        <v>2175</v>
      </c>
      <c r="C96">
        <f>SUMIFS('Raw Data'!$N$2:$N$1680,'Raw Data'!$C$2:$C$1680,A96,'Raw Data'!$D$2:$D$1680,"AIRINDIA",'Raw Data'!$E$2:$E$1680,"AI*")</f>
        <v>7</v>
      </c>
    </row>
    <row r="97" spans="1:3" x14ac:dyDescent="0.25">
      <c r="A97" t="s">
        <v>438</v>
      </c>
      <c r="B97" t="s">
        <v>2173</v>
      </c>
      <c r="C97">
        <f>SUMIFS('Raw Data'!$N$2:$N$1680,'Raw Data'!$C$2:$C$1680,A97,'Raw Data'!$D$2:$D$1680,"AIRINDIA",'Raw Data'!$E$2:$E$1680,"IX*")</f>
        <v>7</v>
      </c>
    </row>
    <row r="98" spans="1:3" x14ac:dyDescent="0.25">
      <c r="A98" t="s">
        <v>445</v>
      </c>
      <c r="B98" t="s">
        <v>25</v>
      </c>
      <c r="C98">
        <f>SUMIFS('Raw Data'!$N$2:$N$1680,'Raw Data'!$C$2:$C$1680,A98,'Raw Data'!$D$2:$D$1680,"INDIGO",'Raw Data'!$E$2:$E$1680,"6E*")</f>
        <v>14</v>
      </c>
    </row>
    <row r="99" spans="1:3" x14ac:dyDescent="0.25">
      <c r="A99" t="s">
        <v>445</v>
      </c>
      <c r="B99" t="s">
        <v>27</v>
      </c>
      <c r="C99">
        <f>SUMIFS('Raw Data'!$N$2:$N$1680,'Raw Data'!$C$2:$C$1680,A99,'Raw Data'!$D$2:$D$1680,"AKASA",'Raw Data'!$E$2:$E$1680,"QP*")</f>
        <v>7</v>
      </c>
    </row>
    <row r="100" spans="1:3" x14ac:dyDescent="0.25">
      <c r="A100" t="s">
        <v>449</v>
      </c>
      <c r="B100" t="s">
        <v>25</v>
      </c>
      <c r="C100">
        <f>SUMIFS('Raw Data'!$N$2:$N$1680,'Raw Data'!$C$2:$C$1680,A100,'Raw Data'!$D$2:$D$1680,"INDIGO",'Raw Data'!$E$2:$E$1680,"6E*")</f>
        <v>29</v>
      </c>
    </row>
    <row r="101" spans="1:3" x14ac:dyDescent="0.25">
      <c r="A101" t="s">
        <v>449</v>
      </c>
      <c r="B101" t="s">
        <v>2175</v>
      </c>
      <c r="C101">
        <f>SUMIFS('Raw Data'!$N$2:$N$1680,'Raw Data'!$C$2:$C$1680,A101,'Raw Data'!$D$2:$D$1680,"AIRINDIA",'Raw Data'!$E$2:$E$1680,"AI*")</f>
        <v>7</v>
      </c>
    </row>
    <row r="102" spans="1:3" x14ac:dyDescent="0.25">
      <c r="A102" t="s">
        <v>449</v>
      </c>
      <c r="B102" t="s">
        <v>27</v>
      </c>
      <c r="C102">
        <f>SUMIFS('Raw Data'!$N$2:$N$1680,'Raw Data'!$C$2:$C$1680,A102,'Raw Data'!$D$2:$D$1680,"AKASA",'Raw Data'!$E$2:$E$1680,"QP*")</f>
        <v>10</v>
      </c>
    </row>
    <row r="103" spans="1:3" x14ac:dyDescent="0.25">
      <c r="A103" t="s">
        <v>449</v>
      </c>
      <c r="B103" t="s">
        <v>2173</v>
      </c>
      <c r="C103">
        <f>SUMIFS('Raw Data'!$N$2:$N$1680,'Raw Data'!$C$2:$C$1680,A103,'Raw Data'!$D$2:$D$1680,"AIRINDIA",'Raw Data'!$E$2:$E$1680,"IX*")</f>
        <v>7</v>
      </c>
    </row>
    <row r="104" spans="1:3" x14ac:dyDescent="0.25">
      <c r="A104" t="s">
        <v>467</v>
      </c>
      <c r="B104" t="s">
        <v>25</v>
      </c>
      <c r="C104">
        <f>SUMIFS('Raw Data'!$N$2:$N$1680,'Raw Data'!$C$2:$C$1680,A104,'Raw Data'!$D$2:$D$1680,"INDIGO",'Raw Data'!$E$2:$E$1680,"6E*")</f>
        <v>35</v>
      </c>
    </row>
    <row r="105" spans="1:3" x14ac:dyDescent="0.25">
      <c r="A105" t="s">
        <v>474</v>
      </c>
      <c r="B105" t="s">
        <v>25</v>
      </c>
      <c r="C105">
        <f>SUMIFS('Raw Data'!$N$2:$N$1680,'Raw Data'!$C$2:$C$1680,A105,'Raw Data'!$D$2:$D$1680,"INDIGO",'Raw Data'!$E$2:$E$1680,"6E*")</f>
        <v>14</v>
      </c>
    </row>
    <row r="106" spans="1:3" x14ac:dyDescent="0.25">
      <c r="A106" t="s">
        <v>474</v>
      </c>
      <c r="B106" t="s">
        <v>2175</v>
      </c>
      <c r="C106">
        <f>SUMIFS('Raw Data'!$N$2:$N$1680,'Raw Data'!$C$2:$C$1680,A106,'Raw Data'!$D$2:$D$1680,"AIRINDIA",'Raw Data'!$E$2:$E$1680,"AI*")</f>
        <v>13</v>
      </c>
    </row>
    <row r="107" spans="1:3" x14ac:dyDescent="0.25">
      <c r="A107" t="s">
        <v>482</v>
      </c>
      <c r="B107" t="s">
        <v>25</v>
      </c>
      <c r="C107">
        <f>SUMIFS('Raw Data'!$N$2:$N$1680,'Raw Data'!$C$2:$C$1680,A107,'Raw Data'!$D$2:$D$1680,"INDIGO",'Raw Data'!$E$2:$E$1680,"6E*")</f>
        <v>7</v>
      </c>
    </row>
    <row r="108" spans="1:3" x14ac:dyDescent="0.25">
      <c r="A108" t="s">
        <v>482</v>
      </c>
      <c r="B108" t="s">
        <v>2173</v>
      </c>
      <c r="C108">
        <f>SUMIFS('Raw Data'!$N$2:$N$1680,'Raw Data'!$C$2:$C$1680,A108,'Raw Data'!$D$2:$D$1680,"AIRINDIA",'Raw Data'!$E$2:$E$1680,"IX*")</f>
        <v>7</v>
      </c>
    </row>
    <row r="109" spans="1:3" x14ac:dyDescent="0.25">
      <c r="A109" t="s">
        <v>486</v>
      </c>
      <c r="B109" t="s">
        <v>25</v>
      </c>
      <c r="C109">
        <f>SUMIFS('Raw Data'!$N$2:$N$1680,'Raw Data'!$C$2:$C$1680,A109,'Raw Data'!$D$2:$D$1680,"INDIGO",'Raw Data'!$E$2:$E$1680,"6E*")</f>
        <v>21</v>
      </c>
    </row>
    <row r="110" spans="1:3" x14ac:dyDescent="0.25">
      <c r="A110" t="s">
        <v>491</v>
      </c>
      <c r="B110" t="s">
        <v>25</v>
      </c>
      <c r="C110">
        <f>SUMIFS('Raw Data'!$N$2:$N$1680,'Raw Data'!$C$2:$C$1680,A110,'Raw Data'!$D$2:$D$1680,"INDIGO",'Raw Data'!$E$2:$E$1680,"6E*")</f>
        <v>20</v>
      </c>
    </row>
    <row r="111" spans="1:3" x14ac:dyDescent="0.25">
      <c r="A111" t="s">
        <v>491</v>
      </c>
      <c r="B111" t="s">
        <v>2175</v>
      </c>
      <c r="C111">
        <f>SUMIFS('Raw Data'!$N$2:$N$1680,'Raw Data'!$C$2:$C$1680,A111,'Raw Data'!$D$2:$D$1680,"AIRINDIA",'Raw Data'!$E$2:$E$1680,"AI*")</f>
        <v>17</v>
      </c>
    </row>
    <row r="112" spans="1:3" x14ac:dyDescent="0.25">
      <c r="A112" t="s">
        <v>498</v>
      </c>
      <c r="B112" t="s">
        <v>25</v>
      </c>
      <c r="C112">
        <f>SUMIFS('Raw Data'!$N$2:$N$1680,'Raw Data'!$C$2:$C$1680,A112,'Raw Data'!$D$2:$D$1680,"INDIGO",'Raw Data'!$E$2:$E$1680,"6E*")</f>
        <v>21</v>
      </c>
    </row>
    <row r="113" spans="1:3" x14ac:dyDescent="0.25">
      <c r="A113" t="s">
        <v>498</v>
      </c>
      <c r="B113" t="s">
        <v>2175</v>
      </c>
      <c r="C113">
        <f>SUMIFS('Raw Data'!$N$2:$N$1680,'Raw Data'!$C$2:$C$1680,A113,'Raw Data'!$D$2:$D$1680,"AIRINDIA",'Raw Data'!$E$2:$E$1680,"AI*")</f>
        <v>13</v>
      </c>
    </row>
    <row r="114" spans="1:3" x14ac:dyDescent="0.25">
      <c r="A114" t="s">
        <v>505</v>
      </c>
      <c r="B114" t="s">
        <v>25</v>
      </c>
      <c r="C114">
        <f>SUMIFS('Raw Data'!$N$2:$N$1680,'Raw Data'!$C$2:$C$1680,A114,'Raw Data'!$D$2:$D$1680,"INDIGO",'Raw Data'!$E$2:$E$1680,"6E*")</f>
        <v>5</v>
      </c>
    </row>
    <row r="115" spans="1:3" x14ac:dyDescent="0.25">
      <c r="A115" t="s">
        <v>505</v>
      </c>
      <c r="B115" t="s">
        <v>2175</v>
      </c>
      <c r="C115">
        <f>SUMIFS('Raw Data'!$N$2:$N$1680,'Raw Data'!$C$2:$C$1680,A115,'Raw Data'!$D$2:$D$1680,"AIRINDIA",'Raw Data'!$E$2:$E$1680,"AI*")</f>
        <v>7</v>
      </c>
    </row>
    <row r="116" spans="1:3" x14ac:dyDescent="0.25">
      <c r="A116" t="s">
        <v>508</v>
      </c>
      <c r="B116" t="s">
        <v>25</v>
      </c>
      <c r="C116">
        <f>SUMIFS('Raw Data'!$N$2:$N$1680,'Raw Data'!$C$2:$C$1680,A116,'Raw Data'!$D$2:$D$1680,"INDIGO",'Raw Data'!$E$2:$E$1680,"6E*")</f>
        <v>2</v>
      </c>
    </row>
    <row r="117" spans="1:3" x14ac:dyDescent="0.25">
      <c r="A117" t="s">
        <v>510</v>
      </c>
      <c r="B117" t="s">
        <v>25</v>
      </c>
      <c r="C117">
        <f>SUMIFS('Raw Data'!$N$2:$N$1680,'Raw Data'!$C$2:$C$1680,A117,'Raw Data'!$D$2:$D$1680,"INDIGO",'Raw Data'!$E$2:$E$1680,"6E*")</f>
        <v>10</v>
      </c>
    </row>
    <row r="118" spans="1:3" x14ac:dyDescent="0.25">
      <c r="A118" t="s">
        <v>510</v>
      </c>
      <c r="B118" t="s">
        <v>2175</v>
      </c>
      <c r="C118">
        <f>SUMIFS('Raw Data'!$N$2:$N$1680,'Raw Data'!$C$2:$C$1680,A118,'Raw Data'!$D$2:$D$1680,"AIRINDIA",'Raw Data'!$E$2:$E$1680,"AI*")</f>
        <v>14</v>
      </c>
    </row>
    <row r="119" spans="1:3" x14ac:dyDescent="0.25">
      <c r="A119" t="s">
        <v>517</v>
      </c>
      <c r="B119" t="s">
        <v>52</v>
      </c>
      <c r="C119">
        <f>SUMIFS('Raw Data'!$N$2:$N$1680,'Raw Data'!$C$2:$C$1680,A119,'Raw Data'!$D$2:$D$1680,B119)</f>
        <v>0</v>
      </c>
    </row>
    <row r="120" spans="1:3" x14ac:dyDescent="0.25">
      <c r="A120" t="s">
        <v>518</v>
      </c>
      <c r="B120" t="s">
        <v>52</v>
      </c>
      <c r="C120">
        <f>SUMIFS('Raw Data'!$N$2:$N$1680,'Raw Data'!$C$2:$C$1680,A120,'Raw Data'!$D$2:$D$1680,B120)</f>
        <v>0</v>
      </c>
    </row>
    <row r="121" spans="1:3" x14ac:dyDescent="0.25">
      <c r="A121" t="s">
        <v>519</v>
      </c>
      <c r="B121" t="s">
        <v>25</v>
      </c>
      <c r="C121">
        <f>SUMIFS('Raw Data'!$N$2:$N$1680,'Raw Data'!$C$2:$C$1680,A121,'Raw Data'!$D$2:$D$1680,"INDIGO",'Raw Data'!$E$2:$E$1680,"6E*")</f>
        <v>14</v>
      </c>
    </row>
    <row r="122" spans="1:3" x14ac:dyDescent="0.25">
      <c r="A122" t="s">
        <v>519</v>
      </c>
      <c r="B122" t="s">
        <v>2173</v>
      </c>
      <c r="C122">
        <f>SUMIFS('Raw Data'!$N$2:$N$1680,'Raw Data'!$C$2:$C$1680,A122,'Raw Data'!$D$2:$D$1680,"AIRINDIA",'Raw Data'!$E$2:$E$1680,"IX*")</f>
        <v>7</v>
      </c>
    </row>
    <row r="123" spans="1:3" x14ac:dyDescent="0.25">
      <c r="A123" t="s">
        <v>524</v>
      </c>
      <c r="B123" t="s">
        <v>25</v>
      </c>
      <c r="C123">
        <f>SUMIFS('Raw Data'!$N$2:$N$1680,'Raw Data'!$C$2:$C$1680,A123,'Raw Data'!$D$2:$D$1680,"INDIGO",'Raw Data'!$E$2:$E$1680,"6E*")</f>
        <v>14</v>
      </c>
    </row>
    <row r="124" spans="1:3" x14ac:dyDescent="0.25">
      <c r="A124" t="s">
        <v>524</v>
      </c>
      <c r="B124" t="s">
        <v>27</v>
      </c>
      <c r="C124">
        <f>SUMIFS('Raw Data'!$N$2:$N$1680,'Raw Data'!$C$2:$C$1680,A124,'Raw Data'!$D$2:$D$1680,"AKASA",'Raw Data'!$E$2:$E$1680,"QP*")</f>
        <v>14</v>
      </c>
    </row>
    <row r="125" spans="1:3" x14ac:dyDescent="0.25">
      <c r="A125" t="s">
        <v>524</v>
      </c>
      <c r="B125" t="s">
        <v>2173</v>
      </c>
      <c r="C125">
        <f>SUMIFS('Raw Data'!$N$2:$N$1680,'Raw Data'!$C$2:$C$1680,A125,'Raw Data'!$D$2:$D$1680,"AIRINDIA",'Raw Data'!$E$2:$E$1680,"IX*")</f>
        <v>14</v>
      </c>
    </row>
    <row r="126" spans="1:3" x14ac:dyDescent="0.25">
      <c r="A126" t="s">
        <v>533</v>
      </c>
      <c r="B126" t="s">
        <v>25</v>
      </c>
      <c r="C126">
        <f>SUMIFS('Raw Data'!$N$2:$N$1680,'Raw Data'!$C$2:$C$1680,A126,'Raw Data'!$D$2:$D$1680,"INDIGO",'Raw Data'!$E$2:$E$1680,"6E*")</f>
        <v>7</v>
      </c>
    </row>
    <row r="127" spans="1:3" x14ac:dyDescent="0.25">
      <c r="A127" t="s">
        <v>535</v>
      </c>
      <c r="B127" t="s">
        <v>2175</v>
      </c>
      <c r="C127">
        <f>SUMIFS('Raw Data'!$N$2:$N$1680,'Raw Data'!$C$2:$C$1680,A127,'Raw Data'!$D$2:$D$1680,"AIRINDIA",'Raw Data'!$E$2:$E$1680,"AI*")</f>
        <v>7</v>
      </c>
    </row>
    <row r="128" spans="1:3" x14ac:dyDescent="0.25">
      <c r="A128" t="s">
        <v>535</v>
      </c>
      <c r="B128" t="s">
        <v>25</v>
      </c>
      <c r="C128">
        <f>SUMIFS('Raw Data'!$N$2:$N$1680,'Raw Data'!$C$2:$C$1680,A128,'Raw Data'!$D$2:$D$1680,"INDIGO",'Raw Data'!$E$2:$E$1680,"6E*")</f>
        <v>4</v>
      </c>
    </row>
    <row r="129" spans="1:3" x14ac:dyDescent="0.25">
      <c r="A129" t="s">
        <v>539</v>
      </c>
      <c r="B129" t="s">
        <v>25</v>
      </c>
      <c r="C129">
        <f>SUMIFS('Raw Data'!$N$2:$N$1680,'Raw Data'!$C$2:$C$1680,A129,'Raw Data'!$D$2:$D$1680,"INDIGO",'Raw Data'!$E$2:$E$1680,"6E*")</f>
        <v>3</v>
      </c>
    </row>
    <row r="130" spans="1:3" x14ac:dyDescent="0.25">
      <c r="A130" t="s">
        <v>542</v>
      </c>
      <c r="B130" t="s">
        <v>25</v>
      </c>
      <c r="C130">
        <f>SUMIFS('Raw Data'!$N$2:$N$1680,'Raw Data'!$C$2:$C$1680,A130,'Raw Data'!$D$2:$D$1680,"INDIGO",'Raw Data'!$E$2:$E$1680,"6E*")</f>
        <v>26</v>
      </c>
    </row>
    <row r="131" spans="1:3" x14ac:dyDescent="0.25">
      <c r="A131" t="s">
        <v>547</v>
      </c>
      <c r="B131" t="s">
        <v>52</v>
      </c>
      <c r="C131">
        <f>SUMIFS('Raw Data'!$N$2:$N$1680,'Raw Data'!$C$2:$C$1680,A131,'Raw Data'!$D$2:$D$1680,B131)</f>
        <v>0</v>
      </c>
    </row>
    <row r="132" spans="1:3" x14ac:dyDescent="0.25">
      <c r="A132" t="s">
        <v>548</v>
      </c>
      <c r="B132" t="s">
        <v>52</v>
      </c>
      <c r="C132">
        <f>SUMIFS('Raw Data'!$N$2:$N$1680,'Raw Data'!$C$2:$C$1680,A132,'Raw Data'!$D$2:$D$1680,B132)</f>
        <v>0</v>
      </c>
    </row>
    <row r="133" spans="1:3" x14ac:dyDescent="0.25">
      <c r="A133" t="s">
        <v>549</v>
      </c>
      <c r="B133" t="s">
        <v>25</v>
      </c>
      <c r="C133">
        <f>SUMIFS('Raw Data'!$N$2:$N$1680,'Raw Data'!$C$2:$C$1680,A133,'Raw Data'!$D$2:$D$1680,"INDIGO",'Raw Data'!$E$2:$E$1680,"6E*")</f>
        <v>7</v>
      </c>
    </row>
    <row r="134" spans="1:3" x14ac:dyDescent="0.25">
      <c r="A134" t="s">
        <v>551</v>
      </c>
      <c r="B134" t="s">
        <v>25</v>
      </c>
      <c r="C134">
        <f>SUMIFS('Raw Data'!$N$2:$N$1680,'Raw Data'!$C$2:$C$1680,A134,'Raw Data'!$D$2:$D$1680,"INDIGO",'Raw Data'!$E$2:$E$1680,"6E*")</f>
        <v>34</v>
      </c>
    </row>
    <row r="135" spans="1:3" x14ac:dyDescent="0.25">
      <c r="A135" t="s">
        <v>551</v>
      </c>
      <c r="B135" t="s">
        <v>2174</v>
      </c>
      <c r="C135">
        <f>SUMIFS('Raw Data'!$N$2:$N$1680,'Raw Data'!$C$2:$C$1680,A135,'Raw Data'!$D$2:$D$1680,"ALLIANCE",'Raw Data'!$E$2:$E$1680,"9I*")</f>
        <v>0</v>
      </c>
    </row>
    <row r="136" spans="1:3" x14ac:dyDescent="0.25">
      <c r="A136" t="s">
        <v>551</v>
      </c>
      <c r="B136" t="s">
        <v>2173</v>
      </c>
      <c r="C136">
        <f>SUMIFS('Raw Data'!$N$2:$N$1680,'Raw Data'!$C$2:$C$1680,A136,'Raw Data'!$D$2:$D$1680,"AIRINDIA",'Raw Data'!$E$2:$E$1680,"IX*")</f>
        <v>14</v>
      </c>
    </row>
    <row r="137" spans="1:3" x14ac:dyDescent="0.25">
      <c r="A137" t="s">
        <v>560</v>
      </c>
      <c r="B137" t="s">
        <v>25</v>
      </c>
      <c r="C137">
        <f>SUMIFS('Raw Data'!$N$2:$N$1680,'Raw Data'!$C$2:$C$1680,A137,'Raw Data'!$D$2:$D$1680,"INDIGO",'Raw Data'!$E$2:$E$1680,"6E*")</f>
        <v>7</v>
      </c>
    </row>
    <row r="138" spans="1:3" x14ac:dyDescent="0.25">
      <c r="A138" t="s">
        <v>562</v>
      </c>
      <c r="B138" t="s">
        <v>25</v>
      </c>
      <c r="C138">
        <f>SUMIFS('Raw Data'!$N$2:$N$1680,'Raw Data'!$C$2:$C$1680,A138,'Raw Data'!$D$2:$D$1680,"INDIGO",'Raw Data'!$E$2:$E$1680,"6E*")</f>
        <v>20</v>
      </c>
    </row>
    <row r="139" spans="1:3" x14ac:dyDescent="0.25">
      <c r="A139" t="s">
        <v>562</v>
      </c>
      <c r="B139" t="s">
        <v>2173</v>
      </c>
      <c r="C139">
        <f>SUMIFS('Raw Data'!$N$2:$N$1680,'Raw Data'!$C$2:$C$1680,A139,'Raw Data'!$D$2:$D$1680,"AIRINDIA",'Raw Data'!$E$2:$E$1680,"IX*")</f>
        <v>13</v>
      </c>
    </row>
    <row r="140" spans="1:3" x14ac:dyDescent="0.25">
      <c r="A140" t="s">
        <v>570</v>
      </c>
      <c r="B140" t="s">
        <v>52</v>
      </c>
      <c r="C140">
        <f>SUMIFS('Raw Data'!$N$2:$N$1680,'Raw Data'!$C$2:$C$1680,A140,'Raw Data'!$D$2:$D$1680,B140)</f>
        <v>0</v>
      </c>
    </row>
    <row r="141" spans="1:3" x14ac:dyDescent="0.25">
      <c r="A141" t="s">
        <v>571</v>
      </c>
      <c r="B141" t="s">
        <v>25</v>
      </c>
      <c r="C141">
        <f>SUMIFS('Raw Data'!$N$2:$N$1680,'Raw Data'!$C$2:$C$1680,A141,'Raw Data'!$D$2:$D$1680,"INDIGO",'Raw Data'!$E$2:$E$1680,"6E*")</f>
        <v>7</v>
      </c>
    </row>
    <row r="142" spans="1:3" x14ac:dyDescent="0.25">
      <c r="A142" t="s">
        <v>571</v>
      </c>
      <c r="B142" t="s">
        <v>2173</v>
      </c>
      <c r="C142">
        <f>SUMIFS('Raw Data'!$N$2:$N$1680,'Raw Data'!$C$2:$C$1680,A142,'Raw Data'!$D$2:$D$1680,"AIRINDIA",'Raw Data'!$E$2:$E$1680,"IX*")</f>
        <v>7</v>
      </c>
    </row>
    <row r="143" spans="1:3" x14ac:dyDescent="0.25">
      <c r="A143" t="s">
        <v>571</v>
      </c>
      <c r="B143" t="s">
        <v>27</v>
      </c>
      <c r="C143">
        <f>SUMIFS('Raw Data'!$N$2:$N$1680,'Raw Data'!$C$2:$C$1680,A143,'Raw Data'!$D$2:$D$1680,"AKASA",'Raw Data'!$E$2:$E$1680,"QP*")</f>
        <v>4</v>
      </c>
    </row>
    <row r="144" spans="1:3" x14ac:dyDescent="0.25">
      <c r="A144" t="s">
        <v>576</v>
      </c>
      <c r="B144" t="s">
        <v>25</v>
      </c>
      <c r="C144">
        <f>SUMIFS('Raw Data'!$N$2:$N$1680,'Raw Data'!$C$2:$C$1680,A144,'Raw Data'!$D$2:$D$1680,"INDIGO",'Raw Data'!$E$2:$E$1680,"6E*")</f>
        <v>19</v>
      </c>
    </row>
    <row r="145" spans="1:3" x14ac:dyDescent="0.25">
      <c r="A145" t="s">
        <v>581</v>
      </c>
      <c r="B145" t="s">
        <v>25</v>
      </c>
      <c r="C145">
        <f>SUMIFS('Raw Data'!$N$2:$N$1680,'Raw Data'!$C$2:$C$1680,A145,'Raw Data'!$D$2:$D$1680,"INDIGO",'Raw Data'!$E$2:$E$1680,"6E*")</f>
        <v>9</v>
      </c>
    </row>
    <row r="146" spans="1:3" x14ac:dyDescent="0.25">
      <c r="A146" t="s">
        <v>584</v>
      </c>
      <c r="B146" t="s">
        <v>25</v>
      </c>
      <c r="C146">
        <f>SUMIFS('Raw Data'!$N$2:$N$1680,'Raw Data'!$C$2:$C$1680,A146,'Raw Data'!$D$2:$D$1680,"INDIGO",'Raw Data'!$E$2:$E$1680,"6E*")</f>
        <v>7</v>
      </c>
    </row>
    <row r="147" spans="1:3" x14ac:dyDescent="0.25">
      <c r="A147" t="s">
        <v>586</v>
      </c>
      <c r="B147" t="s">
        <v>25</v>
      </c>
      <c r="C147">
        <f>SUMIFS('Raw Data'!$N$2:$N$1680,'Raw Data'!$C$2:$C$1680,A147,'Raw Data'!$D$2:$D$1680,"INDIGO",'Raw Data'!$E$2:$E$1680,"6E*")</f>
        <v>13</v>
      </c>
    </row>
    <row r="148" spans="1:3" x14ac:dyDescent="0.25">
      <c r="A148" t="s">
        <v>590</v>
      </c>
      <c r="B148" t="s">
        <v>25</v>
      </c>
      <c r="C148">
        <f>SUMIFS('Raw Data'!$N$2:$N$1680,'Raw Data'!$C$2:$C$1680,A148,'Raw Data'!$D$2:$D$1680,"INDIGO",'Raw Data'!$E$2:$E$1680,"6E*")</f>
        <v>24</v>
      </c>
    </row>
    <row r="149" spans="1:3" x14ac:dyDescent="0.25">
      <c r="A149" t="s">
        <v>597</v>
      </c>
      <c r="B149" t="s">
        <v>25</v>
      </c>
      <c r="C149">
        <f>SUMIFS('Raw Data'!$N$2:$N$1680,'Raw Data'!$C$2:$C$1680,A149,'Raw Data'!$D$2:$D$1680,"INDIGO",'Raw Data'!$E$2:$E$1680,"6E*")</f>
        <v>14</v>
      </c>
    </row>
    <row r="150" spans="1:3" x14ac:dyDescent="0.25">
      <c r="A150" t="s">
        <v>602</v>
      </c>
      <c r="B150" t="s">
        <v>25</v>
      </c>
      <c r="C150">
        <f>SUMIFS('Raw Data'!$N$2:$N$1680,'Raw Data'!$C$2:$C$1680,A150,'Raw Data'!$D$2:$D$1680,"INDIGO",'Raw Data'!$E$2:$E$1680,"6E*")</f>
        <v>7</v>
      </c>
    </row>
    <row r="151" spans="1:3" x14ac:dyDescent="0.25">
      <c r="A151" t="s">
        <v>604</v>
      </c>
      <c r="B151" t="s">
        <v>52</v>
      </c>
      <c r="C151">
        <f>SUMIFS('Raw Data'!$N$2:$N$1680,'Raw Data'!$C$2:$C$1680,A151,'Raw Data'!$D$2:$D$1680,B151)</f>
        <v>0</v>
      </c>
    </row>
    <row r="152" spans="1:3" x14ac:dyDescent="0.25">
      <c r="A152" t="s">
        <v>605</v>
      </c>
      <c r="B152" t="s">
        <v>52</v>
      </c>
      <c r="C152">
        <f>SUMIFS('Raw Data'!$N$2:$N$1680,'Raw Data'!$C$2:$C$1680,A152,'Raw Data'!$D$2:$D$1680,B152)</f>
        <v>0</v>
      </c>
    </row>
    <row r="153" spans="1:3" x14ac:dyDescent="0.25">
      <c r="A153" t="s">
        <v>606</v>
      </c>
      <c r="B153" t="s">
        <v>52</v>
      </c>
      <c r="C153">
        <f>SUMIFS('Raw Data'!$N$2:$N$1680,'Raw Data'!$C$2:$C$1680,A153,'Raw Data'!$D$2:$D$1680,B153)</f>
        <v>0</v>
      </c>
    </row>
    <row r="154" spans="1:3" x14ac:dyDescent="0.25">
      <c r="A154" t="s">
        <v>607</v>
      </c>
      <c r="B154" t="s">
        <v>52</v>
      </c>
      <c r="C154">
        <f>SUMIFS('Raw Data'!$N$2:$N$1680,'Raw Data'!$C$2:$C$1680,A154,'Raw Data'!$D$2:$D$1680,B154)</f>
        <v>0</v>
      </c>
    </row>
    <row r="155" spans="1:3" x14ac:dyDescent="0.25">
      <c r="A155" t="s">
        <v>608</v>
      </c>
      <c r="B155" t="s">
        <v>25</v>
      </c>
      <c r="C155">
        <f>SUMIFS('Raw Data'!$N$2:$N$1680,'Raw Data'!$C$2:$C$1680,A155,'Raw Data'!$D$2:$D$1680,"INDIGO",'Raw Data'!$E$2:$E$1680,"6E*")</f>
        <v>4</v>
      </c>
    </row>
    <row r="156" spans="1:3" x14ac:dyDescent="0.25">
      <c r="A156" t="s">
        <v>610</v>
      </c>
      <c r="B156" t="s">
        <v>25</v>
      </c>
      <c r="C156">
        <f>SUMIFS('Raw Data'!$N$2:$N$1680,'Raw Data'!$C$2:$C$1680,A156,'Raw Data'!$D$2:$D$1680,"INDIGO",'Raw Data'!$E$2:$E$1680,"6E*")</f>
        <v>7</v>
      </c>
    </row>
    <row r="157" spans="1:3" x14ac:dyDescent="0.25">
      <c r="A157" t="s">
        <v>610</v>
      </c>
      <c r="B157" t="s">
        <v>2174</v>
      </c>
      <c r="C157">
        <f>SUMIFS('Raw Data'!$N$2:$N$1680,'Raw Data'!$C$2:$C$1680,A157,'Raw Data'!$D$2:$D$1680,"ALLIANCE",'Raw Data'!$E$2:$E$1680,"9I*")</f>
        <v>0</v>
      </c>
    </row>
    <row r="158" spans="1:3" x14ac:dyDescent="0.25">
      <c r="A158" t="s">
        <v>612</v>
      </c>
      <c r="B158" t="s">
        <v>52</v>
      </c>
      <c r="C158">
        <f>SUMIFS('Raw Data'!$N$2:$N$1680,'Raw Data'!$C$2:$C$1680,A158,'Raw Data'!$D$2:$D$1680,B158)</f>
        <v>0</v>
      </c>
    </row>
    <row r="159" spans="1:3" x14ac:dyDescent="0.25">
      <c r="A159" t="s">
        <v>613</v>
      </c>
      <c r="B159" t="s">
        <v>25</v>
      </c>
      <c r="C159">
        <f>SUMIFS('Raw Data'!$N$2:$N$1680,'Raw Data'!$C$2:$C$1680,A159,'Raw Data'!$D$2:$D$1680,"INDIGO",'Raw Data'!$E$2:$E$1680,"6E*")</f>
        <v>8</v>
      </c>
    </row>
    <row r="160" spans="1:3" x14ac:dyDescent="0.25">
      <c r="A160" t="s">
        <v>616</v>
      </c>
      <c r="B160" t="s">
        <v>52</v>
      </c>
      <c r="C160">
        <f>SUMIFS('Raw Data'!$N$2:$N$1680,'Raw Data'!$C$2:$C$1680,A160,'Raw Data'!$D$2:$D$1680,B160)</f>
        <v>0</v>
      </c>
    </row>
    <row r="161" spans="1:3" x14ac:dyDescent="0.25">
      <c r="A161" t="s">
        <v>617</v>
      </c>
      <c r="B161" t="s">
        <v>52</v>
      </c>
      <c r="C161">
        <f>SUMIFS('Raw Data'!$N$2:$N$1680,'Raw Data'!$C$2:$C$1680,A161,'Raw Data'!$D$2:$D$1680,B161)</f>
        <v>0</v>
      </c>
    </row>
    <row r="162" spans="1:3" x14ac:dyDescent="0.25">
      <c r="A162" t="s">
        <v>618</v>
      </c>
      <c r="B162" t="s">
        <v>52</v>
      </c>
      <c r="C162">
        <f>SUMIFS('Raw Data'!$N$2:$N$1680,'Raw Data'!$C$2:$C$1680,A162,'Raw Data'!$D$2:$D$1680,B162)</f>
        <v>0</v>
      </c>
    </row>
    <row r="163" spans="1:3" x14ac:dyDescent="0.25">
      <c r="A163" t="s">
        <v>619</v>
      </c>
      <c r="B163" t="s">
        <v>25</v>
      </c>
      <c r="C163">
        <f>SUMIFS('Raw Data'!$N$2:$N$1680,'Raw Data'!$C$2:$C$1680,A163,'Raw Data'!$D$2:$D$1680,"INDIGO",'Raw Data'!$E$2:$E$1680,"6E*")</f>
        <v>28</v>
      </c>
    </row>
    <row r="164" spans="1:3" x14ac:dyDescent="0.25">
      <c r="A164" t="s">
        <v>619</v>
      </c>
      <c r="B164" t="s">
        <v>2175</v>
      </c>
      <c r="C164">
        <f>SUMIFS('Raw Data'!$N$2:$N$1680,'Raw Data'!$C$2:$C$1680,A164,'Raw Data'!$D$2:$D$1680,"AIRINDIA",'Raw Data'!$E$2:$E$1680,"AI*")</f>
        <v>14</v>
      </c>
    </row>
    <row r="165" spans="1:3" x14ac:dyDescent="0.25">
      <c r="A165" t="s">
        <v>619</v>
      </c>
      <c r="B165" t="s">
        <v>2173</v>
      </c>
      <c r="C165">
        <f>SUMIFS('Raw Data'!$N$2:$N$1680,'Raw Data'!$C$2:$C$1680,A165,'Raw Data'!$D$2:$D$1680,"AIRINDIA",'Raw Data'!$E$2:$E$1680,"IX*")</f>
        <v>21</v>
      </c>
    </row>
    <row r="166" spans="1:3" x14ac:dyDescent="0.25">
      <c r="A166" t="s">
        <v>635</v>
      </c>
      <c r="B166" t="s">
        <v>25</v>
      </c>
      <c r="C166">
        <f>SUMIFS('Raw Data'!$N$2:$N$1680,'Raw Data'!$C$2:$C$1680,A166,'Raw Data'!$D$2:$D$1680,"INDIGO",'Raw Data'!$E$2:$E$1680,"6E*")</f>
        <v>11</v>
      </c>
    </row>
    <row r="167" spans="1:3" x14ac:dyDescent="0.25">
      <c r="A167" t="s">
        <v>635</v>
      </c>
      <c r="B167" t="s">
        <v>2175</v>
      </c>
      <c r="C167">
        <f>SUMIFS('Raw Data'!$N$2:$N$1680,'Raw Data'!$C$2:$C$1680,A167,'Raw Data'!$D$2:$D$1680,"AIRINDIA",'Raw Data'!$E$2:$E$1680,"AI*")</f>
        <v>13</v>
      </c>
    </row>
    <row r="168" spans="1:3" x14ac:dyDescent="0.25">
      <c r="A168" t="s">
        <v>641</v>
      </c>
      <c r="B168" t="s">
        <v>25</v>
      </c>
      <c r="C168">
        <f>SUMIFS('Raw Data'!$N$2:$N$1680,'Raw Data'!$C$2:$C$1680,A168,'Raw Data'!$D$2:$D$1680,"INDIGO",'Raw Data'!$E$2:$E$1680,"6E*")</f>
        <v>14</v>
      </c>
    </row>
    <row r="169" spans="1:3" x14ac:dyDescent="0.25">
      <c r="A169" t="s">
        <v>641</v>
      </c>
      <c r="B169" t="s">
        <v>2175</v>
      </c>
      <c r="C169">
        <f>SUMIFS('Raw Data'!$N$2:$N$1680,'Raw Data'!$C$2:$C$1680,A169,'Raw Data'!$D$2:$D$1680,"AIRINDIA",'Raw Data'!$E$2:$E$1680,"AI*")</f>
        <v>27</v>
      </c>
    </row>
    <row r="170" spans="1:3" x14ac:dyDescent="0.25">
      <c r="A170" t="s">
        <v>641</v>
      </c>
      <c r="B170" t="s">
        <v>2173</v>
      </c>
      <c r="C170">
        <f>SUMIFS('Raw Data'!$N$2:$N$1680,'Raw Data'!$C$2:$C$1680,A170,'Raw Data'!$D$2:$D$1680,"AIRINDIA",'Raw Data'!$E$2:$E$1680,"IX*")</f>
        <v>19</v>
      </c>
    </row>
    <row r="171" spans="1:3" x14ac:dyDescent="0.25">
      <c r="A171" t="s">
        <v>656</v>
      </c>
      <c r="B171" t="s">
        <v>25</v>
      </c>
      <c r="C171">
        <f>SUMIFS('Raw Data'!$N$2:$N$1680,'Raw Data'!$C$2:$C$1680,A171,'Raw Data'!$D$2:$D$1680,"INDIGO",'Raw Data'!$E$2:$E$1680,"6E*")</f>
        <v>28</v>
      </c>
    </row>
    <row r="172" spans="1:3" x14ac:dyDescent="0.25">
      <c r="A172" t="s">
        <v>656</v>
      </c>
      <c r="B172" t="s">
        <v>2175</v>
      </c>
      <c r="C172">
        <f>SUMIFS('Raw Data'!$N$2:$N$1680,'Raw Data'!$C$2:$C$1680,A172,'Raw Data'!$D$2:$D$1680,"AIRINDIA",'Raw Data'!$E$2:$E$1680,"AI*")</f>
        <v>15</v>
      </c>
    </row>
    <row r="173" spans="1:3" x14ac:dyDescent="0.25">
      <c r="A173" t="s">
        <v>656</v>
      </c>
      <c r="B173" t="s">
        <v>2173</v>
      </c>
      <c r="C173">
        <f>SUMIFS('Raw Data'!$N$2:$N$1680,'Raw Data'!$C$2:$C$1680,A173,'Raw Data'!$D$2:$D$1680,"AIRINDIA",'Raw Data'!$E$2:$E$1680,"IX*")</f>
        <v>13</v>
      </c>
    </row>
    <row r="174" spans="1:3" x14ac:dyDescent="0.25">
      <c r="A174" t="s">
        <v>669</v>
      </c>
      <c r="B174" t="s">
        <v>25</v>
      </c>
      <c r="C174">
        <f>SUMIFS('Raw Data'!$N$2:$N$1680,'Raw Data'!$C$2:$C$1680,A174,'Raw Data'!$D$2:$D$1680,"INDIGO",'Raw Data'!$E$2:$E$1680,"6E*")</f>
        <v>28</v>
      </c>
    </row>
    <row r="175" spans="1:3" x14ac:dyDescent="0.25">
      <c r="A175" t="s">
        <v>669</v>
      </c>
      <c r="B175" t="s">
        <v>2175</v>
      </c>
      <c r="C175">
        <f>SUMIFS('Raw Data'!$N$2:$N$1680,'Raw Data'!$C$2:$C$1680,A175,'Raw Data'!$D$2:$D$1680,"AIRINDIA",'Raw Data'!$E$2:$E$1680,"AI*")</f>
        <v>14</v>
      </c>
    </row>
    <row r="176" spans="1:3" x14ac:dyDescent="0.25">
      <c r="A176" t="s">
        <v>669</v>
      </c>
      <c r="B176" t="s">
        <v>2173</v>
      </c>
      <c r="C176">
        <f>SUMIFS('Raw Data'!$N$2:$N$1680,'Raw Data'!$C$2:$C$1680,A176,'Raw Data'!$D$2:$D$1680,"AIRINDIA",'Raw Data'!$E$2:$E$1680,"IX*")</f>
        <v>41</v>
      </c>
    </row>
    <row r="177" spans="1:3" x14ac:dyDescent="0.25">
      <c r="A177" t="s">
        <v>687</v>
      </c>
      <c r="B177" t="s">
        <v>25</v>
      </c>
      <c r="C177">
        <f>SUMIFS('Raw Data'!$N$2:$N$1680,'Raw Data'!$C$2:$C$1680,A177,'Raw Data'!$D$2:$D$1680,"INDIGO",'Raw Data'!$E$2:$E$1680,"6E*")</f>
        <v>28</v>
      </c>
    </row>
    <row r="178" spans="1:3" x14ac:dyDescent="0.25">
      <c r="A178" t="s">
        <v>687</v>
      </c>
      <c r="B178" t="s">
        <v>2175</v>
      </c>
      <c r="C178">
        <f>SUMIFS('Raw Data'!$N$2:$N$1680,'Raw Data'!$C$2:$C$1680,A178,'Raw Data'!$D$2:$D$1680,"AIRINDIA",'Raw Data'!$E$2:$E$1680,"AI*")</f>
        <v>27</v>
      </c>
    </row>
    <row r="179" spans="1:3" x14ac:dyDescent="0.25">
      <c r="A179" t="s">
        <v>687</v>
      </c>
      <c r="B179" t="s">
        <v>2173</v>
      </c>
      <c r="C179">
        <f>SUMIFS('Raw Data'!$N$2:$N$1680,'Raw Data'!$C$2:$C$1680,A179,'Raw Data'!$D$2:$D$1680,"AIRINDIA",'Raw Data'!$E$2:$E$1680,"IX*")</f>
        <v>11</v>
      </c>
    </row>
    <row r="180" spans="1:3" x14ac:dyDescent="0.25">
      <c r="A180" t="s">
        <v>702</v>
      </c>
      <c r="B180" t="s">
        <v>25</v>
      </c>
      <c r="C180">
        <f>SUMIFS('Raw Data'!$N$2:$N$1680,'Raw Data'!$C$2:$C$1680,A180,'Raw Data'!$D$2:$D$1680,"INDIGO",'Raw Data'!$E$2:$E$1680,"6E*")</f>
        <v>26</v>
      </c>
    </row>
    <row r="181" spans="1:3" x14ac:dyDescent="0.25">
      <c r="A181" t="s">
        <v>702</v>
      </c>
      <c r="B181" t="s">
        <v>2173</v>
      </c>
      <c r="C181">
        <f>SUMIFS('Raw Data'!$N$2:$N$1680,'Raw Data'!$C$2:$C$1680,A181,'Raw Data'!$D$2:$D$1680,"AIRINDIA",'Raw Data'!$E$2:$E$1680,"IX*")</f>
        <v>34</v>
      </c>
    </row>
    <row r="182" spans="1:3" x14ac:dyDescent="0.25">
      <c r="A182" t="s">
        <v>702</v>
      </c>
      <c r="B182" t="s">
        <v>27</v>
      </c>
      <c r="C182">
        <f>SUMIFS('Raw Data'!$N$2:$N$1680,'Raw Data'!$C$2:$C$1680,A182,'Raw Data'!$D$2:$D$1680,"AKASA",'Raw Data'!$E$2:$E$1680,"QP*")</f>
        <v>6</v>
      </c>
    </row>
    <row r="183" spans="1:3" x14ac:dyDescent="0.25">
      <c r="A183" t="s">
        <v>714</v>
      </c>
      <c r="B183" t="s">
        <v>25</v>
      </c>
      <c r="C183">
        <f>SUMIFS('Raw Data'!$N$2:$N$1680,'Raw Data'!$C$2:$C$1680,A183,'Raw Data'!$D$2:$D$1680,"INDIGO",'Raw Data'!$E$2:$E$1680,"6E*")</f>
        <v>5</v>
      </c>
    </row>
    <row r="184" spans="1:3" x14ac:dyDescent="0.25">
      <c r="A184" t="s">
        <v>717</v>
      </c>
      <c r="B184" t="s">
        <v>2175</v>
      </c>
      <c r="C184">
        <f>SUMIFS('Raw Data'!$N$2:$N$1680,'Raw Data'!$C$2:$C$1680,A184,'Raw Data'!$D$2:$D$1680,"AIRINDIA",'Raw Data'!$E$2:$E$1680,"AI*")</f>
        <v>7</v>
      </c>
    </row>
    <row r="185" spans="1:3" x14ac:dyDescent="0.25">
      <c r="A185" t="s">
        <v>719</v>
      </c>
      <c r="B185" t="s">
        <v>25</v>
      </c>
      <c r="C185">
        <f>SUMIFS('Raw Data'!$N$2:$N$1680,'Raw Data'!$C$2:$C$1680,A185,'Raw Data'!$D$2:$D$1680,"INDIGO",'Raw Data'!$E$2:$E$1680,"6E*")</f>
        <v>20</v>
      </c>
    </row>
    <row r="186" spans="1:3" x14ac:dyDescent="0.25">
      <c r="A186" t="s">
        <v>719</v>
      </c>
      <c r="B186" t="s">
        <v>2174</v>
      </c>
      <c r="C186">
        <f>SUMIFS('Raw Data'!$N$2:$N$1680,'Raw Data'!$C$2:$C$1680,A186,'Raw Data'!$D$2:$D$1680,"ALLIANCE",'Raw Data'!$E$2:$E$1680,"9I*")</f>
        <v>0</v>
      </c>
    </row>
    <row r="187" spans="1:3" x14ac:dyDescent="0.25">
      <c r="A187" t="s">
        <v>719</v>
      </c>
      <c r="B187" t="s">
        <v>2175</v>
      </c>
      <c r="C187">
        <f>SUMIFS('Raw Data'!$N$2:$N$1680,'Raw Data'!$C$2:$C$1680,A187,'Raw Data'!$D$2:$D$1680,"AIRINDIA",'Raw Data'!$E$2:$E$1680,"AI*")</f>
        <v>15</v>
      </c>
    </row>
    <row r="188" spans="1:3" x14ac:dyDescent="0.25">
      <c r="A188" t="s">
        <v>731</v>
      </c>
      <c r="B188" t="s">
        <v>25</v>
      </c>
      <c r="C188">
        <f>SUMIFS('Raw Data'!$N$2:$N$1680,'Raw Data'!$C$2:$C$1680,A188,'Raw Data'!$D$2:$D$1680,"INDIGO",'Raw Data'!$E$2:$E$1680,"6E*")</f>
        <v>48</v>
      </c>
    </row>
    <row r="189" spans="1:3" x14ac:dyDescent="0.25">
      <c r="A189" t="s">
        <v>731</v>
      </c>
      <c r="B189" t="s">
        <v>2175</v>
      </c>
      <c r="C189">
        <f>SUMIFS('Raw Data'!$N$2:$N$1680,'Raw Data'!$C$2:$C$1680,A189,'Raw Data'!$D$2:$D$1680,"AIRINDIA",'Raw Data'!$E$2:$E$1680,"AI*")</f>
        <v>28</v>
      </c>
    </row>
    <row r="190" spans="1:3" x14ac:dyDescent="0.25">
      <c r="A190" t="s">
        <v>731</v>
      </c>
      <c r="B190" t="s">
        <v>2173</v>
      </c>
      <c r="C190">
        <f>SUMIFS('Raw Data'!$N$2:$N$1680,'Raw Data'!$C$2:$C$1680,A190,'Raw Data'!$D$2:$D$1680,"AIRINDIA",'Raw Data'!$E$2:$E$1680,"IX*")</f>
        <v>11</v>
      </c>
    </row>
    <row r="191" spans="1:3" x14ac:dyDescent="0.25">
      <c r="A191" t="s">
        <v>753</v>
      </c>
      <c r="B191" t="s">
        <v>25</v>
      </c>
      <c r="C191">
        <f>SUMIFS('Raw Data'!$N$2:$N$1680,'Raw Data'!$C$2:$C$1680,A191,'Raw Data'!$D$2:$D$1680,"INDIGO",'Raw Data'!$E$2:$E$1680,"6E*")</f>
        <v>35</v>
      </c>
    </row>
    <row r="192" spans="1:3" x14ac:dyDescent="0.25">
      <c r="A192" t="s">
        <v>753</v>
      </c>
      <c r="B192" t="s">
        <v>2175</v>
      </c>
      <c r="C192">
        <f>SUMIFS('Raw Data'!$N$2:$N$1680,'Raw Data'!$C$2:$C$1680,A192,'Raw Data'!$D$2:$D$1680,"AIRINDIA",'Raw Data'!$E$2:$E$1680,"AI*")</f>
        <v>14</v>
      </c>
    </row>
    <row r="193" spans="1:3" x14ac:dyDescent="0.25">
      <c r="A193" t="s">
        <v>763</v>
      </c>
      <c r="B193" t="s">
        <v>25</v>
      </c>
      <c r="C193">
        <f>SUMIFS('Raw Data'!$N$2:$N$1680,'Raw Data'!$C$2:$C$1680,A193,'Raw Data'!$D$2:$D$1680,"INDIGO",'Raw Data'!$E$2:$E$1680,"6E*")</f>
        <v>44</v>
      </c>
    </row>
    <row r="194" spans="1:3" x14ac:dyDescent="0.25">
      <c r="A194" t="s">
        <v>763</v>
      </c>
      <c r="B194" t="s">
        <v>2175</v>
      </c>
      <c r="C194">
        <f>SUMIFS('Raw Data'!$N$2:$N$1680,'Raw Data'!$C$2:$C$1680,A194,'Raw Data'!$D$2:$D$1680,"AIRINDIA",'Raw Data'!$E$2:$E$1680,"AI*")</f>
        <v>17</v>
      </c>
    </row>
    <row r="195" spans="1:3" x14ac:dyDescent="0.25">
      <c r="A195" t="s">
        <v>763</v>
      </c>
      <c r="B195" t="s">
        <v>30</v>
      </c>
      <c r="C195">
        <f>SUMIFS('Raw Data'!$N$2:$N$1680,'Raw Data'!$C$2:$C$1680,A195,'Raw Data'!$D$2:$D$1680,"SPICEJET",'Raw Data'!$E$2:$E$1680,"SG*")</f>
        <v>7</v>
      </c>
    </row>
    <row r="196" spans="1:3" x14ac:dyDescent="0.25">
      <c r="A196" t="s">
        <v>763</v>
      </c>
      <c r="B196" t="s">
        <v>2173</v>
      </c>
      <c r="C196">
        <f>SUMIFS('Raw Data'!$N$2:$N$1680,'Raw Data'!$C$2:$C$1680,A196,'Raw Data'!$D$2:$D$1680,"AIRINDIA",'Raw Data'!$E$2:$E$1680,"IX*")</f>
        <v>16</v>
      </c>
    </row>
    <row r="197" spans="1:3" x14ac:dyDescent="0.25">
      <c r="A197" t="s">
        <v>781</v>
      </c>
      <c r="B197" t="s">
        <v>25</v>
      </c>
      <c r="C197">
        <f>SUMIFS('Raw Data'!$N$2:$N$1680,'Raw Data'!$C$2:$C$1680,A197,'Raw Data'!$D$2:$D$1680,"INDIGO",'Raw Data'!$E$2:$E$1680,"6E*")</f>
        <v>28</v>
      </c>
    </row>
    <row r="198" spans="1:3" x14ac:dyDescent="0.25">
      <c r="A198" t="s">
        <v>781</v>
      </c>
      <c r="B198" t="s">
        <v>2173</v>
      </c>
      <c r="C198">
        <f>SUMIFS('Raw Data'!$N$2:$N$1680,'Raw Data'!$C$2:$C$1680,A198,'Raw Data'!$D$2:$D$1680,"AIRINDIA",'Raw Data'!$E$2:$E$1680,"IX*")</f>
        <v>28</v>
      </c>
    </row>
    <row r="199" spans="1:3" x14ac:dyDescent="0.25">
      <c r="A199" t="s">
        <v>791</v>
      </c>
      <c r="B199" t="s">
        <v>25</v>
      </c>
      <c r="C199">
        <f>SUMIFS('Raw Data'!$N$2:$N$1680,'Raw Data'!$C$2:$C$1680,A199,'Raw Data'!$D$2:$D$1680,"INDIGO",'Raw Data'!$E$2:$E$1680,"6E*")</f>
        <v>28</v>
      </c>
    </row>
    <row r="200" spans="1:3" x14ac:dyDescent="0.25">
      <c r="A200" t="s">
        <v>791</v>
      </c>
      <c r="B200" t="s">
        <v>2175</v>
      </c>
      <c r="C200">
        <f>SUMIFS('Raw Data'!$N$2:$N$1680,'Raw Data'!$C$2:$C$1680,A200,'Raw Data'!$D$2:$D$1680,"AIRINDIA",'Raw Data'!$E$2:$E$1680,"AI*")</f>
        <v>14</v>
      </c>
    </row>
    <row r="201" spans="1:3" x14ac:dyDescent="0.25">
      <c r="A201" t="s">
        <v>799</v>
      </c>
      <c r="B201" t="s">
        <v>25</v>
      </c>
      <c r="C201">
        <f>SUMIFS('Raw Data'!$N$2:$N$1680,'Raw Data'!$C$2:$C$1680,A201,'Raw Data'!$D$2:$D$1680,"INDIGO",'Raw Data'!$E$2:$E$1680,"6E*")</f>
        <v>18</v>
      </c>
    </row>
    <row r="202" spans="1:3" x14ac:dyDescent="0.25">
      <c r="A202" t="s">
        <v>799</v>
      </c>
      <c r="B202" t="s">
        <v>2174</v>
      </c>
      <c r="C202">
        <f>SUMIFS('Raw Data'!$N$2:$N$1680,'Raw Data'!$C$2:$C$1680,A202,'Raw Data'!$D$2:$D$1680,"ALLIANCE",'Raw Data'!$E$2:$E$1680,"9I*")</f>
        <v>0</v>
      </c>
    </row>
    <row r="203" spans="1:3" x14ac:dyDescent="0.25">
      <c r="A203" t="s">
        <v>799</v>
      </c>
      <c r="B203" t="s">
        <v>2175</v>
      </c>
      <c r="C203">
        <f>SUMIFS('Raw Data'!$N$2:$N$1680,'Raw Data'!$C$2:$C$1680,A203,'Raw Data'!$D$2:$D$1680,"AIRINDIA",'Raw Data'!$E$2:$E$1680,"AI*")</f>
        <v>33</v>
      </c>
    </row>
    <row r="204" spans="1:3" x14ac:dyDescent="0.25">
      <c r="A204" t="s">
        <v>809</v>
      </c>
      <c r="B204" t="s">
        <v>25</v>
      </c>
      <c r="C204">
        <f>SUMIFS('Raw Data'!$N$2:$N$1680,'Raw Data'!$C$2:$C$1680,A204,'Raw Data'!$D$2:$D$1680,"INDIGO",'Raw Data'!$E$2:$E$1680,"6E*")</f>
        <v>21</v>
      </c>
    </row>
    <row r="205" spans="1:3" x14ac:dyDescent="0.25">
      <c r="A205" t="s">
        <v>809</v>
      </c>
      <c r="B205" t="s">
        <v>2175</v>
      </c>
      <c r="C205">
        <f>SUMIFS('Raw Data'!$N$2:$N$1680,'Raw Data'!$C$2:$C$1680,A205,'Raw Data'!$D$2:$D$1680,"AIRINDIA",'Raw Data'!$E$2:$E$1680,"AI*")</f>
        <v>14</v>
      </c>
    </row>
    <row r="206" spans="1:3" x14ac:dyDescent="0.25">
      <c r="A206" t="s">
        <v>816</v>
      </c>
      <c r="B206" t="s">
        <v>25</v>
      </c>
      <c r="C206">
        <f>SUMIFS('Raw Data'!$N$2:$N$1680,'Raw Data'!$C$2:$C$1680,A206,'Raw Data'!$D$2:$D$1680,"INDIGO",'Raw Data'!$E$2:$E$1680,"6E*")</f>
        <v>41</v>
      </c>
    </row>
    <row r="207" spans="1:3" x14ac:dyDescent="0.25">
      <c r="A207" t="s">
        <v>816</v>
      </c>
      <c r="B207" t="s">
        <v>2175</v>
      </c>
      <c r="C207">
        <f>SUMIFS('Raw Data'!$N$2:$N$1680,'Raw Data'!$C$2:$C$1680,A207,'Raw Data'!$D$2:$D$1680,"AIRINDIA",'Raw Data'!$E$2:$E$1680,"AI*")</f>
        <v>26</v>
      </c>
    </row>
    <row r="208" spans="1:3" x14ac:dyDescent="0.25">
      <c r="A208" t="s">
        <v>816</v>
      </c>
      <c r="B208" t="s">
        <v>30</v>
      </c>
      <c r="C208">
        <f>SUMIFS('Raw Data'!$N$2:$N$1680,'Raw Data'!$C$2:$C$1680,A208,'Raw Data'!$D$2:$D$1680,"SPICEJET",'Raw Data'!$E$2:$E$1680,"SG*")</f>
        <v>18</v>
      </c>
    </row>
    <row r="209" spans="1:3" x14ac:dyDescent="0.25">
      <c r="A209" t="s">
        <v>816</v>
      </c>
      <c r="B209" t="s">
        <v>2173</v>
      </c>
      <c r="C209">
        <f>SUMIFS('Raw Data'!$N$2:$N$1680,'Raw Data'!$C$2:$C$1680,A209,'Raw Data'!$D$2:$D$1680,"AIRINDIA",'Raw Data'!$E$2:$E$1680,"IX*")</f>
        <v>21</v>
      </c>
    </row>
    <row r="210" spans="1:3" x14ac:dyDescent="0.25">
      <c r="A210" t="s">
        <v>838</v>
      </c>
      <c r="B210" t="s">
        <v>25</v>
      </c>
      <c r="C210">
        <f>SUMIFS('Raw Data'!$N$2:$N$1680,'Raw Data'!$C$2:$C$1680,A210,'Raw Data'!$D$2:$D$1680,"INDIGO",'Raw Data'!$E$2:$E$1680,"6E*")</f>
        <v>34</v>
      </c>
    </row>
    <row r="211" spans="1:3" x14ac:dyDescent="0.25">
      <c r="A211" t="s">
        <v>838</v>
      </c>
      <c r="B211" t="s">
        <v>30</v>
      </c>
      <c r="C211">
        <f>SUMIFS('Raw Data'!$N$2:$N$1680,'Raw Data'!$C$2:$C$1680,A211,'Raw Data'!$D$2:$D$1680,"SPICEJET",'Raw Data'!$E$2:$E$1680,"SG*")</f>
        <v>6</v>
      </c>
    </row>
    <row r="212" spans="1:3" x14ac:dyDescent="0.25">
      <c r="A212" t="s">
        <v>838</v>
      </c>
      <c r="B212" t="s">
        <v>2173</v>
      </c>
      <c r="C212">
        <f>SUMIFS('Raw Data'!$N$2:$N$1680,'Raw Data'!$C$2:$C$1680,A212,'Raw Data'!$D$2:$D$1680,"AIRINDIA",'Raw Data'!$E$2:$E$1680,"IX*")</f>
        <v>13</v>
      </c>
    </row>
    <row r="213" spans="1:3" x14ac:dyDescent="0.25">
      <c r="A213" t="s">
        <v>847</v>
      </c>
      <c r="B213" t="s">
        <v>25</v>
      </c>
      <c r="C213">
        <f>SUMIFS('Raw Data'!$N$2:$N$1680,'Raw Data'!$C$2:$C$1680,A213,'Raw Data'!$D$2:$D$1680,"INDIGO",'Raw Data'!$E$2:$E$1680,"6E*")</f>
        <v>7</v>
      </c>
    </row>
    <row r="214" spans="1:3" x14ac:dyDescent="0.25">
      <c r="A214" t="s">
        <v>847</v>
      </c>
      <c r="B214" t="s">
        <v>2175</v>
      </c>
      <c r="C214">
        <f>SUMIFS('Raw Data'!$N$2:$N$1680,'Raw Data'!$C$2:$C$1680,A214,'Raw Data'!$D$2:$D$1680,"AIRINDIA",'Raw Data'!$E$2:$E$1680,"AI*")</f>
        <v>22</v>
      </c>
    </row>
    <row r="215" spans="1:3" x14ac:dyDescent="0.25">
      <c r="A215" t="s">
        <v>856</v>
      </c>
      <c r="B215" t="s">
        <v>25</v>
      </c>
      <c r="C215">
        <f>SUMIFS('Raw Data'!$N$2:$N$1680,'Raw Data'!$C$2:$C$1680,A215,'Raw Data'!$D$2:$D$1680,"INDIGO",'Raw Data'!$E$2:$E$1680,"6E*")</f>
        <v>13</v>
      </c>
    </row>
    <row r="216" spans="1:3" x14ac:dyDescent="0.25">
      <c r="A216" t="s">
        <v>856</v>
      </c>
      <c r="B216" t="s">
        <v>2175</v>
      </c>
      <c r="C216">
        <f>SUMIFS('Raw Data'!$N$2:$N$1680,'Raw Data'!$C$2:$C$1680,A216,'Raw Data'!$D$2:$D$1680,"AIRINDIA",'Raw Data'!$E$2:$E$1680,"AI*")</f>
        <v>14</v>
      </c>
    </row>
    <row r="217" spans="1:3" x14ac:dyDescent="0.25">
      <c r="A217" t="s">
        <v>861</v>
      </c>
      <c r="B217" t="s">
        <v>25</v>
      </c>
      <c r="C217">
        <f>SUMIFS('Raw Data'!$N$2:$N$1680,'Raw Data'!$C$2:$C$1680,A217,'Raw Data'!$D$2:$D$1680,"INDIGO",'Raw Data'!$E$2:$E$1680,"6E*")</f>
        <v>11</v>
      </c>
    </row>
    <row r="218" spans="1:3" x14ac:dyDescent="0.25">
      <c r="A218" t="s">
        <v>861</v>
      </c>
      <c r="B218" t="s">
        <v>2173</v>
      </c>
      <c r="C218">
        <f>SUMIFS('Raw Data'!$N$2:$N$1680,'Raw Data'!$C$2:$C$1680,A218,'Raw Data'!$D$2:$D$1680,"AIRINDIA",'Raw Data'!$E$2:$E$1680,"IX*")</f>
        <v>7</v>
      </c>
    </row>
    <row r="219" spans="1:3" x14ac:dyDescent="0.25">
      <c r="A219" t="s">
        <v>865</v>
      </c>
      <c r="B219" t="s">
        <v>2175</v>
      </c>
      <c r="C219">
        <f>SUMIFS('Raw Data'!$N$2:$N$1680,'Raw Data'!$C$2:$C$1680,A219,'Raw Data'!$D$2:$D$1680,"AIRINDIA",'Raw Data'!$E$2:$E$1680,"AI*")</f>
        <v>7</v>
      </c>
    </row>
    <row r="220" spans="1:3" x14ac:dyDescent="0.25">
      <c r="A220" t="s">
        <v>865</v>
      </c>
      <c r="B220" t="s">
        <v>25</v>
      </c>
      <c r="C220">
        <f>SUMIFS('Raw Data'!$N$2:$N$1680,'Raw Data'!$C$2:$C$1680,A220,'Raw Data'!$D$2:$D$1680,"INDIGO",'Raw Data'!$E$2:$E$1680,"6E*")</f>
        <v>17</v>
      </c>
    </row>
    <row r="221" spans="1:3" x14ac:dyDescent="0.25">
      <c r="A221" t="s">
        <v>865</v>
      </c>
      <c r="B221" t="s">
        <v>2173</v>
      </c>
      <c r="C221">
        <f>SUMIFS('Raw Data'!$N$2:$N$1680,'Raw Data'!$C$2:$C$1680,A221,'Raw Data'!$D$2:$D$1680,"AIRINDIA",'Raw Data'!$E$2:$E$1680,"IX*")</f>
        <v>14</v>
      </c>
    </row>
    <row r="222" spans="1:3" x14ac:dyDescent="0.25">
      <c r="A222" t="s">
        <v>873</v>
      </c>
      <c r="B222" t="s">
        <v>25</v>
      </c>
      <c r="C222">
        <f>SUMIFS('Raw Data'!$N$2:$N$1680,'Raw Data'!$C$2:$C$1680,A222,'Raw Data'!$D$2:$D$1680,"INDIGO",'Raw Data'!$E$2:$E$1680,"6E*")</f>
        <v>24</v>
      </c>
    </row>
    <row r="223" spans="1:3" x14ac:dyDescent="0.25">
      <c r="A223" t="s">
        <v>873</v>
      </c>
      <c r="B223" t="s">
        <v>2175</v>
      </c>
      <c r="C223">
        <f>SUMIFS('Raw Data'!$N$2:$N$1680,'Raw Data'!$C$2:$C$1680,A223,'Raw Data'!$D$2:$D$1680,"AIRINDIA",'Raw Data'!$E$2:$E$1680,"AI*")</f>
        <v>14</v>
      </c>
    </row>
    <row r="224" spans="1:3" x14ac:dyDescent="0.25">
      <c r="A224" t="s">
        <v>873</v>
      </c>
      <c r="B224" t="s">
        <v>2173</v>
      </c>
      <c r="C224">
        <f>SUMIFS('Raw Data'!$N$2:$N$1680,'Raw Data'!$C$2:$C$1680,A224,'Raw Data'!$D$2:$D$1680,"AIRINDIA",'Raw Data'!$E$2:$E$1680,"IX*")</f>
        <v>14</v>
      </c>
    </row>
    <row r="225" spans="1:3" x14ac:dyDescent="0.25">
      <c r="A225" t="s">
        <v>882</v>
      </c>
      <c r="B225" t="s">
        <v>2175</v>
      </c>
      <c r="C225">
        <f>SUMIFS('Raw Data'!$N$2:$N$1680,'Raw Data'!$C$2:$C$1680,A225,'Raw Data'!$D$2:$D$1680,"AIRINDIA",'Raw Data'!$E$2:$E$1680,"AI*")</f>
        <v>23</v>
      </c>
    </row>
    <row r="226" spans="1:3" x14ac:dyDescent="0.25">
      <c r="A226" t="s">
        <v>882</v>
      </c>
      <c r="B226" t="s">
        <v>30</v>
      </c>
      <c r="C226">
        <f>SUMIFS('Raw Data'!$N$2:$N$1680,'Raw Data'!$C$2:$C$1680,A226,'Raw Data'!$D$2:$D$1680,"SPICEJET",'Raw Data'!$E$2:$E$1680,"SG*")</f>
        <v>28</v>
      </c>
    </row>
    <row r="227" spans="1:3" x14ac:dyDescent="0.25">
      <c r="A227" t="s">
        <v>882</v>
      </c>
      <c r="B227" t="s">
        <v>25</v>
      </c>
      <c r="C227">
        <f>SUMIFS('Raw Data'!$N$2:$N$1680,'Raw Data'!$C$2:$C$1680,A227,'Raw Data'!$D$2:$D$1680,"INDIGO",'Raw Data'!$E$2:$E$1680,"6E*")</f>
        <v>42</v>
      </c>
    </row>
    <row r="228" spans="1:3" x14ac:dyDescent="0.25">
      <c r="A228" t="s">
        <v>898</v>
      </c>
      <c r="B228" t="s">
        <v>2175</v>
      </c>
      <c r="C228">
        <f>SUMIFS('Raw Data'!$N$2:$N$1680,'Raw Data'!$C$2:$C$1680,A228,'Raw Data'!$D$2:$D$1680,"AIRINDIA",'Raw Data'!$E$2:$E$1680,"AI*")</f>
        <v>14</v>
      </c>
    </row>
    <row r="229" spans="1:3" x14ac:dyDescent="0.25">
      <c r="A229" t="s">
        <v>898</v>
      </c>
      <c r="B229" t="s">
        <v>25</v>
      </c>
      <c r="C229">
        <f>SUMIFS('Raw Data'!$N$2:$N$1680,'Raw Data'!$C$2:$C$1680,A229,'Raw Data'!$D$2:$D$1680,"INDIGO",'Raw Data'!$E$2:$E$1680,"6E*")</f>
        <v>3</v>
      </c>
    </row>
    <row r="230" spans="1:3" x14ac:dyDescent="0.25">
      <c r="A230" t="s">
        <v>902</v>
      </c>
      <c r="B230" t="s">
        <v>25</v>
      </c>
      <c r="C230">
        <f>SUMIFS('Raw Data'!$N$2:$N$1680,'Raw Data'!$C$2:$C$1680,A230,'Raw Data'!$D$2:$D$1680,"INDIGO",'Raw Data'!$E$2:$E$1680,"6E*")</f>
        <v>4</v>
      </c>
    </row>
    <row r="231" spans="1:3" x14ac:dyDescent="0.25">
      <c r="A231" t="s">
        <v>905</v>
      </c>
      <c r="B231" t="s">
        <v>25</v>
      </c>
      <c r="C231">
        <f>SUMIFS('Raw Data'!$N$2:$N$1680,'Raw Data'!$C$2:$C$1680,A231,'Raw Data'!$D$2:$D$1680,"INDIGO",'Raw Data'!$E$2:$E$1680,"6E*")</f>
        <v>21</v>
      </c>
    </row>
    <row r="232" spans="1:3" x14ac:dyDescent="0.25">
      <c r="A232" t="s">
        <v>910</v>
      </c>
      <c r="B232" t="s">
        <v>25</v>
      </c>
      <c r="C232">
        <f>SUMIFS('Raw Data'!$N$2:$N$1680,'Raw Data'!$C$2:$C$1680,A232,'Raw Data'!$D$2:$D$1680,"INDIGO",'Raw Data'!$E$2:$E$1680,"6E*")</f>
        <v>28</v>
      </c>
    </row>
    <row r="233" spans="1:3" x14ac:dyDescent="0.25">
      <c r="A233" t="s">
        <v>915</v>
      </c>
      <c r="B233" t="s">
        <v>25</v>
      </c>
      <c r="C233">
        <f>SUMIFS('Raw Data'!$N$2:$N$1680,'Raw Data'!$C$2:$C$1680,A233,'Raw Data'!$D$2:$D$1680,"INDIGO",'Raw Data'!$E$2:$E$1680,"6E*")</f>
        <v>26</v>
      </c>
    </row>
    <row r="234" spans="1:3" x14ac:dyDescent="0.25">
      <c r="A234" t="s">
        <v>921</v>
      </c>
      <c r="B234" t="s">
        <v>25</v>
      </c>
      <c r="C234">
        <f>SUMIFS('Raw Data'!$N$2:$N$1680,'Raw Data'!$C$2:$C$1680,A234,'Raw Data'!$D$2:$D$1680,"INDIGO",'Raw Data'!$E$2:$E$1680,"6E*")</f>
        <v>25</v>
      </c>
    </row>
    <row r="235" spans="1:3" x14ac:dyDescent="0.25">
      <c r="A235" t="s">
        <v>926</v>
      </c>
      <c r="B235" t="s">
        <v>25</v>
      </c>
      <c r="C235">
        <f>SUMIFS('Raw Data'!$N$2:$N$1680,'Raw Data'!$C$2:$C$1680,A235,'Raw Data'!$D$2:$D$1680,"INDIGO",'Raw Data'!$E$2:$E$1680,"6E*")</f>
        <v>14</v>
      </c>
    </row>
    <row r="236" spans="1:3" x14ac:dyDescent="0.25">
      <c r="A236" t="s">
        <v>929</v>
      </c>
      <c r="B236" t="s">
        <v>25</v>
      </c>
      <c r="C236">
        <f>SUMIFS('Raw Data'!$N$2:$N$1680,'Raw Data'!$C$2:$C$1680,A236,'Raw Data'!$D$2:$D$1680,"INDIGO",'Raw Data'!$E$2:$E$1680,"6E*")</f>
        <v>14</v>
      </c>
    </row>
    <row r="237" spans="1:3" x14ac:dyDescent="0.25">
      <c r="A237" t="s">
        <v>933</v>
      </c>
      <c r="B237" t="s">
        <v>25</v>
      </c>
      <c r="C237">
        <f>SUMIFS('Raw Data'!$N$2:$N$1680,'Raw Data'!$C$2:$C$1680,A237,'Raw Data'!$D$2:$D$1680,"INDIGO",'Raw Data'!$E$2:$E$1680,"6E*")</f>
        <v>7</v>
      </c>
    </row>
    <row r="238" spans="1:3" x14ac:dyDescent="0.25">
      <c r="A238" t="s">
        <v>933</v>
      </c>
      <c r="B238" t="s">
        <v>2173</v>
      </c>
      <c r="C238">
        <f>SUMIFS('Raw Data'!$N$2:$N$1680,'Raw Data'!$C$2:$C$1680,A238,'Raw Data'!$D$2:$D$1680,"AIRINDIA",'Raw Data'!$E$2:$E$1680,"IX*")</f>
        <v>7</v>
      </c>
    </row>
    <row r="239" spans="1:3" x14ac:dyDescent="0.25">
      <c r="A239" t="s">
        <v>936</v>
      </c>
      <c r="B239" t="s">
        <v>25</v>
      </c>
      <c r="C239">
        <f>SUMIFS('Raw Data'!$N$2:$N$1680,'Raw Data'!$C$2:$C$1680,A239,'Raw Data'!$D$2:$D$1680,"INDIGO",'Raw Data'!$E$2:$E$1680,"6E*")</f>
        <v>7</v>
      </c>
    </row>
    <row r="240" spans="1:3" x14ac:dyDescent="0.25">
      <c r="A240" t="s">
        <v>938</v>
      </c>
      <c r="B240" t="s">
        <v>25</v>
      </c>
      <c r="C240">
        <f>SUMIFS('Raw Data'!$N$2:$N$1680,'Raw Data'!$C$2:$C$1680,A240,'Raw Data'!$D$2:$D$1680,"INDIGO",'Raw Data'!$E$2:$E$1680,"6E*")</f>
        <v>21</v>
      </c>
    </row>
    <row r="241" spans="1:3" x14ac:dyDescent="0.25">
      <c r="A241" t="s">
        <v>942</v>
      </c>
      <c r="B241" t="s">
        <v>52</v>
      </c>
      <c r="C241">
        <f>SUMIFS('Raw Data'!$N$2:$N$1680,'Raw Data'!$C$2:$C$1680,A241,'Raw Data'!$D$2:$D$1680,B241)</f>
        <v>0</v>
      </c>
    </row>
    <row r="242" spans="1:3" x14ac:dyDescent="0.25">
      <c r="A242" t="s">
        <v>943</v>
      </c>
      <c r="B242" t="s">
        <v>25</v>
      </c>
      <c r="C242">
        <f>SUMIFS('Raw Data'!$N$2:$N$1680,'Raw Data'!$C$2:$C$1680,A242,'Raw Data'!$D$2:$D$1680,"INDIGO",'Raw Data'!$E$2:$E$1680,"6E*")</f>
        <v>14</v>
      </c>
    </row>
    <row r="243" spans="1:3" x14ac:dyDescent="0.25">
      <c r="A243" t="s">
        <v>946</v>
      </c>
      <c r="B243" t="s">
        <v>25</v>
      </c>
      <c r="C243">
        <f>SUMIFS('Raw Data'!$N$2:$N$1680,'Raw Data'!$C$2:$C$1680,A243,'Raw Data'!$D$2:$D$1680,"INDIGO",'Raw Data'!$E$2:$E$1680,"6E*")</f>
        <v>14</v>
      </c>
    </row>
    <row r="244" spans="1:3" x14ac:dyDescent="0.25">
      <c r="A244" t="s">
        <v>950</v>
      </c>
      <c r="B244" t="s">
        <v>25</v>
      </c>
      <c r="C244">
        <f>SUMIFS('Raw Data'!$N$2:$N$1680,'Raw Data'!$C$2:$C$1680,A244,'Raw Data'!$D$2:$D$1680,"INDIGO",'Raw Data'!$E$2:$E$1680,"6E*")</f>
        <v>22</v>
      </c>
    </row>
    <row r="245" spans="1:3" x14ac:dyDescent="0.25">
      <c r="A245" t="s">
        <v>956</v>
      </c>
      <c r="B245" t="s">
        <v>25</v>
      </c>
      <c r="C245">
        <f>SUMIFS('Raw Data'!$N$2:$N$1680,'Raw Data'!$C$2:$C$1680,A245,'Raw Data'!$D$2:$D$1680,"INDIGO",'Raw Data'!$E$2:$E$1680,"6E*")</f>
        <v>11</v>
      </c>
    </row>
    <row r="246" spans="1:3" x14ac:dyDescent="0.25">
      <c r="A246" t="s">
        <v>959</v>
      </c>
      <c r="B246" t="s">
        <v>25</v>
      </c>
      <c r="C246">
        <f>SUMIFS('Raw Data'!$N$2:$N$1680,'Raw Data'!$C$2:$C$1680,A246,'Raw Data'!$D$2:$D$1680,"INDIGO",'Raw Data'!$E$2:$E$1680,"6E*")</f>
        <v>21</v>
      </c>
    </row>
    <row r="247" spans="1:3" x14ac:dyDescent="0.25">
      <c r="A247" t="s">
        <v>963</v>
      </c>
      <c r="B247" t="s">
        <v>25</v>
      </c>
      <c r="C247">
        <f>SUMIFS('Raw Data'!$N$2:$N$1680,'Raw Data'!$C$2:$C$1680,A247,'Raw Data'!$D$2:$D$1680,"INDIGO",'Raw Data'!$E$2:$E$1680,"6E*")</f>
        <v>10</v>
      </c>
    </row>
    <row r="248" spans="1:3" x14ac:dyDescent="0.25">
      <c r="A248" t="s">
        <v>966</v>
      </c>
      <c r="B248" t="s">
        <v>25</v>
      </c>
      <c r="C248">
        <f>SUMIFS('Raw Data'!$N$2:$N$1680,'Raw Data'!$C$2:$C$1680,A248,'Raw Data'!$D$2:$D$1680,"INDIGO",'Raw Data'!$E$2:$E$1680,"6E*")</f>
        <v>4</v>
      </c>
    </row>
    <row r="249" spans="1:3" x14ac:dyDescent="0.25">
      <c r="A249" t="s">
        <v>968</v>
      </c>
      <c r="B249" t="s">
        <v>25</v>
      </c>
      <c r="C249">
        <f>SUMIFS('Raw Data'!$N$2:$N$1680,'Raw Data'!$C$2:$C$1680,A249,'Raw Data'!$D$2:$D$1680,"INDIGO",'Raw Data'!$E$2:$E$1680,"6E*")</f>
        <v>3</v>
      </c>
    </row>
    <row r="250" spans="1:3" x14ac:dyDescent="0.25">
      <c r="A250" t="s">
        <v>970</v>
      </c>
      <c r="B250" t="s">
        <v>52</v>
      </c>
      <c r="C250">
        <f>SUMIFS('Raw Data'!$N$2:$N$1680,'Raw Data'!$C$2:$C$1680,A250,'Raw Data'!$D$2:$D$1680,B250)</f>
        <v>0</v>
      </c>
    </row>
    <row r="251" spans="1:3" x14ac:dyDescent="0.25">
      <c r="A251" t="s">
        <v>971</v>
      </c>
      <c r="B251" t="s">
        <v>25</v>
      </c>
      <c r="C251">
        <f>SUMIFS('Raw Data'!$N$2:$N$1680,'Raw Data'!$C$2:$C$1680,A251,'Raw Data'!$D$2:$D$1680,"INDIGO",'Raw Data'!$E$2:$E$1680,"6E*")</f>
        <v>14</v>
      </c>
    </row>
    <row r="252" spans="1:3" x14ac:dyDescent="0.25">
      <c r="A252" t="s">
        <v>975</v>
      </c>
      <c r="B252" t="s">
        <v>25</v>
      </c>
      <c r="C252">
        <f>SUMIFS('Raw Data'!$N$2:$N$1680,'Raw Data'!$C$2:$C$1680,A252,'Raw Data'!$D$2:$D$1680,"INDIGO",'Raw Data'!$E$2:$E$1680,"6E*")</f>
        <v>48</v>
      </c>
    </row>
    <row r="253" spans="1:3" x14ac:dyDescent="0.25">
      <c r="A253" t="s">
        <v>975</v>
      </c>
      <c r="B253" t="s">
        <v>2173</v>
      </c>
      <c r="C253">
        <f>SUMIFS('Raw Data'!$N$2:$N$1680,'Raw Data'!$C$2:$C$1680,A253,'Raw Data'!$D$2:$D$1680,"AIRINDIA",'Raw Data'!$E$2:$E$1680,"IX*")</f>
        <v>14</v>
      </c>
    </row>
    <row r="254" spans="1:3" x14ac:dyDescent="0.25">
      <c r="A254" t="s">
        <v>988</v>
      </c>
      <c r="B254" t="s">
        <v>52</v>
      </c>
      <c r="C254">
        <f>SUMIFS('Raw Data'!$N$2:$N$1680,'Raw Data'!$C$2:$C$1680,A254,'Raw Data'!$D$2:$D$1680,B254)</f>
        <v>0</v>
      </c>
    </row>
    <row r="255" spans="1:3" x14ac:dyDescent="0.25">
      <c r="A255" t="s">
        <v>989</v>
      </c>
      <c r="B255" t="s">
        <v>25</v>
      </c>
      <c r="C255">
        <f>SUMIFS('Raw Data'!$N$2:$N$1680,'Raw Data'!$C$2:$C$1680,A255,'Raw Data'!$D$2:$D$1680,"INDIGO",'Raw Data'!$E$2:$E$1680,"6E*")</f>
        <v>7</v>
      </c>
    </row>
    <row r="256" spans="1:3" x14ac:dyDescent="0.25">
      <c r="A256" t="s">
        <v>991</v>
      </c>
      <c r="B256" t="s">
        <v>25</v>
      </c>
      <c r="C256">
        <f>SUMIFS('Raw Data'!$N$2:$N$1680,'Raw Data'!$C$2:$C$1680,A256,'Raw Data'!$D$2:$D$1680,"INDIGO",'Raw Data'!$E$2:$E$1680,"6E*")</f>
        <v>14</v>
      </c>
    </row>
    <row r="257" spans="1:3" x14ac:dyDescent="0.25">
      <c r="A257" t="s">
        <v>994</v>
      </c>
      <c r="B257" t="s">
        <v>52</v>
      </c>
      <c r="C257">
        <f>SUMIFS('Raw Data'!$N$2:$N$1680,'Raw Data'!$C$2:$C$1680,A257,'Raw Data'!$D$2:$D$1680,B257)</f>
        <v>0</v>
      </c>
    </row>
    <row r="258" spans="1:3" x14ac:dyDescent="0.25">
      <c r="A258" t="s">
        <v>995</v>
      </c>
      <c r="B258" t="s">
        <v>25</v>
      </c>
      <c r="C258">
        <f>SUMIFS('Raw Data'!$N$2:$N$1680,'Raw Data'!$C$2:$C$1680,A258,'Raw Data'!$D$2:$D$1680,"INDIGO",'Raw Data'!$E$2:$E$1680,"6E*")</f>
        <v>28</v>
      </c>
    </row>
    <row r="259" spans="1:3" x14ac:dyDescent="0.25">
      <c r="A259" t="s">
        <v>995</v>
      </c>
      <c r="B259" t="s">
        <v>2173</v>
      </c>
      <c r="C259">
        <f>SUMIFS('Raw Data'!$N$2:$N$1680,'Raw Data'!$C$2:$C$1680,A259,'Raw Data'!$D$2:$D$1680,"AIRINDIA",'Raw Data'!$E$2:$E$1680,"IX*")</f>
        <v>7</v>
      </c>
    </row>
    <row r="260" spans="1:3" x14ac:dyDescent="0.25">
      <c r="A260" t="s">
        <v>995</v>
      </c>
      <c r="B260" t="s">
        <v>2176</v>
      </c>
      <c r="C260">
        <f>SUMIFS('Raw Data'!$N$2:$N$1680,'Raw Data'!$C$2:$C$1680,A260,'Raw Data'!$D$2:$D$1680,"FLY91",'Raw Data'!$E$2:$E$1680,"IC*")</f>
        <v>0</v>
      </c>
    </row>
    <row r="261" spans="1:3" x14ac:dyDescent="0.25">
      <c r="A261" t="s">
        <v>1002</v>
      </c>
      <c r="B261" t="s">
        <v>25</v>
      </c>
      <c r="C261">
        <f>SUMIFS('Raw Data'!$N$2:$N$1680,'Raw Data'!$C$2:$C$1680,A261,'Raw Data'!$D$2:$D$1680,"INDIGO",'Raw Data'!$E$2:$E$1680,"6E*")</f>
        <v>7</v>
      </c>
    </row>
    <row r="262" spans="1:3" x14ac:dyDescent="0.25">
      <c r="A262" t="s">
        <v>1005</v>
      </c>
      <c r="B262" t="s">
        <v>25</v>
      </c>
      <c r="C262">
        <f>SUMIFS('Raw Data'!$N$2:$N$1680,'Raw Data'!$C$2:$C$1680,A262,'Raw Data'!$D$2:$D$1680,"INDIGO",'Raw Data'!$E$2:$E$1680,"6E*")</f>
        <v>7</v>
      </c>
    </row>
    <row r="263" spans="1:3" x14ac:dyDescent="0.25">
      <c r="A263" t="s">
        <v>1008</v>
      </c>
      <c r="B263" t="s">
        <v>25</v>
      </c>
      <c r="C263">
        <f>SUMIFS('Raw Data'!$N$2:$N$1680,'Raw Data'!$C$2:$C$1680,A263,'Raw Data'!$D$2:$D$1680,"INDIGO",'Raw Data'!$E$2:$E$1680,"6E*")</f>
        <v>42</v>
      </c>
    </row>
    <row r="264" spans="1:3" x14ac:dyDescent="0.25">
      <c r="A264" t="s">
        <v>1015</v>
      </c>
      <c r="B264" t="s">
        <v>25</v>
      </c>
      <c r="C264">
        <f>SUMIFS('Raw Data'!$N$2:$N$1680,'Raw Data'!$C$2:$C$1680,A264,'Raw Data'!$D$2:$D$1680,"INDIGO",'Raw Data'!$E$2:$E$1680,"6E*")</f>
        <v>34</v>
      </c>
    </row>
    <row r="265" spans="1:3" x14ac:dyDescent="0.25">
      <c r="A265" t="s">
        <v>1022</v>
      </c>
      <c r="B265" t="s">
        <v>25</v>
      </c>
      <c r="C265">
        <f>SUMIFS('Raw Data'!$N$2:$N$1680,'Raw Data'!$C$2:$C$1680,A265,'Raw Data'!$D$2:$D$1680,"INDIGO",'Raw Data'!$E$2:$E$1680,"6E*")</f>
        <v>5</v>
      </c>
    </row>
    <row r="266" spans="1:3" x14ac:dyDescent="0.25">
      <c r="A266" t="s">
        <v>1024</v>
      </c>
      <c r="B266" t="s">
        <v>25</v>
      </c>
      <c r="C266">
        <f>SUMIFS('Raw Data'!$N$2:$N$1680,'Raw Data'!$C$2:$C$1680,A266,'Raw Data'!$D$2:$D$1680,"INDIGO",'Raw Data'!$E$2:$E$1680,"6E*")</f>
        <v>14</v>
      </c>
    </row>
    <row r="267" spans="1:3" x14ac:dyDescent="0.25">
      <c r="A267" t="s">
        <v>1024</v>
      </c>
      <c r="B267" t="s">
        <v>2173</v>
      </c>
      <c r="C267">
        <f>SUMIFS('Raw Data'!$N$2:$N$1680,'Raw Data'!$C$2:$C$1680,A267,'Raw Data'!$D$2:$D$1680,"AIRINDIA",'Raw Data'!$E$2:$E$1680,"IX*")</f>
        <v>7</v>
      </c>
    </row>
    <row r="268" spans="1:3" x14ac:dyDescent="0.25">
      <c r="A268" t="s">
        <v>1028</v>
      </c>
      <c r="B268" t="s">
        <v>25</v>
      </c>
      <c r="C268">
        <f>SUMIFS('Raw Data'!$N$2:$N$1680,'Raw Data'!$C$2:$C$1680,A268,'Raw Data'!$D$2:$D$1680,"INDIGO",'Raw Data'!$E$2:$E$1680,"6E*")</f>
        <v>7</v>
      </c>
    </row>
    <row r="269" spans="1:3" x14ac:dyDescent="0.25">
      <c r="A269" t="s">
        <v>1032</v>
      </c>
      <c r="B269" t="s">
        <v>25</v>
      </c>
      <c r="C269">
        <f>SUMIFS('Raw Data'!$N$2:$N$1680,'Raw Data'!$C$2:$C$1680,A269,'Raw Data'!$D$2:$D$1680,"INDIGO",'Raw Data'!$E$2:$E$1680,"6E*")</f>
        <v>4</v>
      </c>
    </row>
    <row r="270" spans="1:3" x14ac:dyDescent="0.25">
      <c r="A270" t="s">
        <v>1034</v>
      </c>
      <c r="B270" t="s">
        <v>25</v>
      </c>
      <c r="C270">
        <f>SUMIFS('Raw Data'!$N$2:$N$1680,'Raw Data'!$C$2:$C$1680,A270,'Raw Data'!$D$2:$D$1680,"INDIGO",'Raw Data'!$E$2:$E$1680,"6E*")</f>
        <v>20</v>
      </c>
    </row>
    <row r="271" spans="1:3" x14ac:dyDescent="0.25">
      <c r="A271" t="s">
        <v>1034</v>
      </c>
      <c r="B271" t="s">
        <v>2175</v>
      </c>
      <c r="C271">
        <f>SUMIFS('Raw Data'!$N$2:$N$1680,'Raw Data'!$C$2:$C$1680,A271,'Raw Data'!$D$2:$D$1680,"AIRINDIA",'Raw Data'!$E$2:$E$1680,"AI*")</f>
        <v>7</v>
      </c>
    </row>
    <row r="272" spans="1:3" x14ac:dyDescent="0.25">
      <c r="A272" t="s">
        <v>1039</v>
      </c>
      <c r="B272" t="s">
        <v>25</v>
      </c>
      <c r="C272">
        <f>SUMIFS('Raw Data'!$N$2:$N$1680,'Raw Data'!$C$2:$C$1680,A272,'Raw Data'!$D$2:$D$1680,"INDIGO",'Raw Data'!$E$2:$E$1680,"6E*")</f>
        <v>7</v>
      </c>
    </row>
    <row r="273" spans="1:3" x14ac:dyDescent="0.25">
      <c r="A273" t="s">
        <v>1039</v>
      </c>
      <c r="B273" t="s">
        <v>27</v>
      </c>
      <c r="C273">
        <f>SUMIFS('Raw Data'!$N$2:$N$1680,'Raw Data'!$C$2:$C$1680,A273,'Raw Data'!$D$2:$D$1680,"AKASA",'Raw Data'!$E$2:$E$1680,"QP*")</f>
        <v>4</v>
      </c>
    </row>
    <row r="274" spans="1:3" x14ac:dyDescent="0.25">
      <c r="A274" t="s">
        <v>1042</v>
      </c>
      <c r="B274" t="s">
        <v>25</v>
      </c>
      <c r="C274">
        <f>SUMIFS('Raw Data'!$N$2:$N$1680,'Raw Data'!$C$2:$C$1680,A274,'Raw Data'!$D$2:$D$1680,"INDIGO",'Raw Data'!$E$2:$E$1680,"6E*")</f>
        <v>7</v>
      </c>
    </row>
    <row r="275" spans="1:3" x14ac:dyDescent="0.25">
      <c r="A275" t="s">
        <v>1044</v>
      </c>
      <c r="B275" t="s">
        <v>25</v>
      </c>
      <c r="C275">
        <f>SUMIFS('Raw Data'!$N$2:$N$1680,'Raw Data'!$C$2:$C$1680,A275,'Raw Data'!$D$2:$D$1680,"INDIGO",'Raw Data'!$E$2:$E$1680,"6E*")</f>
        <v>4</v>
      </c>
    </row>
    <row r="276" spans="1:3" x14ac:dyDescent="0.25">
      <c r="A276" t="s">
        <v>1046</v>
      </c>
      <c r="B276" t="s">
        <v>52</v>
      </c>
      <c r="C276">
        <f>SUMIFS('Raw Data'!$N$2:$N$1680,'Raw Data'!$C$2:$C$1680,A276,'Raw Data'!$D$2:$D$1680,B276)</f>
        <v>0</v>
      </c>
    </row>
    <row r="277" spans="1:3" x14ac:dyDescent="0.25">
      <c r="A277" t="s">
        <v>1047</v>
      </c>
      <c r="B277" t="s">
        <v>25</v>
      </c>
      <c r="C277">
        <f>SUMIFS('Raw Data'!$N$2:$N$1680,'Raw Data'!$C$2:$C$1680,A277,'Raw Data'!$D$2:$D$1680,"INDIGO",'Raw Data'!$E$2:$E$1680,"6E*")</f>
        <v>4</v>
      </c>
    </row>
    <row r="278" spans="1:3" x14ac:dyDescent="0.25">
      <c r="A278" t="s">
        <v>1049</v>
      </c>
      <c r="B278" t="s">
        <v>25</v>
      </c>
      <c r="C278">
        <f>SUMIFS('Raw Data'!$N$2:$N$1680,'Raw Data'!$C$2:$C$1680,A278,'Raw Data'!$D$2:$D$1680,"INDIGO",'Raw Data'!$E$2:$E$1680,"6E*")</f>
        <v>4</v>
      </c>
    </row>
    <row r="279" spans="1:3" x14ac:dyDescent="0.25">
      <c r="A279" t="s">
        <v>1051</v>
      </c>
      <c r="B279" t="s">
        <v>25</v>
      </c>
      <c r="C279">
        <f>SUMIFS('Raw Data'!$N$2:$N$1680,'Raw Data'!$C$2:$C$1680,A279,'Raw Data'!$D$2:$D$1680,"INDIGO",'Raw Data'!$E$2:$E$1680,"6E*")</f>
        <v>3</v>
      </c>
    </row>
    <row r="280" spans="1:3" x14ac:dyDescent="0.25">
      <c r="A280" t="s">
        <v>1053</v>
      </c>
      <c r="B280" t="s">
        <v>25</v>
      </c>
      <c r="C280">
        <f>SUMIFS('Raw Data'!$N$2:$N$1680,'Raw Data'!$C$2:$C$1680,A280,'Raw Data'!$D$2:$D$1680,"INDIGO",'Raw Data'!$E$2:$E$1680,"6E*")</f>
        <v>4</v>
      </c>
    </row>
    <row r="281" spans="1:3" x14ac:dyDescent="0.25">
      <c r="A281" t="s">
        <v>1055</v>
      </c>
      <c r="B281" t="s">
        <v>52</v>
      </c>
      <c r="C281">
        <f>SUMIFS('Raw Data'!$N$2:$N$1680,'Raw Data'!$C$2:$C$1680,A281,'Raw Data'!$D$2:$D$1680,B281)</f>
        <v>0</v>
      </c>
    </row>
    <row r="282" spans="1:3" x14ac:dyDescent="0.25">
      <c r="A282" t="s">
        <v>1056</v>
      </c>
      <c r="B282" t="s">
        <v>52</v>
      </c>
      <c r="C282">
        <f>SUMIFS('Raw Data'!$N$2:$N$1680,'Raw Data'!$C$2:$C$1680,A282,'Raw Data'!$D$2:$D$1680,B282)</f>
        <v>0</v>
      </c>
    </row>
    <row r="283" spans="1:3" x14ac:dyDescent="0.25">
      <c r="A283" t="s">
        <v>1057</v>
      </c>
      <c r="B283" t="s">
        <v>52</v>
      </c>
      <c r="C283">
        <f>SUMIFS('Raw Data'!$N$2:$N$1680,'Raw Data'!$C$2:$C$1680,A283,'Raw Data'!$D$2:$D$1680,B283)</f>
        <v>0</v>
      </c>
    </row>
    <row r="284" spans="1:3" x14ac:dyDescent="0.25">
      <c r="A284" t="s">
        <v>1058</v>
      </c>
      <c r="B284" t="s">
        <v>25</v>
      </c>
      <c r="C284">
        <f>SUMIFS('Raw Data'!$N$2:$N$1680,'Raw Data'!$C$2:$C$1680,A284,'Raw Data'!$D$2:$D$1680,"INDIGO",'Raw Data'!$E$2:$E$1680,"6E*")</f>
        <v>15</v>
      </c>
    </row>
    <row r="285" spans="1:3" x14ac:dyDescent="0.25">
      <c r="A285" t="s">
        <v>1061</v>
      </c>
      <c r="B285" t="s">
        <v>25</v>
      </c>
      <c r="C285">
        <f>SUMIFS('Raw Data'!$N$2:$N$1680,'Raw Data'!$C$2:$C$1680,A285,'Raw Data'!$D$2:$D$1680,"INDIGO",'Raw Data'!$E$2:$E$1680,"6E*")</f>
        <v>11</v>
      </c>
    </row>
    <row r="286" spans="1:3" x14ac:dyDescent="0.25">
      <c r="A286" t="s">
        <v>1064</v>
      </c>
      <c r="B286" t="s">
        <v>52</v>
      </c>
      <c r="C286">
        <f>SUMIFS('Raw Data'!$N$2:$N$1680,'Raw Data'!$C$2:$C$1680,A286,'Raw Data'!$D$2:$D$1680,B286)</f>
        <v>0</v>
      </c>
    </row>
    <row r="287" spans="1:3" x14ac:dyDescent="0.25">
      <c r="A287" t="s">
        <v>1065</v>
      </c>
      <c r="B287" t="s">
        <v>52</v>
      </c>
      <c r="C287">
        <f>SUMIFS('Raw Data'!$N$2:$N$1680,'Raw Data'!$C$2:$C$1680,A287,'Raw Data'!$D$2:$D$1680,B287)</f>
        <v>0</v>
      </c>
    </row>
    <row r="288" spans="1:3" x14ac:dyDescent="0.25">
      <c r="A288" t="s">
        <v>1066</v>
      </c>
      <c r="B288" t="s">
        <v>25</v>
      </c>
      <c r="C288">
        <f>SUMIFS('Raw Data'!$N$2:$N$1680,'Raw Data'!$C$2:$C$1680,A288,'Raw Data'!$D$2:$D$1680,"INDIGO",'Raw Data'!$E$2:$E$1680,"6E*")</f>
        <v>5</v>
      </c>
    </row>
    <row r="289" spans="1:3" x14ac:dyDescent="0.25">
      <c r="A289" t="s">
        <v>1068</v>
      </c>
      <c r="B289" t="s">
        <v>52</v>
      </c>
      <c r="C289">
        <f>SUMIFS('Raw Data'!$N$2:$N$1680,'Raw Data'!$C$2:$C$1680,A289,'Raw Data'!$D$2:$D$1680,B289)</f>
        <v>0</v>
      </c>
    </row>
    <row r="290" spans="1:3" x14ac:dyDescent="0.25">
      <c r="A290" t="s">
        <v>1069</v>
      </c>
      <c r="B290" t="s">
        <v>25</v>
      </c>
      <c r="C290">
        <f>SUMIFS('Raw Data'!$N$2:$N$1680,'Raw Data'!$C$2:$C$1680,A290,'Raw Data'!$D$2:$D$1680,"INDIGO",'Raw Data'!$E$2:$E$1680,"6E*")</f>
        <v>14</v>
      </c>
    </row>
    <row r="291" spans="1:3" x14ac:dyDescent="0.25">
      <c r="A291" t="s">
        <v>1072</v>
      </c>
      <c r="B291" t="s">
        <v>25</v>
      </c>
      <c r="C291">
        <f>SUMIFS('Raw Data'!$N$2:$N$1680,'Raw Data'!$C$2:$C$1680,A291,'Raw Data'!$D$2:$D$1680,"INDIGO",'Raw Data'!$E$2:$E$1680,"6E*")</f>
        <v>42</v>
      </c>
    </row>
    <row r="292" spans="1:3" x14ac:dyDescent="0.25">
      <c r="A292" t="s">
        <v>1080</v>
      </c>
      <c r="B292" t="s">
        <v>2173</v>
      </c>
      <c r="C292">
        <f>SUMIFS('Raw Data'!$N$2:$N$1680,'Raw Data'!$C$2:$C$1680,A292,'Raw Data'!$D$2:$D$1680,"AIRINDIA",'Raw Data'!$E$2:$E$1680,"IX*")</f>
        <v>7</v>
      </c>
    </row>
    <row r="293" spans="1:3" x14ac:dyDescent="0.25">
      <c r="A293" t="s">
        <v>1083</v>
      </c>
      <c r="B293" t="s">
        <v>25</v>
      </c>
      <c r="C293">
        <f>SUMIFS('Raw Data'!$N$2:$N$1680,'Raw Data'!$C$2:$C$1680,A293,'Raw Data'!$D$2:$D$1680,"INDIGO",'Raw Data'!$E$2:$E$1680,"6E*")</f>
        <v>7</v>
      </c>
    </row>
    <row r="294" spans="1:3" x14ac:dyDescent="0.25">
      <c r="A294" t="s">
        <v>1086</v>
      </c>
      <c r="B294" t="s">
        <v>25</v>
      </c>
      <c r="C294">
        <f>SUMIFS('Raw Data'!$N$2:$N$1680,'Raw Data'!$C$2:$C$1680,A294,'Raw Data'!$D$2:$D$1680,"INDIGO",'Raw Data'!$E$2:$E$1680,"6E*")</f>
        <v>7</v>
      </c>
    </row>
    <row r="295" spans="1:3" x14ac:dyDescent="0.25">
      <c r="A295" t="s">
        <v>1086</v>
      </c>
      <c r="B295" t="s">
        <v>2173</v>
      </c>
      <c r="C295">
        <f>SUMIFS('Raw Data'!$N$2:$N$1680,'Raw Data'!$C$2:$C$1680,A295,'Raw Data'!$D$2:$D$1680,"AIRINDIA",'Raw Data'!$E$2:$E$1680,"IX*")</f>
        <v>7</v>
      </c>
    </row>
    <row r="296" spans="1:3" x14ac:dyDescent="0.25">
      <c r="A296" t="s">
        <v>1091</v>
      </c>
      <c r="B296" t="s">
        <v>25</v>
      </c>
      <c r="C296">
        <f>SUMIFS('Raw Data'!$N$2:$N$1680,'Raw Data'!$C$2:$C$1680,A296,'Raw Data'!$D$2:$D$1680,"INDIGO",'Raw Data'!$E$2:$E$1680,"6E*")</f>
        <v>6</v>
      </c>
    </row>
    <row r="297" spans="1:3" x14ac:dyDescent="0.25">
      <c r="A297" t="s">
        <v>1093</v>
      </c>
      <c r="B297" t="s">
        <v>25</v>
      </c>
      <c r="C297">
        <f>SUMIFS('Raw Data'!$N$2:$N$1680,'Raw Data'!$C$2:$C$1680,A297,'Raw Data'!$D$2:$D$1680,"INDIGO",'Raw Data'!$E$2:$E$1680,"6E*")</f>
        <v>7</v>
      </c>
    </row>
    <row r="298" spans="1:3" x14ac:dyDescent="0.25">
      <c r="A298" t="s">
        <v>1096</v>
      </c>
      <c r="B298" t="s">
        <v>25</v>
      </c>
      <c r="C298">
        <f>SUMIFS('Raw Data'!$N$2:$N$1680,'Raw Data'!$C$2:$C$1680,A298,'Raw Data'!$D$2:$D$1680,"INDIGO",'Raw Data'!$E$2:$E$1680,"6E*")</f>
        <v>16</v>
      </c>
    </row>
    <row r="299" spans="1:3" x14ac:dyDescent="0.25">
      <c r="A299" t="s">
        <v>1096</v>
      </c>
      <c r="B299" t="s">
        <v>2173</v>
      </c>
      <c r="C299">
        <f>SUMIFS('Raw Data'!$N$2:$N$1680,'Raw Data'!$C$2:$C$1680,A299,'Raw Data'!$D$2:$D$1680,"AIRINDIA",'Raw Data'!$E$2:$E$1680,"IX*")</f>
        <v>7</v>
      </c>
    </row>
    <row r="300" spans="1:3" x14ac:dyDescent="0.25">
      <c r="A300" t="s">
        <v>1102</v>
      </c>
      <c r="B300" t="s">
        <v>2173</v>
      </c>
      <c r="C300">
        <f>SUMIFS('Raw Data'!$N$2:$N$1680,'Raw Data'!$C$2:$C$1680,A300,'Raw Data'!$D$2:$D$1680,"AIRINDIA",'Raw Data'!$E$2:$E$1680,"IX*")</f>
        <v>5</v>
      </c>
    </row>
    <row r="301" spans="1:3" x14ac:dyDescent="0.25">
      <c r="A301" t="s">
        <v>1104</v>
      </c>
      <c r="B301" t="s">
        <v>52</v>
      </c>
      <c r="C301">
        <f>SUMIFS('Raw Data'!$N$2:$N$1680,'Raw Data'!$C$2:$C$1680,A301,'Raw Data'!$D$2:$D$1680,B301)</f>
        <v>0</v>
      </c>
    </row>
    <row r="302" spans="1:3" x14ac:dyDescent="0.25">
      <c r="A302" t="s">
        <v>1105</v>
      </c>
      <c r="B302" t="s">
        <v>52</v>
      </c>
      <c r="C302">
        <f>SUMIFS('Raw Data'!$N$2:$N$1680,'Raw Data'!$C$2:$C$1680,A302,'Raw Data'!$D$2:$D$1680,B302)</f>
        <v>0</v>
      </c>
    </row>
    <row r="303" spans="1:3" x14ac:dyDescent="0.25">
      <c r="A303" t="s">
        <v>1106</v>
      </c>
      <c r="B303" t="s">
        <v>25</v>
      </c>
      <c r="C303">
        <f>SUMIFS('Raw Data'!$N$2:$N$1680,'Raw Data'!$C$2:$C$1680,A303,'Raw Data'!$D$2:$D$1680,"INDIGO",'Raw Data'!$E$2:$E$1680,"6E*")</f>
        <v>7</v>
      </c>
    </row>
    <row r="304" spans="1:3" x14ac:dyDescent="0.25">
      <c r="A304" t="s">
        <v>1106</v>
      </c>
      <c r="B304" t="s">
        <v>2173</v>
      </c>
      <c r="C304">
        <f>SUMIFS('Raw Data'!$N$2:$N$1680,'Raw Data'!$C$2:$C$1680,A304,'Raw Data'!$D$2:$D$1680,"AIRINDIA",'Raw Data'!$E$2:$E$1680,"IX*")</f>
        <v>6</v>
      </c>
    </row>
    <row r="305" spans="1:3" x14ac:dyDescent="0.25">
      <c r="A305" t="s">
        <v>1110</v>
      </c>
      <c r="B305" t="s">
        <v>25</v>
      </c>
      <c r="C305">
        <f>SUMIFS('Raw Data'!$N$2:$N$1680,'Raw Data'!$C$2:$C$1680,A305,'Raw Data'!$D$2:$D$1680,"INDIGO",'Raw Data'!$E$2:$E$1680,"6E*")</f>
        <v>7</v>
      </c>
    </row>
    <row r="306" spans="1:3" x14ac:dyDescent="0.25">
      <c r="A306" t="s">
        <v>1110</v>
      </c>
      <c r="B306" t="s">
        <v>2173</v>
      </c>
      <c r="C306">
        <f>SUMIFS('Raw Data'!$N$2:$N$1680,'Raw Data'!$C$2:$C$1680,A306,'Raw Data'!$D$2:$D$1680,"AIRINDIA",'Raw Data'!$E$2:$E$1680,"IX*")</f>
        <v>6</v>
      </c>
    </row>
    <row r="307" spans="1:3" x14ac:dyDescent="0.25">
      <c r="A307" t="s">
        <v>1114</v>
      </c>
      <c r="B307" t="s">
        <v>25</v>
      </c>
      <c r="C307">
        <f>SUMIFS('Raw Data'!$N$2:$N$1680,'Raw Data'!$C$2:$C$1680,A307,'Raw Data'!$D$2:$D$1680,"INDIGO",'Raw Data'!$E$2:$E$1680,"6E*")</f>
        <v>20</v>
      </c>
    </row>
    <row r="308" spans="1:3" x14ac:dyDescent="0.25">
      <c r="A308" t="s">
        <v>1119</v>
      </c>
      <c r="B308" t="s">
        <v>25</v>
      </c>
      <c r="C308">
        <f>SUMIFS('Raw Data'!$N$2:$N$1680,'Raw Data'!$C$2:$C$1680,A308,'Raw Data'!$D$2:$D$1680,"INDIGO",'Raw Data'!$E$2:$E$1680,"6E*")</f>
        <v>10</v>
      </c>
    </row>
    <row r="309" spans="1:3" x14ac:dyDescent="0.25">
      <c r="A309" t="s">
        <v>1123</v>
      </c>
      <c r="B309" t="s">
        <v>25</v>
      </c>
      <c r="C309">
        <f>SUMIFS('Raw Data'!$N$2:$N$1680,'Raw Data'!$C$2:$C$1680,A309,'Raw Data'!$D$2:$D$1680,"INDIGO",'Raw Data'!$E$2:$E$1680,"6E*")</f>
        <v>7</v>
      </c>
    </row>
    <row r="310" spans="1:3" x14ac:dyDescent="0.25">
      <c r="A310" t="s">
        <v>1125</v>
      </c>
      <c r="B310" t="s">
        <v>25</v>
      </c>
      <c r="C310">
        <f>SUMIFS('Raw Data'!$N$2:$N$1680,'Raw Data'!$C$2:$C$1680,A310,'Raw Data'!$D$2:$D$1680,"INDIGO",'Raw Data'!$E$2:$E$1680,"6E*")</f>
        <v>3</v>
      </c>
    </row>
    <row r="311" spans="1:3" x14ac:dyDescent="0.25">
      <c r="A311" t="s">
        <v>1127</v>
      </c>
      <c r="B311" t="s">
        <v>25</v>
      </c>
      <c r="C311">
        <f>SUMIFS('Raw Data'!$N$2:$N$1680,'Raw Data'!$C$2:$C$1680,A311,'Raw Data'!$D$2:$D$1680,"INDIGO",'Raw Data'!$E$2:$E$1680,"6E*")</f>
        <v>7</v>
      </c>
    </row>
    <row r="312" spans="1:3" x14ac:dyDescent="0.25">
      <c r="A312" t="s">
        <v>1127</v>
      </c>
      <c r="B312" t="s">
        <v>2173</v>
      </c>
      <c r="C312">
        <f>SUMIFS('Raw Data'!$N$2:$N$1680,'Raw Data'!$C$2:$C$1680,A312,'Raw Data'!$D$2:$D$1680,"AIRINDIA",'Raw Data'!$E$2:$E$1680,"IX*")</f>
        <v>7</v>
      </c>
    </row>
    <row r="313" spans="1:3" x14ac:dyDescent="0.25">
      <c r="A313" t="s">
        <v>1132</v>
      </c>
      <c r="B313" t="s">
        <v>52</v>
      </c>
      <c r="C313">
        <f>SUMIFS('Raw Data'!$N$2:$N$1680,'Raw Data'!$C$2:$C$1680,A313,'Raw Data'!$D$2:$D$1680,B313)</f>
        <v>0</v>
      </c>
    </row>
    <row r="314" spans="1:3" x14ac:dyDescent="0.25">
      <c r="A314" t="s">
        <v>1133</v>
      </c>
      <c r="B314" t="s">
        <v>52</v>
      </c>
      <c r="C314">
        <f>SUMIFS('Raw Data'!$N$2:$N$1680,'Raw Data'!$C$2:$C$1680,A314,'Raw Data'!$D$2:$D$1680,B314)</f>
        <v>0</v>
      </c>
    </row>
    <row r="315" spans="1:3" x14ac:dyDescent="0.25">
      <c r="A315" t="s">
        <v>1134</v>
      </c>
      <c r="B315" t="s">
        <v>52</v>
      </c>
      <c r="C315">
        <f>SUMIFS('Raw Data'!$N$2:$N$1680,'Raw Data'!$C$2:$C$1680,A315,'Raw Data'!$D$2:$D$1680,B315)</f>
        <v>0</v>
      </c>
    </row>
    <row r="316" spans="1:3" x14ac:dyDescent="0.25">
      <c r="A316" t="s">
        <v>1135</v>
      </c>
      <c r="B316" t="s">
        <v>52</v>
      </c>
      <c r="C316">
        <f>SUMIFS('Raw Data'!$N$2:$N$1680,'Raw Data'!$C$2:$C$1680,A316,'Raw Data'!$D$2:$D$1680,B316)</f>
        <v>0</v>
      </c>
    </row>
    <row r="317" spans="1:3" x14ac:dyDescent="0.25">
      <c r="A317" t="s">
        <v>1136</v>
      </c>
      <c r="B317" t="s">
        <v>52</v>
      </c>
      <c r="C317">
        <f>SUMIFS('Raw Data'!$N$2:$N$1680,'Raw Data'!$C$2:$C$1680,A317,'Raw Data'!$D$2:$D$1680,B317)</f>
        <v>0</v>
      </c>
    </row>
    <row r="318" spans="1:3" x14ac:dyDescent="0.25">
      <c r="A318" t="s">
        <v>1137</v>
      </c>
      <c r="B318" t="s">
        <v>52</v>
      </c>
      <c r="C318">
        <f>SUMIFS('Raw Data'!$N$2:$N$1680,'Raw Data'!$C$2:$C$1680,A318,'Raw Data'!$D$2:$D$1680,B318)</f>
        <v>0</v>
      </c>
    </row>
    <row r="319" spans="1:3" x14ac:dyDescent="0.25">
      <c r="A319" t="s">
        <v>1138</v>
      </c>
      <c r="B319" t="s">
        <v>25</v>
      </c>
      <c r="C319">
        <f>SUMIFS('Raw Data'!$N$2:$N$1680,'Raw Data'!$C$2:$C$1680,A319,'Raw Data'!$D$2:$D$1680,"INDIGO",'Raw Data'!$E$2:$E$1680,"6E*")</f>
        <v>7</v>
      </c>
    </row>
    <row r="320" spans="1:3" x14ac:dyDescent="0.25">
      <c r="A320" t="s">
        <v>1141</v>
      </c>
      <c r="B320" t="s">
        <v>25</v>
      </c>
      <c r="C320">
        <f>SUMIFS('Raw Data'!$N$2:$N$1680,'Raw Data'!$C$2:$C$1680,A320,'Raw Data'!$D$2:$D$1680,"INDIGO",'Raw Data'!$E$2:$E$1680,"6E*")</f>
        <v>7</v>
      </c>
    </row>
    <row r="321" spans="1:3" x14ac:dyDescent="0.25">
      <c r="A321" t="s">
        <v>1143</v>
      </c>
      <c r="B321" t="s">
        <v>52</v>
      </c>
      <c r="C321">
        <f>SUMIFS('Raw Data'!$N$2:$N$1680,'Raw Data'!$C$2:$C$1680,A321,'Raw Data'!$D$2:$D$1680,B321)</f>
        <v>0</v>
      </c>
    </row>
    <row r="322" spans="1:3" x14ac:dyDescent="0.25">
      <c r="A322" t="s">
        <v>1144</v>
      </c>
      <c r="B322" t="s">
        <v>52</v>
      </c>
      <c r="C322">
        <f>SUMIFS('Raw Data'!$N$2:$N$1680,'Raw Data'!$C$2:$C$1680,A322,'Raw Data'!$D$2:$D$1680,B322)</f>
        <v>0</v>
      </c>
    </row>
    <row r="323" spans="1:3" x14ac:dyDescent="0.25">
      <c r="A323" t="s">
        <v>1145</v>
      </c>
      <c r="B323" t="s">
        <v>52</v>
      </c>
      <c r="C323">
        <f>SUMIFS('Raw Data'!$N$2:$N$1680,'Raw Data'!$C$2:$C$1680,A323,'Raw Data'!$D$2:$D$1680,B323)</f>
        <v>0</v>
      </c>
    </row>
    <row r="324" spans="1:3" x14ac:dyDescent="0.25">
      <c r="A324" t="s">
        <v>1146</v>
      </c>
      <c r="B324" t="s">
        <v>25</v>
      </c>
      <c r="C324">
        <f>SUMIFS('Raw Data'!$N$2:$N$1680,'Raw Data'!$C$2:$C$1680,A324,'Raw Data'!$D$2:$D$1680,"INDIGO",'Raw Data'!$E$2:$E$1680,"6E*")</f>
        <v>14</v>
      </c>
    </row>
    <row r="325" spans="1:3" x14ac:dyDescent="0.25">
      <c r="A325" t="s">
        <v>1146</v>
      </c>
      <c r="B325" t="s">
        <v>2173</v>
      </c>
      <c r="C325">
        <f>SUMIFS('Raw Data'!$N$2:$N$1680,'Raw Data'!$C$2:$C$1680,A325,'Raw Data'!$D$2:$D$1680,"AIRINDIA",'Raw Data'!$E$2:$E$1680,"IX*")</f>
        <v>21</v>
      </c>
    </row>
    <row r="326" spans="1:3" x14ac:dyDescent="0.25">
      <c r="A326" t="s">
        <v>1146</v>
      </c>
      <c r="B326" t="s">
        <v>27</v>
      </c>
      <c r="C326">
        <f>SUMIFS('Raw Data'!$N$2:$N$1680,'Raw Data'!$C$2:$C$1680,A326,'Raw Data'!$D$2:$D$1680,"AKASA",'Raw Data'!$E$2:$E$1680,"QP*")</f>
        <v>5</v>
      </c>
    </row>
    <row r="327" spans="1:3" x14ac:dyDescent="0.25">
      <c r="A327" t="s">
        <v>1155</v>
      </c>
      <c r="B327" t="s">
        <v>25</v>
      </c>
      <c r="C327">
        <f>SUMIFS('Raw Data'!$N$2:$N$1680,'Raw Data'!$C$2:$C$1680,A327,'Raw Data'!$D$2:$D$1680,"INDIGO",'Raw Data'!$E$2:$E$1680,"6E*")</f>
        <v>63</v>
      </c>
    </row>
    <row r="328" spans="1:3" x14ac:dyDescent="0.25">
      <c r="A328" t="s">
        <v>1155</v>
      </c>
      <c r="B328" t="s">
        <v>2175</v>
      </c>
      <c r="C328">
        <f>SUMIFS('Raw Data'!$N$2:$N$1680,'Raw Data'!$C$2:$C$1680,A328,'Raw Data'!$D$2:$D$1680,"AIRINDIA",'Raw Data'!$E$2:$E$1680,"AI*")</f>
        <v>21</v>
      </c>
    </row>
    <row r="329" spans="1:3" x14ac:dyDescent="0.25">
      <c r="A329" t="s">
        <v>1155</v>
      </c>
      <c r="B329" t="s">
        <v>27</v>
      </c>
      <c r="C329">
        <f>SUMIFS('Raw Data'!$N$2:$N$1680,'Raw Data'!$C$2:$C$1680,A329,'Raw Data'!$D$2:$D$1680,"AKASA",'Raw Data'!$E$2:$E$1680,"QP*")</f>
        <v>11</v>
      </c>
    </row>
    <row r="330" spans="1:3" x14ac:dyDescent="0.25">
      <c r="A330" t="s">
        <v>1155</v>
      </c>
      <c r="B330" t="s">
        <v>2173</v>
      </c>
      <c r="C330">
        <f>SUMIFS('Raw Data'!$N$2:$N$1680,'Raw Data'!$C$2:$C$1680,A330,'Raw Data'!$D$2:$D$1680,"AIRINDIA",'Raw Data'!$E$2:$E$1680,"IX*")</f>
        <v>2</v>
      </c>
    </row>
    <row r="331" spans="1:3" x14ac:dyDescent="0.25">
      <c r="A331" t="s">
        <v>1176</v>
      </c>
      <c r="B331" t="s">
        <v>25</v>
      </c>
      <c r="C331">
        <f>SUMIFS('Raw Data'!$N$2:$N$1680,'Raw Data'!$C$2:$C$1680,A331,'Raw Data'!$D$2:$D$1680,"INDIGO",'Raw Data'!$E$2:$E$1680,"6E*")</f>
        <v>28</v>
      </c>
    </row>
    <row r="332" spans="1:3" x14ac:dyDescent="0.25">
      <c r="A332" t="s">
        <v>1176</v>
      </c>
      <c r="B332" t="s">
        <v>27</v>
      </c>
      <c r="C332">
        <f>SUMIFS('Raw Data'!$N$2:$N$1680,'Raw Data'!$C$2:$C$1680,A332,'Raw Data'!$D$2:$D$1680,"AKASA",'Raw Data'!$E$2:$E$1680,"QP*")</f>
        <v>7</v>
      </c>
    </row>
    <row r="333" spans="1:3" x14ac:dyDescent="0.25">
      <c r="A333" t="s">
        <v>1176</v>
      </c>
      <c r="B333" t="s">
        <v>2175</v>
      </c>
      <c r="C333">
        <f>SUMIFS('Raw Data'!$N$2:$N$1680,'Raw Data'!$C$2:$C$1680,A333,'Raw Data'!$D$2:$D$1680,"AIRINDIA",'Raw Data'!$E$2:$E$1680,"AI*")</f>
        <v>0</v>
      </c>
    </row>
    <row r="334" spans="1:3" x14ac:dyDescent="0.25">
      <c r="A334" t="s">
        <v>1176</v>
      </c>
      <c r="B334" t="s">
        <v>2173</v>
      </c>
      <c r="C334">
        <f>SUMIFS('Raw Data'!$N$2:$N$1680,'Raw Data'!$C$2:$C$1680,A334,'Raw Data'!$D$2:$D$1680,"AIRINDIA",'Raw Data'!$E$2:$E$1680,"IX*")</f>
        <v>7</v>
      </c>
    </row>
    <row r="335" spans="1:3" x14ac:dyDescent="0.25">
      <c r="A335" t="s">
        <v>1183</v>
      </c>
      <c r="B335" t="s">
        <v>25</v>
      </c>
      <c r="C335">
        <f>SUMIFS('Raw Data'!$N$2:$N$1680,'Raw Data'!$C$2:$C$1680,A335,'Raw Data'!$D$2:$D$1680,"INDIGO",'Raw Data'!$E$2:$E$1680,"6E*")</f>
        <v>61</v>
      </c>
    </row>
    <row r="336" spans="1:3" x14ac:dyDescent="0.25">
      <c r="A336" t="s">
        <v>1183</v>
      </c>
      <c r="B336" t="s">
        <v>2175</v>
      </c>
      <c r="C336">
        <f>SUMIFS('Raw Data'!$N$2:$N$1680,'Raw Data'!$C$2:$C$1680,A336,'Raw Data'!$D$2:$D$1680,"AIRINDIA",'Raw Data'!$E$2:$E$1680,"AI*")</f>
        <v>60</v>
      </c>
    </row>
    <row r="337" spans="1:3" x14ac:dyDescent="0.25">
      <c r="A337" t="s">
        <v>1209</v>
      </c>
      <c r="B337" t="s">
        <v>25</v>
      </c>
      <c r="C337">
        <f>SUMIFS('Raw Data'!$N$2:$N$1680,'Raw Data'!$C$2:$C$1680,A337,'Raw Data'!$D$2:$D$1680,"INDIGO",'Raw Data'!$E$2:$E$1680,"6E*")</f>
        <v>21</v>
      </c>
    </row>
    <row r="338" spans="1:3" x14ac:dyDescent="0.25">
      <c r="A338" t="s">
        <v>1213</v>
      </c>
      <c r="B338" t="s">
        <v>25</v>
      </c>
      <c r="C338">
        <f>SUMIFS('Raw Data'!$N$2:$N$1680,'Raw Data'!$C$2:$C$1680,A338,'Raw Data'!$D$2:$D$1680,"INDIGO",'Raw Data'!$E$2:$E$1680,"6E*")</f>
        <v>27</v>
      </c>
    </row>
    <row r="339" spans="1:3" x14ac:dyDescent="0.25">
      <c r="A339" t="s">
        <v>1218</v>
      </c>
      <c r="B339" t="s">
        <v>25</v>
      </c>
      <c r="C339">
        <f>SUMIFS('Raw Data'!$N$2:$N$1680,'Raw Data'!$C$2:$C$1680,A339,'Raw Data'!$D$2:$D$1680,"INDIGO",'Raw Data'!$E$2:$E$1680,"6E*")</f>
        <v>23</v>
      </c>
    </row>
    <row r="340" spans="1:3" x14ac:dyDescent="0.25">
      <c r="A340" t="s">
        <v>1218</v>
      </c>
      <c r="B340" t="s">
        <v>27</v>
      </c>
      <c r="C340">
        <f>SUMIFS('Raw Data'!$N$2:$N$1680,'Raw Data'!$C$2:$C$1680,A340,'Raw Data'!$D$2:$D$1680,"AKASA",'Raw Data'!$E$2:$E$1680,"QP*")</f>
        <v>14</v>
      </c>
    </row>
    <row r="341" spans="1:3" x14ac:dyDescent="0.25">
      <c r="A341" t="s">
        <v>1226</v>
      </c>
      <c r="B341" t="s">
        <v>25</v>
      </c>
      <c r="C341">
        <f>SUMIFS('Raw Data'!$N$2:$N$1680,'Raw Data'!$C$2:$C$1680,A341,'Raw Data'!$D$2:$D$1680,"INDIGO",'Raw Data'!$E$2:$E$1680,"6E*")</f>
        <v>17</v>
      </c>
    </row>
    <row r="342" spans="1:3" x14ac:dyDescent="0.25">
      <c r="A342" t="s">
        <v>1226</v>
      </c>
      <c r="B342" t="s">
        <v>27</v>
      </c>
      <c r="C342">
        <f>SUMIFS('Raw Data'!$N$2:$N$1680,'Raw Data'!$C$2:$C$1680,A342,'Raw Data'!$D$2:$D$1680,"AKASA",'Raw Data'!$E$2:$E$1680,"QP*")</f>
        <v>1</v>
      </c>
    </row>
    <row r="343" spans="1:3" x14ac:dyDescent="0.25">
      <c r="A343" t="s">
        <v>1230</v>
      </c>
      <c r="B343" t="s">
        <v>25</v>
      </c>
      <c r="C343">
        <f>SUMIFS('Raw Data'!$N$2:$N$1680,'Raw Data'!$C$2:$C$1680,A343,'Raw Data'!$D$2:$D$1680,"INDIGO",'Raw Data'!$E$2:$E$1680,"6E*")</f>
        <v>61</v>
      </c>
    </row>
    <row r="344" spans="1:3" x14ac:dyDescent="0.25">
      <c r="A344" t="s">
        <v>1230</v>
      </c>
      <c r="B344" t="s">
        <v>2175</v>
      </c>
      <c r="C344">
        <f>SUMIFS('Raw Data'!$N$2:$N$1680,'Raw Data'!$C$2:$C$1680,A344,'Raw Data'!$D$2:$D$1680,"AIRINDIA",'Raw Data'!$E$2:$E$1680,"AI*")</f>
        <v>28</v>
      </c>
    </row>
    <row r="345" spans="1:3" x14ac:dyDescent="0.25">
      <c r="A345" t="s">
        <v>1230</v>
      </c>
      <c r="B345" t="s">
        <v>27</v>
      </c>
      <c r="C345">
        <f>SUMIFS('Raw Data'!$N$2:$N$1680,'Raw Data'!$C$2:$C$1680,A345,'Raw Data'!$D$2:$D$1680,"AKASA",'Raw Data'!$E$2:$E$1680,"QP*")</f>
        <v>7</v>
      </c>
    </row>
    <row r="346" spans="1:3" x14ac:dyDescent="0.25">
      <c r="A346" t="s">
        <v>1248</v>
      </c>
      <c r="B346" t="s">
        <v>25</v>
      </c>
      <c r="C346">
        <f>SUMIFS('Raw Data'!$N$2:$N$1680,'Raw Data'!$C$2:$C$1680,A346,'Raw Data'!$D$2:$D$1680,"INDIGO",'Raw Data'!$E$2:$E$1680,"6E*")</f>
        <v>95</v>
      </c>
    </row>
    <row r="347" spans="1:3" x14ac:dyDescent="0.25">
      <c r="A347" t="s">
        <v>1248</v>
      </c>
      <c r="B347" t="s">
        <v>2175</v>
      </c>
      <c r="C347">
        <f>SUMIFS('Raw Data'!$N$2:$N$1680,'Raw Data'!$C$2:$C$1680,A347,'Raw Data'!$D$2:$D$1680,"AIRINDIA",'Raw Data'!$E$2:$E$1680,"AI*")</f>
        <v>81</v>
      </c>
    </row>
    <row r="348" spans="1:3" x14ac:dyDescent="0.25">
      <c r="A348" t="s">
        <v>1248</v>
      </c>
      <c r="B348" t="s">
        <v>30</v>
      </c>
      <c r="C348">
        <f>SUMIFS('Raw Data'!$N$2:$N$1680,'Raw Data'!$C$2:$C$1680,A348,'Raw Data'!$D$2:$D$1680,"SPICEJET",'Raw Data'!$E$2:$E$1680,"SG*")</f>
        <v>13</v>
      </c>
    </row>
    <row r="349" spans="1:3" x14ac:dyDescent="0.25">
      <c r="A349" t="s">
        <v>1248</v>
      </c>
      <c r="B349" t="s">
        <v>27</v>
      </c>
      <c r="C349">
        <f>SUMIFS('Raw Data'!$N$2:$N$1680,'Raw Data'!$C$2:$C$1680,A349,'Raw Data'!$D$2:$D$1680,"AKASA",'Raw Data'!$E$2:$E$1680,"QP*")</f>
        <v>41</v>
      </c>
    </row>
    <row r="350" spans="1:3" x14ac:dyDescent="0.25">
      <c r="A350" t="s">
        <v>1293</v>
      </c>
      <c r="B350" t="s">
        <v>25</v>
      </c>
      <c r="C350">
        <f>SUMIFS('Raw Data'!$N$2:$N$1680,'Raw Data'!$C$2:$C$1680,A350,'Raw Data'!$D$2:$D$1680,"INDIGO",'Raw Data'!$E$2:$E$1680,"6E*")</f>
        <v>45</v>
      </c>
    </row>
    <row r="351" spans="1:3" x14ac:dyDescent="0.25">
      <c r="A351" t="s">
        <v>1293</v>
      </c>
      <c r="B351" t="s">
        <v>2175</v>
      </c>
      <c r="C351">
        <f>SUMIFS('Raw Data'!$N$2:$N$1680,'Raw Data'!$C$2:$C$1680,A351,'Raw Data'!$D$2:$D$1680,"AIRINDIA",'Raw Data'!$E$2:$E$1680,"AI*")</f>
        <v>21</v>
      </c>
    </row>
    <row r="352" spans="1:3" x14ac:dyDescent="0.25">
      <c r="A352" t="s">
        <v>1293</v>
      </c>
      <c r="B352" t="s">
        <v>27</v>
      </c>
      <c r="C352">
        <f>SUMIFS('Raw Data'!$N$2:$N$1680,'Raw Data'!$C$2:$C$1680,A352,'Raw Data'!$D$2:$D$1680,"AKASA",'Raw Data'!$E$2:$E$1680,"QP*")</f>
        <v>21</v>
      </c>
    </row>
    <row r="353" spans="1:3" x14ac:dyDescent="0.25">
      <c r="A353" t="s">
        <v>1308</v>
      </c>
      <c r="B353" t="s">
        <v>25</v>
      </c>
      <c r="C353">
        <f>SUMIFS('Raw Data'!$N$2:$N$1680,'Raw Data'!$C$2:$C$1680,A353,'Raw Data'!$D$2:$D$1680,"INDIGO",'Raw Data'!$E$2:$E$1680,"6E*")</f>
        <v>150</v>
      </c>
    </row>
    <row r="354" spans="1:3" x14ac:dyDescent="0.25">
      <c r="A354" t="s">
        <v>1308</v>
      </c>
      <c r="B354" t="s">
        <v>2175</v>
      </c>
      <c r="C354">
        <f>SUMIFS('Raw Data'!$N$2:$N$1680,'Raw Data'!$C$2:$C$1680,A354,'Raw Data'!$D$2:$D$1680,"AIRINDIA",'Raw Data'!$E$2:$E$1680,"AI*")</f>
        <v>164</v>
      </c>
    </row>
    <row r="355" spans="1:3" x14ac:dyDescent="0.25">
      <c r="A355" t="s">
        <v>1308</v>
      </c>
      <c r="B355" t="s">
        <v>30</v>
      </c>
      <c r="C355">
        <f>SUMIFS('Raw Data'!$N$2:$N$1680,'Raw Data'!$C$2:$C$1680,A355,'Raw Data'!$D$2:$D$1680,"SPICEJET",'Raw Data'!$E$2:$E$1680,"SG*")</f>
        <v>37</v>
      </c>
    </row>
    <row r="356" spans="1:3" x14ac:dyDescent="0.25">
      <c r="A356" t="s">
        <v>1308</v>
      </c>
      <c r="B356" t="s">
        <v>27</v>
      </c>
      <c r="C356">
        <f>SUMIFS('Raw Data'!$N$2:$N$1680,'Raw Data'!$C$2:$C$1680,A356,'Raw Data'!$D$2:$D$1680,"AKASA",'Raw Data'!$E$2:$E$1680,"QP*")</f>
        <v>57</v>
      </c>
    </row>
    <row r="357" spans="1:3" x14ac:dyDescent="0.25">
      <c r="A357" t="s">
        <v>1308</v>
      </c>
      <c r="B357" t="s">
        <v>2173</v>
      </c>
      <c r="C357">
        <f>SUMIFS('Raw Data'!$N$2:$N$1680,'Raw Data'!$C$2:$C$1680,A357,'Raw Data'!$D$2:$D$1680,"AIRINDIA",'Raw Data'!$E$2:$E$1680,"IX*")</f>
        <v>14</v>
      </c>
    </row>
    <row r="358" spans="1:3" x14ac:dyDescent="0.25">
      <c r="A358" t="s">
        <v>1391</v>
      </c>
      <c r="B358" t="s">
        <v>25</v>
      </c>
      <c r="C358">
        <f>SUMIFS('Raw Data'!$N$2:$N$1680,'Raw Data'!$C$2:$C$1680,A358,'Raw Data'!$D$2:$D$1680,"INDIGO",'Raw Data'!$E$2:$E$1680,"6E*")</f>
        <v>70</v>
      </c>
    </row>
    <row r="359" spans="1:3" x14ac:dyDescent="0.25">
      <c r="A359" t="s">
        <v>1391</v>
      </c>
      <c r="B359" t="s">
        <v>2175</v>
      </c>
      <c r="C359">
        <f>SUMIFS('Raw Data'!$N$2:$N$1680,'Raw Data'!$C$2:$C$1680,A359,'Raw Data'!$D$2:$D$1680,"AIRINDIA",'Raw Data'!$E$2:$E$1680,"AI*")</f>
        <v>48</v>
      </c>
    </row>
    <row r="360" spans="1:3" x14ac:dyDescent="0.25">
      <c r="A360" t="s">
        <v>1412</v>
      </c>
      <c r="B360" t="s">
        <v>25</v>
      </c>
      <c r="C360">
        <f>SUMIFS('Raw Data'!$N$2:$N$1680,'Raw Data'!$C$2:$C$1680,A360,'Raw Data'!$D$2:$D$1680,"INDIGO",'Raw Data'!$E$2:$E$1680,"6E*")</f>
        <v>70</v>
      </c>
    </row>
    <row r="361" spans="1:3" x14ac:dyDescent="0.25">
      <c r="A361" t="s">
        <v>1412</v>
      </c>
      <c r="B361" t="s">
        <v>2175</v>
      </c>
      <c r="C361">
        <f>SUMIFS('Raw Data'!$N$2:$N$1680,'Raw Data'!$C$2:$C$1680,A361,'Raw Data'!$D$2:$D$1680,"AIRINDIA",'Raw Data'!$E$2:$E$1680,"AI*")</f>
        <v>43</v>
      </c>
    </row>
    <row r="362" spans="1:3" x14ac:dyDescent="0.25">
      <c r="A362" t="s">
        <v>1412</v>
      </c>
      <c r="B362" t="s">
        <v>27</v>
      </c>
      <c r="C362">
        <f>SUMIFS('Raw Data'!$N$2:$N$1680,'Raw Data'!$C$2:$C$1680,A362,'Raw Data'!$D$2:$D$1680,"AKASA",'Raw Data'!$E$2:$E$1680,"QP*")</f>
        <v>4</v>
      </c>
    </row>
    <row r="363" spans="1:3" x14ac:dyDescent="0.25">
      <c r="A363" t="s">
        <v>1431</v>
      </c>
      <c r="B363" t="s">
        <v>25</v>
      </c>
      <c r="C363">
        <f>SUMIFS('Raw Data'!$N$2:$N$1680,'Raw Data'!$C$2:$C$1680,A363,'Raw Data'!$D$2:$D$1680,"INDIGO",'Raw Data'!$E$2:$E$1680,"6E*")</f>
        <v>28</v>
      </c>
    </row>
    <row r="364" spans="1:3" x14ac:dyDescent="0.25">
      <c r="A364" t="s">
        <v>1431</v>
      </c>
      <c r="B364" t="s">
        <v>27</v>
      </c>
      <c r="C364">
        <f>SUMIFS('Raw Data'!$N$2:$N$1680,'Raw Data'!$C$2:$C$1680,A364,'Raw Data'!$D$2:$D$1680,"AKASA",'Raw Data'!$E$2:$E$1680,"QP*")</f>
        <v>7</v>
      </c>
    </row>
    <row r="365" spans="1:3" x14ac:dyDescent="0.25">
      <c r="A365" t="s">
        <v>1431</v>
      </c>
      <c r="B365" t="s">
        <v>2175</v>
      </c>
      <c r="C365">
        <f>SUMIFS('Raw Data'!$N$2:$N$1680,'Raw Data'!$C$2:$C$1680,A365,'Raw Data'!$D$2:$D$1680,"AIRINDIA",'Raw Data'!$E$2:$E$1680,"AI*")</f>
        <v>0</v>
      </c>
    </row>
    <row r="366" spans="1:3" x14ac:dyDescent="0.25">
      <c r="A366" t="s">
        <v>1431</v>
      </c>
      <c r="B366" t="s">
        <v>2173</v>
      </c>
      <c r="C366">
        <f>SUMIFS('Raw Data'!$N$2:$N$1680,'Raw Data'!$C$2:$C$1680,A366,'Raw Data'!$D$2:$D$1680,"AIRINDIA",'Raw Data'!$E$2:$E$1680,"IX*")</f>
        <v>7</v>
      </c>
    </row>
    <row r="367" spans="1:3" x14ac:dyDescent="0.25">
      <c r="A367" t="s">
        <v>1438</v>
      </c>
      <c r="B367" t="s">
        <v>25</v>
      </c>
      <c r="C367">
        <f>SUMIFS('Raw Data'!$N$2:$N$1680,'Raw Data'!$C$2:$C$1680,A367,'Raw Data'!$D$2:$D$1680,"INDIGO",'Raw Data'!$E$2:$E$1680,"6E*")</f>
        <v>96</v>
      </c>
    </row>
    <row r="368" spans="1:3" x14ac:dyDescent="0.25">
      <c r="A368" t="s">
        <v>1438</v>
      </c>
      <c r="B368" t="s">
        <v>2175</v>
      </c>
      <c r="C368">
        <f>SUMIFS('Raw Data'!$N$2:$N$1680,'Raw Data'!$C$2:$C$1680,A368,'Raw Data'!$D$2:$D$1680,"AIRINDIA",'Raw Data'!$E$2:$E$1680,"AI*")</f>
        <v>70</v>
      </c>
    </row>
    <row r="369" spans="1:3" x14ac:dyDescent="0.25">
      <c r="A369" t="s">
        <v>1438</v>
      </c>
      <c r="B369" t="s">
        <v>30</v>
      </c>
      <c r="C369">
        <f>SUMIFS('Raw Data'!$N$2:$N$1680,'Raw Data'!$C$2:$C$1680,A369,'Raw Data'!$D$2:$D$1680,"SPICEJET",'Raw Data'!$E$2:$E$1680,"SG*")</f>
        <v>12</v>
      </c>
    </row>
    <row r="370" spans="1:3" x14ac:dyDescent="0.25">
      <c r="A370" t="s">
        <v>1438</v>
      </c>
      <c r="B370" t="s">
        <v>27</v>
      </c>
      <c r="C370">
        <f>SUMIFS('Raw Data'!$N$2:$N$1680,'Raw Data'!$C$2:$C$1680,A370,'Raw Data'!$D$2:$D$1680,"AKASA",'Raw Data'!$E$2:$E$1680,"QP*")</f>
        <v>41</v>
      </c>
    </row>
    <row r="371" spans="1:3" x14ac:dyDescent="0.25">
      <c r="A371" t="s">
        <v>1477</v>
      </c>
      <c r="B371" t="s">
        <v>25</v>
      </c>
      <c r="C371">
        <f>SUMIFS('Raw Data'!$N$2:$N$1680,'Raw Data'!$C$2:$C$1680,A371,'Raw Data'!$D$2:$D$1680,"INDIGO",'Raw Data'!$E$2:$E$1680,"6E*")</f>
        <v>58</v>
      </c>
    </row>
    <row r="372" spans="1:3" x14ac:dyDescent="0.25">
      <c r="A372" t="s">
        <v>1477</v>
      </c>
      <c r="B372" t="s">
        <v>27</v>
      </c>
      <c r="C372">
        <f>SUMIFS('Raw Data'!$N$2:$N$1680,'Raw Data'!$C$2:$C$1680,A372,'Raw Data'!$D$2:$D$1680,"AKASA",'Raw Data'!$E$2:$E$1680,"QP*")</f>
        <v>6</v>
      </c>
    </row>
    <row r="373" spans="1:3" x14ac:dyDescent="0.25">
      <c r="A373" t="s">
        <v>1477</v>
      </c>
      <c r="B373" t="s">
        <v>2175</v>
      </c>
      <c r="C373">
        <f>SUMIFS('Raw Data'!$N$2:$N$1680,'Raw Data'!$C$2:$C$1680,A373,'Raw Data'!$D$2:$D$1680,"AIRINDIA",'Raw Data'!$E$2:$E$1680,"AI*")</f>
        <v>0</v>
      </c>
    </row>
    <row r="374" spans="1:3" x14ac:dyDescent="0.25">
      <c r="A374" t="s">
        <v>1477</v>
      </c>
      <c r="B374" t="s">
        <v>2173</v>
      </c>
      <c r="C374">
        <f>SUMIFS('Raw Data'!$N$2:$N$1680,'Raw Data'!$C$2:$C$1680,A374,'Raw Data'!$D$2:$D$1680,"AIRINDIA",'Raw Data'!$E$2:$E$1680,"IX*")</f>
        <v>21</v>
      </c>
    </row>
    <row r="375" spans="1:3" x14ac:dyDescent="0.25">
      <c r="A375" t="s">
        <v>1491</v>
      </c>
      <c r="B375" t="s">
        <v>25</v>
      </c>
      <c r="C375">
        <f>SUMIFS('Raw Data'!$N$2:$N$1680,'Raw Data'!$C$2:$C$1680,A375,'Raw Data'!$D$2:$D$1680,"INDIGO",'Raw Data'!$E$2:$E$1680,"6E*")</f>
        <v>110</v>
      </c>
    </row>
    <row r="376" spans="1:3" x14ac:dyDescent="0.25">
      <c r="A376" t="s">
        <v>1491</v>
      </c>
      <c r="B376" t="s">
        <v>2175</v>
      </c>
      <c r="C376">
        <f>SUMIFS('Raw Data'!$N$2:$N$1680,'Raw Data'!$C$2:$C$1680,A376,'Raw Data'!$D$2:$D$1680,"AIRINDIA",'Raw Data'!$E$2:$E$1680,"AI*")</f>
        <v>123</v>
      </c>
    </row>
    <row r="377" spans="1:3" x14ac:dyDescent="0.25">
      <c r="A377" t="s">
        <v>1491</v>
      </c>
      <c r="B377" t="s">
        <v>27</v>
      </c>
      <c r="C377">
        <f>SUMIFS('Raw Data'!$N$2:$N$1680,'Raw Data'!$C$2:$C$1680,A377,'Raw Data'!$D$2:$D$1680,"AKASA",'Raw Data'!$E$2:$E$1680,"QP*")</f>
        <v>36</v>
      </c>
    </row>
    <row r="378" spans="1:3" x14ac:dyDescent="0.25">
      <c r="A378" t="s">
        <v>1491</v>
      </c>
      <c r="B378" t="s">
        <v>2173</v>
      </c>
      <c r="C378">
        <f>SUMIFS('Raw Data'!$N$2:$N$1680,'Raw Data'!$C$2:$C$1680,A378,'Raw Data'!$D$2:$D$1680,"AIRINDIA",'Raw Data'!$E$2:$E$1680,"IX*")</f>
        <v>14</v>
      </c>
    </row>
    <row r="379" spans="1:3" x14ac:dyDescent="0.25">
      <c r="A379" t="s">
        <v>1539</v>
      </c>
      <c r="B379" t="s">
        <v>25</v>
      </c>
      <c r="C379">
        <f>SUMIFS('Raw Data'!$N$2:$N$1680,'Raw Data'!$C$2:$C$1680,A379,'Raw Data'!$D$2:$D$1680,"INDIGO",'Raw Data'!$E$2:$E$1680,"6E*")</f>
        <v>64</v>
      </c>
    </row>
    <row r="380" spans="1:3" x14ac:dyDescent="0.25">
      <c r="A380" t="s">
        <v>1539</v>
      </c>
      <c r="B380" t="s">
        <v>2175</v>
      </c>
      <c r="C380">
        <f>SUMIFS('Raw Data'!$N$2:$N$1680,'Raw Data'!$C$2:$C$1680,A380,'Raw Data'!$D$2:$D$1680,"AIRINDIA",'Raw Data'!$E$2:$E$1680,"AI*")</f>
        <v>0</v>
      </c>
    </row>
    <row r="381" spans="1:3" x14ac:dyDescent="0.25">
      <c r="A381" t="s">
        <v>1539</v>
      </c>
      <c r="B381" t="s">
        <v>2173</v>
      </c>
      <c r="C381">
        <f>SUMIFS('Raw Data'!$N$2:$N$1680,'Raw Data'!$C$2:$C$1680,A381,'Raw Data'!$D$2:$D$1680,"AIRINDIA",'Raw Data'!$E$2:$E$1680,"IX*")</f>
        <v>42</v>
      </c>
    </row>
    <row r="382" spans="1:3" x14ac:dyDescent="0.25">
      <c r="A382" t="s">
        <v>1556</v>
      </c>
      <c r="B382" t="s">
        <v>25</v>
      </c>
      <c r="C382">
        <f>SUMIFS('Raw Data'!$N$2:$N$1680,'Raw Data'!$C$2:$C$1680,A382,'Raw Data'!$D$2:$D$1680,"INDIGO",'Raw Data'!$E$2:$E$1680,"6E*")</f>
        <v>54</v>
      </c>
    </row>
    <row r="383" spans="1:3" x14ac:dyDescent="0.25">
      <c r="A383" t="s">
        <v>1556</v>
      </c>
      <c r="B383" t="s">
        <v>2175</v>
      </c>
      <c r="C383">
        <f>SUMIFS('Raw Data'!$N$2:$N$1680,'Raw Data'!$C$2:$C$1680,A383,'Raw Data'!$D$2:$D$1680,"AIRINDIA",'Raw Data'!$E$2:$E$1680,"AI*")</f>
        <v>0</v>
      </c>
    </row>
    <row r="384" spans="1:3" x14ac:dyDescent="0.25">
      <c r="A384" t="s">
        <v>1556</v>
      </c>
      <c r="B384" t="s">
        <v>2173</v>
      </c>
      <c r="C384">
        <f>SUMIFS('Raw Data'!$N$2:$N$1680,'Raw Data'!$C$2:$C$1680,A384,'Raw Data'!$D$2:$D$1680,"AIRINDIA",'Raw Data'!$E$2:$E$1680,"IX*")</f>
        <v>35</v>
      </c>
    </row>
    <row r="385" spans="1:3" x14ac:dyDescent="0.25">
      <c r="A385" t="s">
        <v>1572</v>
      </c>
      <c r="B385" t="s">
        <v>25</v>
      </c>
      <c r="C385">
        <f>SUMIFS('Raw Data'!$N$2:$N$1680,'Raw Data'!$C$2:$C$1680,A385,'Raw Data'!$D$2:$D$1680,"INDIGO",'Raw Data'!$E$2:$E$1680,"6E*")</f>
        <v>62</v>
      </c>
    </row>
    <row r="386" spans="1:3" x14ac:dyDescent="0.25">
      <c r="A386" t="s">
        <v>1572</v>
      </c>
      <c r="B386" t="s">
        <v>27</v>
      </c>
      <c r="C386">
        <f>SUMIFS('Raw Data'!$N$2:$N$1680,'Raw Data'!$C$2:$C$1680,A386,'Raw Data'!$D$2:$D$1680,"AKASA",'Raw Data'!$E$2:$E$1680,"QP*")</f>
        <v>35</v>
      </c>
    </row>
    <row r="387" spans="1:3" x14ac:dyDescent="0.25">
      <c r="A387" t="s">
        <v>1572</v>
      </c>
      <c r="B387" t="s">
        <v>2175</v>
      </c>
      <c r="C387">
        <f>SUMIFS('Raw Data'!$N$2:$N$1680,'Raw Data'!$C$2:$C$1680,A387,'Raw Data'!$D$2:$D$1680,"AIRINDIA",'Raw Data'!$E$2:$E$1680,"AI*")</f>
        <v>0</v>
      </c>
    </row>
    <row r="388" spans="1:3" x14ac:dyDescent="0.25">
      <c r="A388" t="s">
        <v>1572</v>
      </c>
      <c r="B388" t="s">
        <v>2173</v>
      </c>
      <c r="C388">
        <f>SUMIFS('Raw Data'!$N$2:$N$1680,'Raw Data'!$C$2:$C$1680,A388,'Raw Data'!$D$2:$D$1680,"AIRINDIA",'Raw Data'!$E$2:$E$1680,"IX*")</f>
        <v>27</v>
      </c>
    </row>
    <row r="389" spans="1:3" x14ac:dyDescent="0.25">
      <c r="A389" t="s">
        <v>1596</v>
      </c>
      <c r="B389" t="s">
        <v>25</v>
      </c>
      <c r="C389">
        <f>SUMIFS('Raw Data'!$N$2:$N$1680,'Raw Data'!$C$2:$C$1680,A389,'Raw Data'!$D$2:$D$1680,"INDIGO",'Raw Data'!$E$2:$E$1680,"6E*")</f>
        <v>21</v>
      </c>
    </row>
    <row r="390" spans="1:3" x14ac:dyDescent="0.25">
      <c r="A390" t="s">
        <v>1600</v>
      </c>
      <c r="B390" t="s">
        <v>25</v>
      </c>
      <c r="C390">
        <f>SUMIFS('Raw Data'!$N$2:$N$1680,'Raw Data'!$C$2:$C$1680,A390,'Raw Data'!$D$2:$D$1680,"INDIGO",'Raw Data'!$E$2:$E$1680,"6E*")</f>
        <v>57</v>
      </c>
    </row>
    <row r="391" spans="1:3" x14ac:dyDescent="0.25">
      <c r="A391" t="s">
        <v>1600</v>
      </c>
      <c r="B391" t="s">
        <v>27</v>
      </c>
      <c r="C391">
        <f>SUMIFS('Raw Data'!$N$2:$N$1680,'Raw Data'!$C$2:$C$1680,A391,'Raw Data'!$D$2:$D$1680,"AKASA",'Raw Data'!$E$2:$E$1680,"QP*")</f>
        <v>7</v>
      </c>
    </row>
    <row r="392" spans="1:3" x14ac:dyDescent="0.25">
      <c r="A392" t="s">
        <v>1600</v>
      </c>
      <c r="B392" t="s">
        <v>2175</v>
      </c>
      <c r="C392">
        <f>SUMIFS('Raw Data'!$N$2:$N$1680,'Raw Data'!$C$2:$C$1680,A392,'Raw Data'!$D$2:$D$1680,"AIRINDIA",'Raw Data'!$E$2:$E$1680,"AI*")</f>
        <v>0</v>
      </c>
    </row>
    <row r="393" spans="1:3" x14ac:dyDescent="0.25">
      <c r="A393" t="s">
        <v>1600</v>
      </c>
      <c r="B393" t="s">
        <v>2173</v>
      </c>
      <c r="C393">
        <f>SUMIFS('Raw Data'!$N$2:$N$1680,'Raw Data'!$C$2:$C$1680,A393,'Raw Data'!$D$2:$D$1680,"AIRINDIA",'Raw Data'!$E$2:$E$1680,"IX*")</f>
        <v>21</v>
      </c>
    </row>
    <row r="394" spans="1:3" x14ac:dyDescent="0.25">
      <c r="A394" t="s">
        <v>1614</v>
      </c>
      <c r="B394" t="s">
        <v>25</v>
      </c>
      <c r="C394">
        <f>SUMIFS('Raw Data'!$N$2:$N$1680,'Raw Data'!$C$2:$C$1680,A394,'Raw Data'!$D$2:$D$1680,"INDIGO",'Raw Data'!$E$2:$E$1680,"6E*")</f>
        <v>75</v>
      </c>
    </row>
    <row r="395" spans="1:3" x14ac:dyDescent="0.25">
      <c r="A395" t="s">
        <v>1614</v>
      </c>
      <c r="B395" t="s">
        <v>2175</v>
      </c>
      <c r="C395">
        <f>SUMIFS('Raw Data'!$N$2:$N$1680,'Raw Data'!$C$2:$C$1680,A395,'Raw Data'!$D$2:$D$1680,"AIRINDIA",'Raw Data'!$E$2:$E$1680,"AI*")</f>
        <v>71</v>
      </c>
    </row>
    <row r="396" spans="1:3" x14ac:dyDescent="0.25">
      <c r="A396" t="s">
        <v>1614</v>
      </c>
      <c r="B396" t="s">
        <v>30</v>
      </c>
      <c r="C396">
        <f>SUMIFS('Raw Data'!$N$2:$N$1680,'Raw Data'!$C$2:$C$1680,A396,'Raw Data'!$D$2:$D$1680,"SPICEJET",'Raw Data'!$E$2:$E$1680,"SG*")</f>
        <v>7</v>
      </c>
    </row>
    <row r="397" spans="1:3" x14ac:dyDescent="0.25">
      <c r="A397" t="s">
        <v>1614</v>
      </c>
      <c r="B397" t="s">
        <v>27</v>
      </c>
      <c r="C397">
        <f>SUMIFS('Raw Data'!$N$2:$N$1680,'Raw Data'!$C$2:$C$1680,A397,'Raw Data'!$D$2:$D$1680,"AKASA",'Raw Data'!$E$2:$E$1680,"QP*")</f>
        <v>14</v>
      </c>
    </row>
    <row r="398" spans="1:3" x14ac:dyDescent="0.25">
      <c r="A398" t="s">
        <v>1641</v>
      </c>
      <c r="B398" t="s">
        <v>25</v>
      </c>
      <c r="C398">
        <f>SUMIFS('Raw Data'!$N$2:$N$1680,'Raw Data'!$C$2:$C$1680,A398,'Raw Data'!$D$2:$D$1680,"INDIGO",'Raw Data'!$E$2:$E$1680,"6E*")</f>
        <v>39</v>
      </c>
    </row>
    <row r="399" spans="1:3" x14ac:dyDescent="0.25">
      <c r="A399" t="s">
        <v>1648</v>
      </c>
      <c r="B399" t="s">
        <v>25</v>
      </c>
      <c r="C399">
        <f>SUMIFS('Raw Data'!$N$2:$N$1680,'Raw Data'!$C$2:$C$1680,A399,'Raw Data'!$D$2:$D$1680,"INDIGO",'Raw Data'!$E$2:$E$1680,"6E*")</f>
        <v>21</v>
      </c>
    </row>
    <row r="400" spans="1:3" x14ac:dyDescent="0.25">
      <c r="A400" t="s">
        <v>1648</v>
      </c>
      <c r="B400" t="s">
        <v>27</v>
      </c>
      <c r="C400">
        <f>SUMIFS('Raw Data'!$N$2:$N$1680,'Raw Data'!$C$2:$C$1680,A400,'Raw Data'!$D$2:$D$1680,"AKASA",'Raw Data'!$E$2:$E$1680,"QP*")</f>
        <v>6</v>
      </c>
    </row>
    <row r="401" spans="1:3" x14ac:dyDescent="0.25">
      <c r="A401" t="s">
        <v>1655</v>
      </c>
      <c r="B401" t="s">
        <v>25</v>
      </c>
      <c r="C401">
        <f>SUMIFS('Raw Data'!$N$2:$N$1680,'Raw Data'!$C$2:$C$1680,A401,'Raw Data'!$D$2:$D$1680,"INDIGO",'Raw Data'!$E$2:$E$1680,"6E*")</f>
        <v>35</v>
      </c>
    </row>
    <row r="402" spans="1:3" x14ac:dyDescent="0.25">
      <c r="A402" t="s">
        <v>1655</v>
      </c>
      <c r="B402" t="s">
        <v>2175</v>
      </c>
      <c r="C402">
        <f>SUMIFS('Raw Data'!$N$2:$N$1680,'Raw Data'!$C$2:$C$1680,A402,'Raw Data'!$D$2:$D$1680,"AIRINDIA",'Raw Data'!$E$2:$E$1680,"AI*")</f>
        <v>0</v>
      </c>
    </row>
    <row r="403" spans="1:3" x14ac:dyDescent="0.25">
      <c r="A403" t="s">
        <v>1655</v>
      </c>
      <c r="B403" t="s">
        <v>2173</v>
      </c>
      <c r="C403">
        <f>SUMIFS('Raw Data'!$N$2:$N$1680,'Raw Data'!$C$2:$C$1680,A403,'Raw Data'!$D$2:$D$1680,"AIRINDIA",'Raw Data'!$E$2:$E$1680,"IX*")</f>
        <v>14</v>
      </c>
    </row>
    <row r="404" spans="1:3" x14ac:dyDescent="0.25">
      <c r="A404" t="s">
        <v>1663</v>
      </c>
      <c r="B404" t="s">
        <v>25</v>
      </c>
      <c r="C404">
        <f>SUMIFS('Raw Data'!$N$2:$N$1680,'Raw Data'!$C$2:$C$1680,A404,'Raw Data'!$D$2:$D$1680,"INDIGO",'Raw Data'!$E$2:$E$1680,"6E*")</f>
        <v>45</v>
      </c>
    </row>
    <row r="405" spans="1:3" x14ac:dyDescent="0.25">
      <c r="A405" t="s">
        <v>1663</v>
      </c>
      <c r="B405" t="s">
        <v>2175</v>
      </c>
      <c r="C405">
        <f>SUMIFS('Raw Data'!$N$2:$N$1680,'Raw Data'!$C$2:$C$1680,A405,'Raw Data'!$D$2:$D$1680,"AIRINDIA",'Raw Data'!$E$2:$E$1680,"AI*")</f>
        <v>29</v>
      </c>
    </row>
    <row r="406" spans="1:3" x14ac:dyDescent="0.25">
      <c r="A406" t="s">
        <v>1663</v>
      </c>
      <c r="B406" t="s">
        <v>27</v>
      </c>
      <c r="C406">
        <f>SUMIFS('Raw Data'!$N$2:$N$1680,'Raw Data'!$C$2:$C$1680,A406,'Raw Data'!$D$2:$D$1680,"AKASA",'Raw Data'!$E$2:$E$1680,"QP*")</f>
        <v>21</v>
      </c>
    </row>
    <row r="407" spans="1:3" x14ac:dyDescent="0.25">
      <c r="A407" t="s">
        <v>1679</v>
      </c>
      <c r="B407" t="s">
        <v>25</v>
      </c>
      <c r="C407">
        <f>SUMIFS('Raw Data'!$N$2:$N$1680,'Raw Data'!$C$2:$C$1680,A407,'Raw Data'!$D$2:$D$1680,"INDIGO",'Raw Data'!$E$2:$E$1680,"6E*")</f>
        <v>61</v>
      </c>
    </row>
    <row r="408" spans="1:3" x14ac:dyDescent="0.25">
      <c r="A408" t="s">
        <v>1679</v>
      </c>
      <c r="B408" t="s">
        <v>2175</v>
      </c>
      <c r="C408">
        <f>SUMIFS('Raw Data'!$N$2:$N$1680,'Raw Data'!$C$2:$C$1680,A408,'Raw Data'!$D$2:$D$1680,"AIRINDIA",'Raw Data'!$E$2:$E$1680,"AI*")</f>
        <v>46</v>
      </c>
    </row>
    <row r="409" spans="1:3" x14ac:dyDescent="0.25">
      <c r="A409" t="s">
        <v>1697</v>
      </c>
      <c r="B409" t="s">
        <v>25</v>
      </c>
      <c r="C409">
        <f>SUMIFS('Raw Data'!$N$2:$N$1680,'Raw Data'!$C$2:$C$1680,A409,'Raw Data'!$D$2:$D$1680,"INDIGO",'Raw Data'!$E$2:$E$1680,"6E*")</f>
        <v>150</v>
      </c>
    </row>
    <row r="410" spans="1:3" x14ac:dyDescent="0.25">
      <c r="A410" t="s">
        <v>1697</v>
      </c>
      <c r="B410" t="s">
        <v>2175</v>
      </c>
      <c r="C410">
        <f>SUMIFS('Raw Data'!$N$2:$N$1680,'Raw Data'!$C$2:$C$1680,A410,'Raw Data'!$D$2:$D$1680,"AIRINDIA",'Raw Data'!$E$2:$E$1680,"AI*")</f>
        <v>189</v>
      </c>
    </row>
    <row r="411" spans="1:3" x14ac:dyDescent="0.25">
      <c r="A411" t="s">
        <v>1697</v>
      </c>
      <c r="B411" t="s">
        <v>30</v>
      </c>
      <c r="C411">
        <f>SUMIFS('Raw Data'!$N$2:$N$1680,'Raw Data'!$C$2:$C$1680,A411,'Raw Data'!$D$2:$D$1680,"SPICEJET",'Raw Data'!$E$2:$E$1680,"SG*")</f>
        <v>33</v>
      </c>
    </row>
    <row r="412" spans="1:3" x14ac:dyDescent="0.25">
      <c r="A412" t="s">
        <v>1697</v>
      </c>
      <c r="B412" t="s">
        <v>27</v>
      </c>
      <c r="C412">
        <f>SUMIFS('Raw Data'!$N$2:$N$1680,'Raw Data'!$C$2:$C$1680,A412,'Raw Data'!$D$2:$D$1680,"AKASA",'Raw Data'!$E$2:$E$1680,"QP*")</f>
        <v>57</v>
      </c>
    </row>
    <row r="413" spans="1:3" x14ac:dyDescent="0.25">
      <c r="A413" t="s">
        <v>1697</v>
      </c>
      <c r="B413" t="s">
        <v>2173</v>
      </c>
      <c r="C413">
        <f>SUMIFS('Raw Data'!$N$2:$N$1680,'Raw Data'!$C$2:$C$1680,A413,'Raw Data'!$D$2:$D$1680,"AIRINDIA",'Raw Data'!$E$2:$E$1680,"IX*")</f>
        <v>14</v>
      </c>
    </row>
    <row r="414" spans="1:3" x14ac:dyDescent="0.25">
      <c r="A414" t="s">
        <v>1765</v>
      </c>
      <c r="B414" t="s">
        <v>25</v>
      </c>
      <c r="C414">
        <f>SUMIFS('Raw Data'!$N$2:$N$1680,'Raw Data'!$C$2:$C$1680,A414,'Raw Data'!$D$2:$D$1680,"INDIGO",'Raw Data'!$E$2:$E$1680,"6E*")</f>
        <v>109</v>
      </c>
    </row>
    <row r="415" spans="1:3" x14ac:dyDescent="0.25">
      <c r="A415" t="s">
        <v>1765</v>
      </c>
      <c r="B415" t="s">
        <v>2175</v>
      </c>
      <c r="C415">
        <f>SUMIFS('Raw Data'!$N$2:$N$1680,'Raw Data'!$C$2:$C$1680,A415,'Raw Data'!$D$2:$D$1680,"AIRINDIA",'Raw Data'!$E$2:$E$1680,"AI*")</f>
        <v>117</v>
      </c>
    </row>
    <row r="416" spans="1:3" x14ac:dyDescent="0.25">
      <c r="A416" t="s">
        <v>1765</v>
      </c>
      <c r="B416" t="s">
        <v>27</v>
      </c>
      <c r="C416">
        <f>SUMIFS('Raw Data'!$N$2:$N$1680,'Raw Data'!$C$2:$C$1680,A416,'Raw Data'!$D$2:$D$1680,"AKASA",'Raw Data'!$E$2:$E$1680,"QP*")</f>
        <v>36</v>
      </c>
    </row>
    <row r="417" spans="1:3" x14ac:dyDescent="0.25">
      <c r="A417" t="s">
        <v>1765</v>
      </c>
      <c r="B417" t="s">
        <v>2173</v>
      </c>
      <c r="C417">
        <f>SUMIFS('Raw Data'!$N$2:$N$1680,'Raw Data'!$C$2:$C$1680,A417,'Raw Data'!$D$2:$D$1680,"AIRINDIA",'Raw Data'!$E$2:$E$1680,"IX*")</f>
        <v>15</v>
      </c>
    </row>
    <row r="418" spans="1:3" x14ac:dyDescent="0.25">
      <c r="A418" t="s">
        <v>1810</v>
      </c>
      <c r="B418" t="s">
        <v>25</v>
      </c>
      <c r="C418">
        <f>SUMIFS('Raw Data'!$N$2:$N$1680,'Raw Data'!$C$2:$C$1680,A418,'Raw Data'!$D$2:$D$1680,"INDIGO",'Raw Data'!$E$2:$E$1680,"6E*")</f>
        <v>75</v>
      </c>
    </row>
    <row r="419" spans="1:3" x14ac:dyDescent="0.25">
      <c r="A419" t="s">
        <v>1810</v>
      </c>
      <c r="B419" t="s">
        <v>2175</v>
      </c>
      <c r="C419">
        <f>SUMIFS('Raw Data'!$N$2:$N$1680,'Raw Data'!$C$2:$C$1680,A419,'Raw Data'!$D$2:$D$1680,"AIRINDIA",'Raw Data'!$E$2:$E$1680,"AI*")</f>
        <v>73</v>
      </c>
    </row>
    <row r="420" spans="1:3" x14ac:dyDescent="0.25">
      <c r="A420" t="s">
        <v>1810</v>
      </c>
      <c r="B420" t="s">
        <v>30</v>
      </c>
      <c r="C420">
        <f>SUMIFS('Raw Data'!$N$2:$N$1680,'Raw Data'!$C$2:$C$1680,A420,'Raw Data'!$D$2:$D$1680,"SPICEJET",'Raw Data'!$E$2:$E$1680,"SG*")</f>
        <v>7</v>
      </c>
    </row>
    <row r="421" spans="1:3" x14ac:dyDescent="0.25">
      <c r="A421" t="s">
        <v>1810</v>
      </c>
      <c r="B421" t="s">
        <v>27</v>
      </c>
      <c r="C421">
        <f>SUMIFS('Raw Data'!$N$2:$N$1680,'Raw Data'!$C$2:$C$1680,A421,'Raw Data'!$D$2:$D$1680,"AKASA",'Raw Data'!$E$2:$E$1680,"QP*")</f>
        <v>14</v>
      </c>
    </row>
    <row r="422" spans="1:3" x14ac:dyDescent="0.25">
      <c r="A422" t="s">
        <v>1842</v>
      </c>
      <c r="B422" t="s">
        <v>25</v>
      </c>
      <c r="C422">
        <f>SUMIFS('Raw Data'!$N$2:$N$1680,'Raw Data'!$C$2:$C$1680,A422,'Raw Data'!$D$2:$D$1680,"INDIGO",'Raw Data'!$E$2:$E$1680,"6E*")</f>
        <v>79</v>
      </c>
    </row>
    <row r="423" spans="1:3" x14ac:dyDescent="0.25">
      <c r="A423" t="s">
        <v>1842</v>
      </c>
      <c r="B423" t="s">
        <v>2175</v>
      </c>
      <c r="C423">
        <f>SUMIFS('Raw Data'!$N$2:$N$1680,'Raw Data'!$C$2:$C$1680,A423,'Raw Data'!$D$2:$D$1680,"AIRINDIA",'Raw Data'!$E$2:$E$1680,"AI*")</f>
        <v>98</v>
      </c>
    </row>
    <row r="424" spans="1:3" x14ac:dyDescent="0.25">
      <c r="A424" t="s">
        <v>1842</v>
      </c>
      <c r="B424" t="s">
        <v>27</v>
      </c>
      <c r="C424">
        <f>SUMIFS('Raw Data'!$N$2:$N$1680,'Raw Data'!$C$2:$C$1680,A424,'Raw Data'!$D$2:$D$1680,"AKASA",'Raw Data'!$E$2:$E$1680,"QP*")</f>
        <v>14</v>
      </c>
    </row>
    <row r="425" spans="1:3" x14ac:dyDescent="0.25">
      <c r="A425" t="s">
        <v>1874</v>
      </c>
      <c r="B425" t="s">
        <v>25</v>
      </c>
      <c r="C425">
        <f>SUMIFS('Raw Data'!$N$2:$N$1680,'Raw Data'!$C$2:$C$1680,A425,'Raw Data'!$D$2:$D$1680,"INDIGO",'Raw Data'!$E$2:$E$1680,"6E*")</f>
        <v>62</v>
      </c>
    </row>
    <row r="426" spans="1:3" x14ac:dyDescent="0.25">
      <c r="A426" t="s">
        <v>1874</v>
      </c>
      <c r="B426" t="s">
        <v>2175</v>
      </c>
      <c r="C426">
        <f>SUMIFS('Raw Data'!$N$2:$N$1680,'Raw Data'!$C$2:$C$1680,A426,'Raw Data'!$D$2:$D$1680,"AIRINDIA",'Raw Data'!$E$2:$E$1680,"AI*")</f>
        <v>65</v>
      </c>
    </row>
    <row r="427" spans="1:3" x14ac:dyDescent="0.25">
      <c r="A427" t="s">
        <v>1894</v>
      </c>
      <c r="B427" t="s">
        <v>25</v>
      </c>
      <c r="C427">
        <f>SUMIFS('Raw Data'!$N$2:$N$1680,'Raw Data'!$C$2:$C$1680,A427,'Raw Data'!$D$2:$D$1680,"INDIGO",'Raw Data'!$E$2:$E$1680,"6E*")</f>
        <v>61</v>
      </c>
    </row>
    <row r="428" spans="1:3" x14ac:dyDescent="0.25">
      <c r="A428" t="s">
        <v>1894</v>
      </c>
      <c r="B428" t="s">
        <v>2175</v>
      </c>
      <c r="C428">
        <f>SUMIFS('Raw Data'!$N$2:$N$1680,'Raw Data'!$C$2:$C$1680,A428,'Raw Data'!$D$2:$D$1680,"AIRINDIA",'Raw Data'!$E$2:$E$1680,"AI*")</f>
        <v>62</v>
      </c>
    </row>
    <row r="429" spans="1:3" x14ac:dyDescent="0.25">
      <c r="A429" t="s">
        <v>1894</v>
      </c>
      <c r="B429" t="s">
        <v>30</v>
      </c>
      <c r="C429">
        <f>SUMIFS('Raw Data'!$N$2:$N$1680,'Raw Data'!$C$2:$C$1680,A429,'Raw Data'!$D$2:$D$1680,"SPICEJET",'Raw Data'!$E$2:$E$1680,"SG*")</f>
        <v>10</v>
      </c>
    </row>
    <row r="430" spans="1:3" x14ac:dyDescent="0.25">
      <c r="A430" t="s">
        <v>1894</v>
      </c>
      <c r="B430" t="s">
        <v>27</v>
      </c>
      <c r="C430">
        <f>SUMIFS('Raw Data'!$N$2:$N$1680,'Raw Data'!$C$2:$C$1680,A430,'Raw Data'!$D$2:$D$1680,"AKASA",'Raw Data'!$E$2:$E$1680,"QP*")</f>
        <v>20</v>
      </c>
    </row>
    <row r="431" spans="1:3" x14ac:dyDescent="0.25">
      <c r="A431" t="s">
        <v>1894</v>
      </c>
      <c r="B431" t="s">
        <v>2173</v>
      </c>
      <c r="C431">
        <f>SUMIFS('Raw Data'!$N$2:$N$1680,'Raw Data'!$C$2:$C$1680,A431,'Raw Data'!$D$2:$D$1680,"AIRINDIA",'Raw Data'!$E$2:$E$1680,"IX*")</f>
        <v>14</v>
      </c>
    </row>
    <row r="432" spans="1:3" x14ac:dyDescent="0.25">
      <c r="A432" t="s">
        <v>1924</v>
      </c>
      <c r="B432" t="s">
        <v>25</v>
      </c>
      <c r="C432">
        <f>SUMIFS('Raw Data'!$N$2:$N$1680,'Raw Data'!$C$2:$C$1680,A432,'Raw Data'!$D$2:$D$1680,"INDIGO",'Raw Data'!$E$2:$E$1680,"6E*")</f>
        <v>27</v>
      </c>
    </row>
    <row r="433" spans="1:3" x14ac:dyDescent="0.25">
      <c r="A433" t="s">
        <v>1928</v>
      </c>
      <c r="B433" t="s">
        <v>25</v>
      </c>
      <c r="C433">
        <f>SUMIFS('Raw Data'!$N$2:$N$1680,'Raw Data'!$C$2:$C$1680,A433,'Raw Data'!$D$2:$D$1680,"INDIGO",'Raw Data'!$E$2:$E$1680,"6E*")</f>
        <v>71</v>
      </c>
    </row>
    <row r="434" spans="1:3" x14ac:dyDescent="0.25">
      <c r="A434" t="s">
        <v>1928</v>
      </c>
      <c r="B434" t="s">
        <v>2175</v>
      </c>
      <c r="C434">
        <f>SUMIFS('Raw Data'!$N$2:$N$1680,'Raw Data'!$C$2:$C$1680,A434,'Raw Data'!$D$2:$D$1680,"AIRINDIA",'Raw Data'!$E$2:$E$1680,"AI*")</f>
        <v>42</v>
      </c>
    </row>
    <row r="435" spans="1:3" x14ac:dyDescent="0.25">
      <c r="A435" t="s">
        <v>1948</v>
      </c>
      <c r="B435" t="s">
        <v>25</v>
      </c>
      <c r="C435">
        <f>SUMIFS('Raw Data'!$N$2:$N$1680,'Raw Data'!$C$2:$C$1680,A435,'Raw Data'!$D$2:$D$1680,"INDIGO",'Raw Data'!$E$2:$E$1680,"6E*")</f>
        <v>64</v>
      </c>
    </row>
    <row r="436" spans="1:3" x14ac:dyDescent="0.25">
      <c r="A436" t="s">
        <v>1948</v>
      </c>
      <c r="B436" t="s">
        <v>2175</v>
      </c>
      <c r="C436">
        <f>SUMIFS('Raw Data'!$N$2:$N$1680,'Raw Data'!$C$2:$C$1680,A436,'Raw Data'!$D$2:$D$1680,"AIRINDIA",'Raw Data'!$E$2:$E$1680,"AI*")</f>
        <v>0</v>
      </c>
    </row>
    <row r="437" spans="1:3" x14ac:dyDescent="0.25">
      <c r="A437" t="s">
        <v>1948</v>
      </c>
      <c r="B437" t="s">
        <v>2173</v>
      </c>
      <c r="C437">
        <f>SUMIFS('Raw Data'!$N$2:$N$1680,'Raw Data'!$C$2:$C$1680,A437,'Raw Data'!$D$2:$D$1680,"AIRINDIA",'Raw Data'!$E$2:$E$1680,"IX*")</f>
        <v>42</v>
      </c>
    </row>
    <row r="438" spans="1:3" x14ac:dyDescent="0.25">
      <c r="A438" t="s">
        <v>1965</v>
      </c>
      <c r="B438" t="s">
        <v>25</v>
      </c>
      <c r="C438">
        <f>SUMIFS('Raw Data'!$N$2:$N$1680,'Raw Data'!$C$2:$C$1680,A438,'Raw Data'!$D$2:$D$1680,"INDIGO",'Raw Data'!$E$2:$E$1680,"6E*")</f>
        <v>39</v>
      </c>
    </row>
    <row r="439" spans="1:3" x14ac:dyDescent="0.25">
      <c r="A439" t="s">
        <v>1972</v>
      </c>
      <c r="B439" t="s">
        <v>25</v>
      </c>
      <c r="C439">
        <f>SUMIFS('Raw Data'!$N$2:$N$1680,'Raw Data'!$C$2:$C$1680,A439,'Raw Data'!$D$2:$D$1680,"INDIGO",'Raw Data'!$E$2:$E$1680,"6E*")</f>
        <v>79</v>
      </c>
    </row>
    <row r="440" spans="1:3" x14ac:dyDescent="0.25">
      <c r="A440" t="s">
        <v>1972</v>
      </c>
      <c r="B440" t="s">
        <v>2175</v>
      </c>
      <c r="C440">
        <f>SUMIFS('Raw Data'!$N$2:$N$1680,'Raw Data'!$C$2:$C$1680,A440,'Raw Data'!$D$2:$D$1680,"AIRINDIA",'Raw Data'!$E$2:$E$1680,"AI*")</f>
        <v>98</v>
      </c>
    </row>
    <row r="441" spans="1:3" x14ac:dyDescent="0.25">
      <c r="A441" t="s">
        <v>1972</v>
      </c>
      <c r="B441" t="s">
        <v>27</v>
      </c>
      <c r="C441">
        <f>SUMIFS('Raw Data'!$N$2:$N$1680,'Raw Data'!$C$2:$C$1680,A441,'Raw Data'!$D$2:$D$1680,"AKASA",'Raw Data'!$E$2:$E$1680,"QP*")</f>
        <v>14</v>
      </c>
    </row>
    <row r="442" spans="1:3" x14ac:dyDescent="0.25">
      <c r="A442" t="s">
        <v>2000</v>
      </c>
      <c r="B442" t="s">
        <v>25</v>
      </c>
      <c r="C442">
        <f>SUMIFS('Raw Data'!$N$2:$N$1680,'Raw Data'!$C$2:$C$1680,A442,'Raw Data'!$D$2:$D$1680,"INDIGO",'Raw Data'!$E$2:$E$1680,"6E*")</f>
        <v>49</v>
      </c>
    </row>
    <row r="443" spans="1:3" x14ac:dyDescent="0.25">
      <c r="A443" t="s">
        <v>2008</v>
      </c>
      <c r="B443" t="s">
        <v>25</v>
      </c>
      <c r="C443">
        <f>SUMIFS('Raw Data'!$N$2:$N$1680,'Raw Data'!$C$2:$C$1680,A443,'Raw Data'!$D$2:$D$1680,"INDIGO",'Raw Data'!$E$2:$E$1680,"6E*")</f>
        <v>42</v>
      </c>
    </row>
    <row r="444" spans="1:3" x14ac:dyDescent="0.25">
      <c r="A444" t="s">
        <v>2016</v>
      </c>
      <c r="B444" t="s">
        <v>25</v>
      </c>
      <c r="C444">
        <f>SUMIFS('Raw Data'!$N$2:$N$1680,'Raw Data'!$C$2:$C$1680,A444,'Raw Data'!$D$2:$D$1680,"INDIGO",'Raw Data'!$E$2:$E$1680,"6E*")</f>
        <v>24</v>
      </c>
    </row>
    <row r="445" spans="1:3" x14ac:dyDescent="0.25">
      <c r="A445" t="s">
        <v>2016</v>
      </c>
      <c r="B445" t="s">
        <v>27</v>
      </c>
      <c r="C445">
        <f>SUMIFS('Raw Data'!$N$2:$N$1680,'Raw Data'!$C$2:$C$1680,A445,'Raw Data'!$D$2:$D$1680,"AKASA",'Raw Data'!$E$2:$E$1680,"QP*")</f>
        <v>14</v>
      </c>
    </row>
    <row r="446" spans="1:3" x14ac:dyDescent="0.25">
      <c r="A446" t="s">
        <v>2023</v>
      </c>
      <c r="B446" t="s">
        <v>25</v>
      </c>
      <c r="C446">
        <f>SUMIFS('Raw Data'!$N$2:$N$1680,'Raw Data'!$C$2:$C$1680,A446,'Raw Data'!$D$2:$D$1680,"INDIGO",'Raw Data'!$E$2:$E$1680,"6E*")</f>
        <v>62</v>
      </c>
    </row>
    <row r="447" spans="1:3" x14ac:dyDescent="0.25">
      <c r="A447" t="s">
        <v>2023</v>
      </c>
      <c r="B447" t="s">
        <v>27</v>
      </c>
      <c r="C447">
        <f>SUMIFS('Raw Data'!$N$2:$N$1680,'Raw Data'!$C$2:$C$1680,A447,'Raw Data'!$D$2:$D$1680,"AKASA",'Raw Data'!$E$2:$E$1680,"QP*")</f>
        <v>34</v>
      </c>
    </row>
    <row r="448" spans="1:3" x14ac:dyDescent="0.25">
      <c r="A448" t="s">
        <v>2023</v>
      </c>
      <c r="B448" t="s">
        <v>2175</v>
      </c>
      <c r="C448">
        <f>SUMIFS('Raw Data'!$N$2:$N$1680,'Raw Data'!$C$2:$C$1680,A448,'Raw Data'!$D$2:$D$1680,"AIRINDIA",'Raw Data'!$E$2:$E$1680,"AI*")</f>
        <v>0</v>
      </c>
    </row>
    <row r="449" spans="1:3" x14ac:dyDescent="0.25">
      <c r="A449" t="s">
        <v>2023</v>
      </c>
      <c r="B449" t="s">
        <v>2173</v>
      </c>
      <c r="C449">
        <f>SUMIFS('Raw Data'!$N$2:$N$1680,'Raw Data'!$C$2:$C$1680,A449,'Raw Data'!$D$2:$D$1680,"AIRINDIA",'Raw Data'!$E$2:$E$1680,"IX*")</f>
        <v>27</v>
      </c>
    </row>
    <row r="450" spans="1:3" x14ac:dyDescent="0.25">
      <c r="A450" t="s">
        <v>2045</v>
      </c>
      <c r="B450" t="s">
        <v>25</v>
      </c>
      <c r="C450">
        <f>SUMIFS('Raw Data'!$N$2:$N$1680,'Raw Data'!$C$2:$C$1680,A450,'Raw Data'!$D$2:$D$1680,"INDIGO",'Raw Data'!$E$2:$E$1680,"6E*")</f>
        <v>21</v>
      </c>
    </row>
    <row r="451" spans="1:3" x14ac:dyDescent="0.25">
      <c r="A451" t="s">
        <v>2045</v>
      </c>
      <c r="B451" t="s">
        <v>27</v>
      </c>
      <c r="C451">
        <f>SUMIFS('Raw Data'!$N$2:$N$1680,'Raw Data'!$C$2:$C$1680,A451,'Raw Data'!$D$2:$D$1680,"AKASA",'Raw Data'!$E$2:$E$1680,"QP*")</f>
        <v>7</v>
      </c>
    </row>
    <row r="452" spans="1:3" x14ac:dyDescent="0.25">
      <c r="A452" t="s">
        <v>2050</v>
      </c>
      <c r="B452" t="s">
        <v>25</v>
      </c>
      <c r="C452">
        <f>SUMIFS('Raw Data'!$N$2:$N$1680,'Raw Data'!$C$2:$C$1680,A452,'Raw Data'!$D$2:$D$1680,"INDIGO",'Raw Data'!$E$2:$E$1680,"6E*")</f>
        <v>61</v>
      </c>
    </row>
    <row r="453" spans="1:3" x14ac:dyDescent="0.25">
      <c r="A453" t="s">
        <v>2050</v>
      </c>
      <c r="B453" t="s">
        <v>2175</v>
      </c>
      <c r="C453">
        <f>SUMIFS('Raw Data'!$N$2:$N$1680,'Raw Data'!$C$2:$C$1680,A453,'Raw Data'!$D$2:$D$1680,"AIRINDIA",'Raw Data'!$E$2:$E$1680,"AI*")</f>
        <v>62</v>
      </c>
    </row>
    <row r="454" spans="1:3" x14ac:dyDescent="0.25">
      <c r="A454" t="s">
        <v>2050</v>
      </c>
      <c r="B454" t="s">
        <v>30</v>
      </c>
      <c r="C454">
        <f>SUMIFS('Raw Data'!$N$2:$N$1680,'Raw Data'!$C$2:$C$1680,A454,'Raw Data'!$D$2:$D$1680,"SPICEJET",'Raw Data'!$E$2:$E$1680,"SG*")</f>
        <v>10</v>
      </c>
    </row>
    <row r="455" spans="1:3" x14ac:dyDescent="0.25">
      <c r="A455" t="s">
        <v>2050</v>
      </c>
      <c r="B455" t="s">
        <v>27</v>
      </c>
      <c r="C455">
        <f>SUMIFS('Raw Data'!$N$2:$N$1680,'Raw Data'!$C$2:$C$1680,A455,'Raw Data'!$D$2:$D$1680,"AKASA",'Raw Data'!$E$2:$E$1680,"QP*")</f>
        <v>20</v>
      </c>
    </row>
    <row r="456" spans="1:3" x14ac:dyDescent="0.25">
      <c r="A456" t="s">
        <v>2050</v>
      </c>
      <c r="B456" t="s">
        <v>2173</v>
      </c>
      <c r="C456">
        <f>SUMIFS('Raw Data'!$N$2:$N$1680,'Raw Data'!$C$2:$C$1680,A456,'Raw Data'!$D$2:$D$1680,"AIRINDIA",'Raw Data'!$E$2:$E$1680,"IX*")</f>
        <v>14</v>
      </c>
    </row>
    <row r="457" spans="1:3" x14ac:dyDescent="0.25">
      <c r="A457" t="s">
        <v>2078</v>
      </c>
      <c r="B457" t="s">
        <v>25</v>
      </c>
      <c r="C457">
        <f>SUMIFS('Raw Data'!$N$2:$N$1680,'Raw Data'!$C$2:$C$1680,A457,'Raw Data'!$D$2:$D$1680,"INDIGO",'Raw Data'!$E$2:$E$1680,"6E*")</f>
        <v>41</v>
      </c>
    </row>
    <row r="458" spans="1:3" x14ac:dyDescent="0.25">
      <c r="A458" t="s">
        <v>2085</v>
      </c>
      <c r="B458" t="s">
        <v>25</v>
      </c>
      <c r="C458">
        <f>SUMIFS('Raw Data'!$N$2:$N$1680,'Raw Data'!$C$2:$C$1680,A458,'Raw Data'!$D$2:$D$1680,"INDIGO",'Raw Data'!$E$2:$E$1680,"6E*")</f>
        <v>34</v>
      </c>
    </row>
    <row r="459" spans="1:3" x14ac:dyDescent="0.25">
      <c r="A459" t="s">
        <v>2085</v>
      </c>
      <c r="B459" t="s">
        <v>2175</v>
      </c>
      <c r="C459">
        <f>SUMIFS('Raw Data'!$N$2:$N$1680,'Raw Data'!$C$2:$C$1680,A459,'Raw Data'!$D$2:$D$1680,"AIRINDIA",'Raw Data'!$E$2:$E$1680,"AI*")</f>
        <v>0</v>
      </c>
    </row>
    <row r="460" spans="1:3" x14ac:dyDescent="0.25">
      <c r="A460" t="s">
        <v>2085</v>
      </c>
      <c r="B460" t="s">
        <v>2173</v>
      </c>
      <c r="C460">
        <f>SUMIFS('Raw Data'!$N$2:$N$1680,'Raw Data'!$C$2:$C$1680,A460,'Raw Data'!$D$2:$D$1680,"AIRINDIA",'Raw Data'!$E$2:$E$1680,"IX*")</f>
        <v>7</v>
      </c>
    </row>
    <row r="461" spans="1:3" x14ac:dyDescent="0.25">
      <c r="A461" t="s">
        <v>2092</v>
      </c>
      <c r="B461" t="s">
        <v>25</v>
      </c>
      <c r="C461">
        <f>SUMIFS('Raw Data'!$N$2:$N$1680,'Raw Data'!$C$2:$C$1680,A461,'Raw Data'!$D$2:$D$1680,"INDIGO",'Raw Data'!$E$2:$E$1680,"6E*")</f>
        <v>17</v>
      </c>
    </row>
    <row r="462" spans="1:3" x14ac:dyDescent="0.25">
      <c r="A462" t="s">
        <v>2092</v>
      </c>
      <c r="B462" t="s">
        <v>27</v>
      </c>
      <c r="C462">
        <f>SUMIFS('Raw Data'!$N$2:$N$1680,'Raw Data'!$C$2:$C$1680,A462,'Raw Data'!$D$2:$D$1680,"AKASA",'Raw Data'!$E$2:$E$1680,"QP*")</f>
        <v>1</v>
      </c>
    </row>
    <row r="463" spans="1:3" x14ac:dyDescent="0.25">
      <c r="A463" t="s">
        <v>2098</v>
      </c>
      <c r="B463" t="s">
        <v>25</v>
      </c>
      <c r="C463">
        <f>SUMIFS('Raw Data'!$N$2:$N$1680,'Raw Data'!$C$2:$C$1680,A463,'Raw Data'!$D$2:$D$1680,"INDIGO",'Raw Data'!$E$2:$E$1680,"6E*")</f>
        <v>70</v>
      </c>
    </row>
    <row r="464" spans="1:3" x14ac:dyDescent="0.25">
      <c r="A464" t="s">
        <v>2098</v>
      </c>
      <c r="B464" t="s">
        <v>2175</v>
      </c>
      <c r="C464">
        <f>SUMIFS('Raw Data'!$N$2:$N$1680,'Raw Data'!$C$2:$C$1680,A464,'Raw Data'!$D$2:$D$1680,"AIRINDIA",'Raw Data'!$E$2:$E$1680,"AI*")</f>
        <v>42</v>
      </c>
    </row>
    <row r="465" spans="1:3" x14ac:dyDescent="0.25">
      <c r="A465" t="s">
        <v>2098</v>
      </c>
      <c r="B465" t="s">
        <v>27</v>
      </c>
      <c r="C465">
        <f>SUMIFS('Raw Data'!$N$2:$N$1680,'Raw Data'!$C$2:$C$1680,A465,'Raw Data'!$D$2:$D$1680,"AKASA",'Raw Data'!$E$2:$E$1680,"QP*")</f>
        <v>4</v>
      </c>
    </row>
    <row r="466" spans="1:3" x14ac:dyDescent="0.25">
      <c r="A466" t="s">
        <v>2117</v>
      </c>
      <c r="B466" t="s">
        <v>25</v>
      </c>
      <c r="C466">
        <f>SUMIFS('Raw Data'!$N$2:$N$1680,'Raw Data'!$C$2:$C$1680,A466,'Raw Data'!$D$2:$D$1680,"INDIGO",'Raw Data'!$E$2:$E$1680,"6E*")</f>
        <v>53</v>
      </c>
    </row>
    <row r="467" spans="1:3" x14ac:dyDescent="0.25">
      <c r="A467" t="s">
        <v>2117</v>
      </c>
      <c r="B467" t="s">
        <v>2175</v>
      </c>
      <c r="C467">
        <f>SUMIFS('Raw Data'!$N$2:$N$1680,'Raw Data'!$C$2:$C$1680,A467,'Raw Data'!$D$2:$D$1680,"AIRINDIA",'Raw Data'!$E$2:$E$1680,"AI*")</f>
        <v>0</v>
      </c>
    </row>
    <row r="468" spans="1:3" x14ac:dyDescent="0.25">
      <c r="A468" t="s">
        <v>2117</v>
      </c>
      <c r="B468" t="s">
        <v>2173</v>
      </c>
      <c r="C468">
        <f>SUMIFS('Raw Data'!$N$2:$N$1680,'Raw Data'!$C$2:$C$1680,A468,'Raw Data'!$D$2:$D$1680,"AIRINDIA",'Raw Data'!$E$2:$E$1680,"IX*")</f>
        <v>27</v>
      </c>
    </row>
    <row r="469" spans="1:3" x14ac:dyDescent="0.25">
      <c r="A469" t="s">
        <v>2130</v>
      </c>
      <c r="B469" t="s">
        <v>25</v>
      </c>
      <c r="C469">
        <f>SUMIFS('Raw Data'!$N$2:$N$1680,'Raw Data'!$C$2:$C$1680,A469,'Raw Data'!$D$2:$D$1680,"INDIGO",'Raw Data'!$E$2:$E$1680,"6E*")</f>
        <v>35</v>
      </c>
    </row>
    <row r="470" spans="1:3" x14ac:dyDescent="0.25">
      <c r="A470" t="s">
        <v>2130</v>
      </c>
      <c r="B470" t="s">
        <v>2175</v>
      </c>
      <c r="C470">
        <f>SUMIFS('Raw Data'!$N$2:$N$1680,'Raw Data'!$C$2:$C$1680,A470,'Raw Data'!$D$2:$D$1680,"AIRINDIA",'Raw Data'!$E$2:$E$1680,"AI*")</f>
        <v>0</v>
      </c>
    </row>
    <row r="471" spans="1:3" x14ac:dyDescent="0.25">
      <c r="A471" t="s">
        <v>2130</v>
      </c>
      <c r="B471" t="s">
        <v>2173</v>
      </c>
      <c r="C471">
        <f>SUMIFS('Raw Data'!$N$2:$N$1680,'Raw Data'!$C$2:$C$1680,A471,'Raw Data'!$D$2:$D$1680,"AIRINDIA",'Raw Data'!$E$2:$E$1680,"IX*")</f>
        <v>14</v>
      </c>
    </row>
    <row r="472" spans="1:3" x14ac:dyDescent="0.25">
      <c r="A472" t="s">
        <v>2137</v>
      </c>
      <c r="B472" t="s">
        <v>25</v>
      </c>
      <c r="C472">
        <f>SUMIFS('Raw Data'!$N$2:$N$1680,'Raw Data'!$C$2:$C$1680,A472,'Raw Data'!$D$2:$D$1680,"INDIGO",'Raw Data'!$E$2:$E$1680,"6E*")</f>
        <v>62</v>
      </c>
    </row>
    <row r="473" spans="1:3" x14ac:dyDescent="0.25">
      <c r="A473" t="s">
        <v>2137</v>
      </c>
      <c r="B473" t="s">
        <v>2175</v>
      </c>
      <c r="C473">
        <f>SUMIFS('Raw Data'!$N$2:$N$1680,'Raw Data'!$C$2:$C$1680,A473,'Raw Data'!$D$2:$D$1680,"AIRINDIA",'Raw Data'!$E$2:$E$1680,"AI*")</f>
        <v>38</v>
      </c>
    </row>
    <row r="474" spans="1:3" x14ac:dyDescent="0.25">
      <c r="A474" t="s">
        <v>2153</v>
      </c>
      <c r="B474" t="s">
        <v>25</v>
      </c>
      <c r="C474">
        <f>SUMIFS('Raw Data'!$N$2:$N$1680,'Raw Data'!$C$2:$C$1680,A474,'Raw Data'!$D$2:$D$1680,"INDIGO",'Raw Data'!$E$2:$E$1680,"6E*")</f>
        <v>49</v>
      </c>
    </row>
    <row r="475" spans="1:3" x14ac:dyDescent="0.25">
      <c r="A475" t="s">
        <v>2153</v>
      </c>
      <c r="B475" t="s">
        <v>2175</v>
      </c>
      <c r="C475">
        <f>SUMIFS('Raw Data'!$N$2:$N$1680,'Raw Data'!$C$2:$C$1680,A475,'Raw Data'!$D$2:$D$1680,"AIRINDIA",'Raw Data'!$E$2:$E$1680,"AI*")</f>
        <v>0</v>
      </c>
    </row>
    <row r="476" spans="1:3" x14ac:dyDescent="0.25">
      <c r="A476" t="s">
        <v>2153</v>
      </c>
      <c r="B476" t="s">
        <v>2173</v>
      </c>
      <c r="C476">
        <f>SUMIFS('Raw Data'!$N$2:$N$1680,'Raw Data'!$C$2:$C$1680,A476,'Raw Data'!$D$2:$D$1680,"AIRINDIA",'Raw Data'!$E$2:$E$1680,"IX*")</f>
        <v>6</v>
      </c>
    </row>
    <row r="477" spans="1:3" x14ac:dyDescent="0.25">
      <c r="A477" t="s">
        <v>2162</v>
      </c>
      <c r="B477" t="s">
        <v>25</v>
      </c>
      <c r="C477">
        <f>SUMIFS('Raw Data'!$N$2:$N$1680,'Raw Data'!$C$2:$C$1680,A477,'Raw Data'!$D$2:$D$1680,"INDIGO",'Raw Data'!$E$2:$E$1680,"6E*")</f>
        <v>34</v>
      </c>
    </row>
    <row r="478" spans="1:3" x14ac:dyDescent="0.25">
      <c r="A478" t="s">
        <v>2162</v>
      </c>
      <c r="B478" t="s">
        <v>2175</v>
      </c>
      <c r="C478">
        <f>SUMIFS('Raw Data'!$N$2:$N$1680,'Raw Data'!$C$2:$C$1680,A478,'Raw Data'!$D$2:$D$1680,"AIRINDIA",'Raw Data'!$E$2:$E$1680,"AI*")</f>
        <v>0</v>
      </c>
    </row>
    <row r="479" spans="1:3" x14ac:dyDescent="0.25">
      <c r="A479" t="s">
        <v>2162</v>
      </c>
      <c r="B479" t="s">
        <v>2173</v>
      </c>
      <c r="C479">
        <f>SUMIFS('Raw Data'!$N$2:$N$1680,'Raw Data'!$C$2:$C$1680,A479,'Raw Data'!$D$2:$D$1680,"AIRINDIA",'Raw Data'!$E$2:$E$1680,"IX*")</f>
        <v>7</v>
      </c>
    </row>
    <row r="480" spans="1:3" x14ac:dyDescent="0.25">
      <c r="A480" t="s">
        <v>2170</v>
      </c>
      <c r="B480" t="s">
        <v>52</v>
      </c>
      <c r="C480">
        <f>SUMIFS('Raw Data'!$N$2:$N$1680,'Raw Data'!$C$2:$C$1680,A480,'Raw Data'!$D$2:$D$1680,B480)</f>
        <v>0</v>
      </c>
    </row>
    <row r="481" spans="1:3" x14ac:dyDescent="0.25">
      <c r="A481" t="s">
        <v>2171</v>
      </c>
      <c r="B481" t="s">
        <v>52</v>
      </c>
      <c r="C481">
        <f>SUMIFS('Raw Data'!$N$2:$N$1680,'Raw Data'!$C$2:$C$1680,A481,'Raw Data'!$D$2:$D$1680,B481)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75"/>
  <sheetViews>
    <sheetView topLeftCell="A255" zoomScaleNormal="100" workbookViewId="0">
      <selection activeCell="M270" sqref="M270"/>
    </sheetView>
  </sheetViews>
  <sheetFormatPr defaultColWidth="8.7109375" defaultRowHeight="15" x14ac:dyDescent="0.25"/>
  <sheetData>
    <row r="1" spans="1:2" x14ac:dyDescent="0.25">
      <c r="A1" t="s">
        <v>2177</v>
      </c>
      <c r="B1" t="s">
        <v>2178</v>
      </c>
    </row>
    <row r="3" spans="1:2" x14ac:dyDescent="0.25">
      <c r="A3" t="s">
        <v>32</v>
      </c>
      <c r="B3" t="s">
        <v>33</v>
      </c>
    </row>
    <row r="4" spans="1:2" x14ac:dyDescent="0.25">
      <c r="A4" t="s">
        <v>2</v>
      </c>
      <c r="B4" t="s">
        <v>46</v>
      </c>
    </row>
    <row r="5" spans="1:2" x14ac:dyDescent="0.25">
      <c r="A5" t="s">
        <v>2</v>
      </c>
      <c r="B5" t="s">
        <v>50</v>
      </c>
    </row>
    <row r="6" spans="1:2" x14ac:dyDescent="0.25">
      <c r="A6" t="s">
        <v>2</v>
      </c>
      <c r="B6" t="s">
        <v>53</v>
      </c>
    </row>
    <row r="7" spans="1:2" x14ac:dyDescent="0.25">
      <c r="A7" t="s">
        <v>2</v>
      </c>
      <c r="B7" t="s">
        <v>57</v>
      </c>
    </row>
    <row r="8" spans="1:2" x14ac:dyDescent="0.25">
      <c r="A8" t="s">
        <v>2</v>
      </c>
      <c r="B8" t="s">
        <v>63</v>
      </c>
    </row>
    <row r="9" spans="1:2" x14ac:dyDescent="0.25">
      <c r="A9" t="s">
        <v>2</v>
      </c>
      <c r="B9" t="s">
        <v>67</v>
      </c>
    </row>
    <row r="10" spans="1:2" x14ac:dyDescent="0.25">
      <c r="A10" t="s">
        <v>2</v>
      </c>
      <c r="B10" t="s">
        <v>73</v>
      </c>
    </row>
    <row r="11" spans="1:2" x14ac:dyDescent="0.25">
      <c r="A11" t="s">
        <v>2</v>
      </c>
      <c r="B11" t="s">
        <v>79</v>
      </c>
    </row>
    <row r="12" spans="1:2" x14ac:dyDescent="0.25">
      <c r="A12" t="s">
        <v>2</v>
      </c>
      <c r="B12" t="s">
        <v>81</v>
      </c>
    </row>
    <row r="13" spans="1:2" x14ac:dyDescent="0.25">
      <c r="A13" t="s">
        <v>2</v>
      </c>
      <c r="B13" t="s">
        <v>83</v>
      </c>
    </row>
    <row r="14" spans="1:2" x14ac:dyDescent="0.25">
      <c r="A14" t="s">
        <v>2</v>
      </c>
      <c r="B14" t="s">
        <v>91</v>
      </c>
    </row>
    <row r="15" spans="1:2" x14ac:dyDescent="0.25">
      <c r="A15" t="s">
        <v>2</v>
      </c>
      <c r="B15" t="s">
        <v>97</v>
      </c>
    </row>
    <row r="16" spans="1:2" x14ac:dyDescent="0.25">
      <c r="A16" t="s">
        <v>2</v>
      </c>
      <c r="B16" t="s">
        <v>103</v>
      </c>
    </row>
    <row r="17" spans="1:2" x14ac:dyDescent="0.25">
      <c r="A17" t="s">
        <v>2</v>
      </c>
      <c r="B17" t="s">
        <v>109</v>
      </c>
    </row>
    <row r="18" spans="1:2" x14ac:dyDescent="0.25">
      <c r="A18" t="s">
        <v>2</v>
      </c>
      <c r="B18" t="s">
        <v>113</v>
      </c>
    </row>
    <row r="19" spans="1:2" x14ac:dyDescent="0.25">
      <c r="A19" t="s">
        <v>2</v>
      </c>
      <c r="B19" t="s">
        <v>116</v>
      </c>
    </row>
    <row r="20" spans="1:2" x14ac:dyDescent="0.25">
      <c r="A20" t="s">
        <v>2</v>
      </c>
      <c r="B20" t="s">
        <v>122</v>
      </c>
    </row>
    <row r="21" spans="1:2" x14ac:dyDescent="0.25">
      <c r="A21" t="s">
        <v>2</v>
      </c>
      <c r="B21" t="s">
        <v>124</v>
      </c>
    </row>
    <row r="22" spans="1:2" x14ac:dyDescent="0.25">
      <c r="A22" t="s">
        <v>2</v>
      </c>
      <c r="B22" t="s">
        <v>128</v>
      </c>
    </row>
    <row r="23" spans="1:2" x14ac:dyDescent="0.25">
      <c r="A23" t="s">
        <v>2</v>
      </c>
      <c r="B23" t="s">
        <v>132</v>
      </c>
    </row>
    <row r="24" spans="1:2" x14ac:dyDescent="0.25">
      <c r="A24" t="s">
        <v>2</v>
      </c>
      <c r="B24" t="s">
        <v>134</v>
      </c>
    </row>
    <row r="25" spans="1:2" x14ac:dyDescent="0.25">
      <c r="A25" t="s">
        <v>2</v>
      </c>
      <c r="B25" t="s">
        <v>138</v>
      </c>
    </row>
    <row r="26" spans="1:2" x14ac:dyDescent="0.25">
      <c r="A26" t="s">
        <v>2</v>
      </c>
      <c r="B26" t="s">
        <v>140</v>
      </c>
    </row>
    <row r="27" spans="1:2" x14ac:dyDescent="0.25">
      <c r="A27" t="s">
        <v>2</v>
      </c>
      <c r="B27" t="s">
        <v>144</v>
      </c>
    </row>
    <row r="28" spans="1:2" x14ac:dyDescent="0.25">
      <c r="A28" t="s">
        <v>2</v>
      </c>
      <c r="B28" t="s">
        <v>148</v>
      </c>
    </row>
    <row r="29" spans="1:2" x14ac:dyDescent="0.25">
      <c r="A29" t="s">
        <v>2</v>
      </c>
      <c r="B29" t="s">
        <v>150</v>
      </c>
    </row>
    <row r="30" spans="1:2" x14ac:dyDescent="0.25">
      <c r="A30" t="s">
        <v>2</v>
      </c>
      <c r="B30" t="s">
        <v>152</v>
      </c>
    </row>
    <row r="31" spans="1:2" x14ac:dyDescent="0.25">
      <c r="A31" t="s">
        <v>154</v>
      </c>
      <c r="B31" t="s">
        <v>46</v>
      </c>
    </row>
    <row r="32" spans="1:2" x14ac:dyDescent="0.25">
      <c r="A32" t="s">
        <v>154</v>
      </c>
      <c r="B32" t="s">
        <v>50</v>
      </c>
    </row>
    <row r="33" spans="1:2" x14ac:dyDescent="0.25">
      <c r="A33" t="s">
        <v>154</v>
      </c>
      <c r="B33" t="s">
        <v>53</v>
      </c>
    </row>
    <row r="34" spans="1:2" x14ac:dyDescent="0.25">
      <c r="A34" t="s">
        <v>154</v>
      </c>
      <c r="B34" t="s">
        <v>57</v>
      </c>
    </row>
    <row r="35" spans="1:2" x14ac:dyDescent="0.25">
      <c r="A35" t="s">
        <v>154</v>
      </c>
      <c r="B35" t="s">
        <v>63</v>
      </c>
    </row>
    <row r="36" spans="1:2" x14ac:dyDescent="0.25">
      <c r="A36" t="s">
        <v>154</v>
      </c>
      <c r="B36" t="s">
        <v>67</v>
      </c>
    </row>
    <row r="37" spans="1:2" x14ac:dyDescent="0.25">
      <c r="A37" t="s">
        <v>154</v>
      </c>
      <c r="B37" t="s">
        <v>73</v>
      </c>
    </row>
    <row r="38" spans="1:2" x14ac:dyDescent="0.25">
      <c r="A38" t="s">
        <v>154</v>
      </c>
      <c r="B38" t="s">
        <v>79</v>
      </c>
    </row>
    <row r="39" spans="1:2" x14ac:dyDescent="0.25">
      <c r="A39" t="s">
        <v>154</v>
      </c>
      <c r="B39" t="s">
        <v>81</v>
      </c>
    </row>
    <row r="40" spans="1:2" x14ac:dyDescent="0.25">
      <c r="A40" t="s">
        <v>154</v>
      </c>
      <c r="B40" t="s">
        <v>83</v>
      </c>
    </row>
    <row r="41" spans="1:2" x14ac:dyDescent="0.25">
      <c r="A41" t="s">
        <v>154</v>
      </c>
      <c r="B41" t="s">
        <v>91</v>
      </c>
    </row>
    <row r="42" spans="1:2" x14ac:dyDescent="0.25">
      <c r="A42" t="s">
        <v>154</v>
      </c>
      <c r="B42" t="s">
        <v>97</v>
      </c>
    </row>
    <row r="43" spans="1:2" x14ac:dyDescent="0.25">
      <c r="A43" t="s">
        <v>154</v>
      </c>
      <c r="B43" t="s">
        <v>103</v>
      </c>
    </row>
    <row r="44" spans="1:2" x14ac:dyDescent="0.25">
      <c r="A44" t="s">
        <v>154</v>
      </c>
      <c r="B44" t="s">
        <v>109</v>
      </c>
    </row>
    <row r="45" spans="1:2" x14ac:dyDescent="0.25">
      <c r="A45" t="s">
        <v>154</v>
      </c>
      <c r="B45" t="s">
        <v>113</v>
      </c>
    </row>
    <row r="46" spans="1:2" x14ac:dyDescent="0.25">
      <c r="A46" t="s">
        <v>154</v>
      </c>
      <c r="B46" t="s">
        <v>116</v>
      </c>
    </row>
    <row r="47" spans="1:2" x14ac:dyDescent="0.25">
      <c r="A47" t="s">
        <v>154</v>
      </c>
      <c r="B47" t="s">
        <v>122</v>
      </c>
    </row>
    <row r="48" spans="1:2" x14ac:dyDescent="0.25">
      <c r="A48" t="s">
        <v>154</v>
      </c>
      <c r="B48" t="s">
        <v>124</v>
      </c>
    </row>
    <row r="49" spans="1:2" x14ac:dyDescent="0.25">
      <c r="A49" t="s">
        <v>154</v>
      </c>
      <c r="B49" t="s">
        <v>128</v>
      </c>
    </row>
    <row r="50" spans="1:2" x14ac:dyDescent="0.25">
      <c r="A50" t="s">
        <v>154</v>
      </c>
      <c r="B50" t="s">
        <v>132</v>
      </c>
    </row>
    <row r="51" spans="1:2" x14ac:dyDescent="0.25">
      <c r="A51" t="s">
        <v>154</v>
      </c>
      <c r="B51" t="s">
        <v>134</v>
      </c>
    </row>
    <row r="52" spans="1:2" x14ac:dyDescent="0.25">
      <c r="A52" t="s">
        <v>154</v>
      </c>
      <c r="B52" t="s">
        <v>138</v>
      </c>
    </row>
    <row r="53" spans="1:2" x14ac:dyDescent="0.25">
      <c r="A53" t="s">
        <v>154</v>
      </c>
      <c r="B53" t="s">
        <v>140</v>
      </c>
    </row>
    <row r="54" spans="1:2" x14ac:dyDescent="0.25">
      <c r="A54" t="s">
        <v>154</v>
      </c>
      <c r="B54" t="s">
        <v>144</v>
      </c>
    </row>
    <row r="55" spans="1:2" x14ac:dyDescent="0.25">
      <c r="A55" t="s">
        <v>154</v>
      </c>
      <c r="B55" t="s">
        <v>148</v>
      </c>
    </row>
    <row r="56" spans="1:2" x14ac:dyDescent="0.25">
      <c r="A56" t="s">
        <v>154</v>
      </c>
      <c r="B56" t="s">
        <v>150</v>
      </c>
    </row>
    <row r="57" spans="1:2" x14ac:dyDescent="0.25">
      <c r="A57" t="s">
        <v>154</v>
      </c>
      <c r="B57" t="s">
        <v>152</v>
      </c>
    </row>
    <row r="58" spans="1:2" x14ac:dyDescent="0.25">
      <c r="A58" t="s">
        <v>353</v>
      </c>
      <c r="B58" t="s">
        <v>46</v>
      </c>
    </row>
    <row r="59" spans="1:2" x14ac:dyDescent="0.25">
      <c r="A59" t="s">
        <v>353</v>
      </c>
      <c r="B59" t="s">
        <v>50</v>
      </c>
    </row>
    <row r="60" spans="1:2" x14ac:dyDescent="0.25">
      <c r="A60" t="s">
        <v>353</v>
      </c>
      <c r="B60" t="s">
        <v>53</v>
      </c>
    </row>
    <row r="61" spans="1:2" x14ac:dyDescent="0.25">
      <c r="A61" t="s">
        <v>353</v>
      </c>
      <c r="B61" t="s">
        <v>57</v>
      </c>
    </row>
    <row r="62" spans="1:2" x14ac:dyDescent="0.25">
      <c r="A62" t="s">
        <v>353</v>
      </c>
      <c r="B62" t="s">
        <v>63</v>
      </c>
    </row>
    <row r="63" spans="1:2" x14ac:dyDescent="0.25">
      <c r="A63" t="s">
        <v>353</v>
      </c>
      <c r="B63" t="s">
        <v>67</v>
      </c>
    </row>
    <row r="64" spans="1:2" x14ac:dyDescent="0.25">
      <c r="A64" t="s">
        <v>353</v>
      </c>
      <c r="B64" t="s">
        <v>73</v>
      </c>
    </row>
    <row r="65" spans="1:2" x14ac:dyDescent="0.25">
      <c r="A65" t="s">
        <v>353</v>
      </c>
      <c r="B65" t="s">
        <v>79</v>
      </c>
    </row>
    <row r="66" spans="1:2" x14ac:dyDescent="0.25">
      <c r="A66" t="s">
        <v>353</v>
      </c>
      <c r="B66" t="s">
        <v>81</v>
      </c>
    </row>
    <row r="67" spans="1:2" x14ac:dyDescent="0.25">
      <c r="A67" t="s">
        <v>353</v>
      </c>
      <c r="B67" t="s">
        <v>83</v>
      </c>
    </row>
    <row r="68" spans="1:2" x14ac:dyDescent="0.25">
      <c r="A68" t="s">
        <v>353</v>
      </c>
      <c r="B68" t="s">
        <v>91</v>
      </c>
    </row>
    <row r="69" spans="1:2" x14ac:dyDescent="0.25">
      <c r="A69" t="s">
        <v>353</v>
      </c>
      <c r="B69" t="s">
        <v>97</v>
      </c>
    </row>
    <row r="70" spans="1:2" x14ac:dyDescent="0.25">
      <c r="A70" t="s">
        <v>353</v>
      </c>
      <c r="B70" t="s">
        <v>103</v>
      </c>
    </row>
    <row r="71" spans="1:2" x14ac:dyDescent="0.25">
      <c r="A71" t="s">
        <v>353</v>
      </c>
      <c r="B71" t="s">
        <v>109</v>
      </c>
    </row>
    <row r="72" spans="1:2" x14ac:dyDescent="0.25">
      <c r="A72" t="s">
        <v>353</v>
      </c>
      <c r="B72" t="s">
        <v>113</v>
      </c>
    </row>
    <row r="73" spans="1:2" x14ac:dyDescent="0.25">
      <c r="A73" t="s">
        <v>353</v>
      </c>
      <c r="B73" t="s">
        <v>116</v>
      </c>
    </row>
    <row r="74" spans="1:2" x14ac:dyDescent="0.25">
      <c r="A74" t="s">
        <v>353</v>
      </c>
      <c r="B74" t="s">
        <v>122</v>
      </c>
    </row>
    <row r="75" spans="1:2" x14ac:dyDescent="0.25">
      <c r="A75" t="s">
        <v>353</v>
      </c>
      <c r="B75" t="s">
        <v>124</v>
      </c>
    </row>
    <row r="76" spans="1:2" x14ac:dyDescent="0.25">
      <c r="A76" t="s">
        <v>353</v>
      </c>
      <c r="B76" t="s">
        <v>128</v>
      </c>
    </row>
    <row r="77" spans="1:2" x14ac:dyDescent="0.25">
      <c r="A77" t="s">
        <v>353</v>
      </c>
      <c r="B77" t="s">
        <v>132</v>
      </c>
    </row>
    <row r="78" spans="1:2" x14ac:dyDescent="0.25">
      <c r="A78" t="s">
        <v>353</v>
      </c>
      <c r="B78" t="s">
        <v>134</v>
      </c>
    </row>
    <row r="79" spans="1:2" x14ac:dyDescent="0.25">
      <c r="A79" t="s">
        <v>353</v>
      </c>
      <c r="B79" t="s">
        <v>138</v>
      </c>
    </row>
    <row r="80" spans="1:2" x14ac:dyDescent="0.25">
      <c r="A80" t="s">
        <v>353</v>
      </c>
      <c r="B80" t="s">
        <v>140</v>
      </c>
    </row>
    <row r="81" spans="1:2" x14ac:dyDescent="0.25">
      <c r="A81" t="s">
        <v>353</v>
      </c>
      <c r="B81" t="s">
        <v>144</v>
      </c>
    </row>
    <row r="82" spans="1:2" x14ac:dyDescent="0.25">
      <c r="A82" t="s">
        <v>353</v>
      </c>
      <c r="B82" t="s">
        <v>148</v>
      </c>
    </row>
    <row r="83" spans="1:2" x14ac:dyDescent="0.25">
      <c r="A83" t="s">
        <v>353</v>
      </c>
      <c r="B83" t="s">
        <v>150</v>
      </c>
    </row>
    <row r="84" spans="1:2" x14ac:dyDescent="0.25">
      <c r="A84" t="s">
        <v>353</v>
      </c>
      <c r="B84" t="s">
        <v>152</v>
      </c>
    </row>
    <row r="85" spans="1:2" x14ac:dyDescent="0.25">
      <c r="A85" t="s">
        <v>541</v>
      </c>
      <c r="B85" t="s">
        <v>46</v>
      </c>
    </row>
    <row r="86" spans="1:2" x14ac:dyDescent="0.25">
      <c r="A86" t="s">
        <v>541</v>
      </c>
      <c r="B86" t="s">
        <v>50</v>
      </c>
    </row>
    <row r="87" spans="1:2" x14ac:dyDescent="0.25">
      <c r="A87" t="s">
        <v>541</v>
      </c>
      <c r="B87" t="s">
        <v>53</v>
      </c>
    </row>
    <row r="88" spans="1:2" x14ac:dyDescent="0.25">
      <c r="A88" t="s">
        <v>541</v>
      </c>
      <c r="B88" t="s">
        <v>57</v>
      </c>
    </row>
    <row r="89" spans="1:2" x14ac:dyDescent="0.25">
      <c r="A89" t="s">
        <v>541</v>
      </c>
      <c r="B89" t="s">
        <v>63</v>
      </c>
    </row>
    <row r="90" spans="1:2" x14ac:dyDescent="0.25">
      <c r="A90" t="s">
        <v>541</v>
      </c>
      <c r="B90" t="s">
        <v>67</v>
      </c>
    </row>
    <row r="91" spans="1:2" x14ac:dyDescent="0.25">
      <c r="A91" t="s">
        <v>541</v>
      </c>
      <c r="B91" t="s">
        <v>73</v>
      </c>
    </row>
    <row r="92" spans="1:2" x14ac:dyDescent="0.25">
      <c r="A92" t="s">
        <v>541</v>
      </c>
      <c r="B92" t="s">
        <v>79</v>
      </c>
    </row>
    <row r="93" spans="1:2" x14ac:dyDescent="0.25">
      <c r="A93" t="s">
        <v>541</v>
      </c>
      <c r="B93" t="s">
        <v>81</v>
      </c>
    </row>
    <row r="94" spans="1:2" x14ac:dyDescent="0.25">
      <c r="A94" t="s">
        <v>541</v>
      </c>
      <c r="B94" t="s">
        <v>83</v>
      </c>
    </row>
    <row r="95" spans="1:2" x14ac:dyDescent="0.25">
      <c r="A95" t="s">
        <v>541</v>
      </c>
      <c r="B95" t="s">
        <v>91</v>
      </c>
    </row>
    <row r="96" spans="1:2" x14ac:dyDescent="0.25">
      <c r="A96" t="s">
        <v>541</v>
      </c>
      <c r="B96" t="s">
        <v>97</v>
      </c>
    </row>
    <row r="97" spans="1:2" x14ac:dyDescent="0.25">
      <c r="A97" t="s">
        <v>541</v>
      </c>
      <c r="B97" t="s">
        <v>103</v>
      </c>
    </row>
    <row r="98" spans="1:2" x14ac:dyDescent="0.25">
      <c r="A98" t="s">
        <v>541</v>
      </c>
      <c r="B98" t="s">
        <v>109</v>
      </c>
    </row>
    <row r="99" spans="1:2" x14ac:dyDescent="0.25">
      <c r="A99" t="s">
        <v>541</v>
      </c>
      <c r="B99" t="s">
        <v>113</v>
      </c>
    </row>
    <row r="100" spans="1:2" x14ac:dyDescent="0.25">
      <c r="A100" t="s">
        <v>541</v>
      </c>
      <c r="B100" t="s">
        <v>116</v>
      </c>
    </row>
    <row r="101" spans="1:2" x14ac:dyDescent="0.25">
      <c r="A101" t="s">
        <v>541</v>
      </c>
      <c r="B101" t="s">
        <v>122</v>
      </c>
    </row>
    <row r="102" spans="1:2" x14ac:dyDescent="0.25">
      <c r="A102" t="s">
        <v>541</v>
      </c>
      <c r="B102" t="s">
        <v>124</v>
      </c>
    </row>
    <row r="103" spans="1:2" x14ac:dyDescent="0.25">
      <c r="A103" t="s">
        <v>541</v>
      </c>
      <c r="B103" t="s">
        <v>128</v>
      </c>
    </row>
    <row r="104" spans="1:2" x14ac:dyDescent="0.25">
      <c r="A104" t="s">
        <v>541</v>
      </c>
      <c r="B104" t="s">
        <v>132</v>
      </c>
    </row>
    <row r="105" spans="1:2" x14ac:dyDescent="0.25">
      <c r="A105" t="s">
        <v>541</v>
      </c>
      <c r="B105" t="s">
        <v>134</v>
      </c>
    </row>
    <row r="106" spans="1:2" x14ac:dyDescent="0.25">
      <c r="A106" t="s">
        <v>541</v>
      </c>
      <c r="B106" t="s">
        <v>138</v>
      </c>
    </row>
    <row r="107" spans="1:2" x14ac:dyDescent="0.25">
      <c r="A107" t="s">
        <v>541</v>
      </c>
      <c r="B107" t="s">
        <v>140</v>
      </c>
    </row>
    <row r="108" spans="1:2" x14ac:dyDescent="0.25">
      <c r="A108" t="s">
        <v>541</v>
      </c>
      <c r="B108" t="s">
        <v>144</v>
      </c>
    </row>
    <row r="109" spans="1:2" x14ac:dyDescent="0.25">
      <c r="A109" t="s">
        <v>541</v>
      </c>
      <c r="B109" t="s">
        <v>148</v>
      </c>
    </row>
    <row r="110" spans="1:2" x14ac:dyDescent="0.25">
      <c r="A110" t="s">
        <v>541</v>
      </c>
      <c r="B110" t="s">
        <v>150</v>
      </c>
    </row>
    <row r="111" spans="1:2" x14ac:dyDescent="0.25">
      <c r="A111" t="s">
        <v>541</v>
      </c>
      <c r="B111" t="s">
        <v>152</v>
      </c>
    </row>
    <row r="112" spans="1:2" x14ac:dyDescent="0.25">
      <c r="A112" t="s">
        <v>4</v>
      </c>
      <c r="B112" t="s">
        <v>46</v>
      </c>
    </row>
    <row r="113" spans="1:2" x14ac:dyDescent="0.25">
      <c r="A113" t="s">
        <v>4</v>
      </c>
      <c r="B113" t="s">
        <v>50</v>
      </c>
    </row>
    <row r="114" spans="1:2" x14ac:dyDescent="0.25">
      <c r="A114" t="s">
        <v>4</v>
      </c>
      <c r="B114" t="s">
        <v>53</v>
      </c>
    </row>
    <row r="115" spans="1:2" x14ac:dyDescent="0.25">
      <c r="A115" t="s">
        <v>4</v>
      </c>
      <c r="B115" t="s">
        <v>57</v>
      </c>
    </row>
    <row r="116" spans="1:2" x14ac:dyDescent="0.25">
      <c r="A116" t="s">
        <v>4</v>
      </c>
      <c r="B116" t="s">
        <v>63</v>
      </c>
    </row>
    <row r="117" spans="1:2" x14ac:dyDescent="0.25">
      <c r="A117" t="s">
        <v>4</v>
      </c>
      <c r="B117" t="s">
        <v>67</v>
      </c>
    </row>
    <row r="118" spans="1:2" x14ac:dyDescent="0.25">
      <c r="A118" t="s">
        <v>4</v>
      </c>
      <c r="B118" t="s">
        <v>73</v>
      </c>
    </row>
    <row r="119" spans="1:2" x14ac:dyDescent="0.25">
      <c r="A119" t="s">
        <v>4</v>
      </c>
      <c r="B119" t="s">
        <v>79</v>
      </c>
    </row>
    <row r="120" spans="1:2" x14ac:dyDescent="0.25">
      <c r="A120" t="s">
        <v>4</v>
      </c>
      <c r="B120" t="s">
        <v>81</v>
      </c>
    </row>
    <row r="121" spans="1:2" x14ac:dyDescent="0.25">
      <c r="A121" t="s">
        <v>4</v>
      </c>
      <c r="B121" t="s">
        <v>83</v>
      </c>
    </row>
    <row r="122" spans="1:2" x14ac:dyDescent="0.25">
      <c r="A122" t="s">
        <v>4</v>
      </c>
      <c r="B122" t="s">
        <v>91</v>
      </c>
    </row>
    <row r="123" spans="1:2" x14ac:dyDescent="0.25">
      <c r="A123" t="s">
        <v>4</v>
      </c>
      <c r="B123" t="s">
        <v>97</v>
      </c>
    </row>
    <row r="124" spans="1:2" x14ac:dyDescent="0.25">
      <c r="A124" t="s">
        <v>4</v>
      </c>
      <c r="B124" t="s">
        <v>103</v>
      </c>
    </row>
    <row r="125" spans="1:2" x14ac:dyDescent="0.25">
      <c r="A125" t="s">
        <v>4</v>
      </c>
      <c r="B125" t="s">
        <v>109</v>
      </c>
    </row>
    <row r="126" spans="1:2" x14ac:dyDescent="0.25">
      <c r="A126" t="s">
        <v>4</v>
      </c>
      <c r="B126" t="s">
        <v>113</v>
      </c>
    </row>
    <row r="127" spans="1:2" x14ac:dyDescent="0.25">
      <c r="A127" t="s">
        <v>4</v>
      </c>
      <c r="B127" t="s">
        <v>116</v>
      </c>
    </row>
    <row r="128" spans="1:2" x14ac:dyDescent="0.25">
      <c r="A128" t="s">
        <v>4</v>
      </c>
      <c r="B128" t="s">
        <v>122</v>
      </c>
    </row>
    <row r="129" spans="1:2" x14ac:dyDescent="0.25">
      <c r="A129" t="s">
        <v>4</v>
      </c>
      <c r="B129" t="s">
        <v>124</v>
      </c>
    </row>
    <row r="130" spans="1:2" x14ac:dyDescent="0.25">
      <c r="A130" t="s">
        <v>4</v>
      </c>
      <c r="B130" t="s">
        <v>128</v>
      </c>
    </row>
    <row r="131" spans="1:2" x14ac:dyDescent="0.25">
      <c r="A131" t="s">
        <v>4</v>
      </c>
      <c r="B131" t="s">
        <v>132</v>
      </c>
    </row>
    <row r="132" spans="1:2" x14ac:dyDescent="0.25">
      <c r="A132" t="s">
        <v>4</v>
      </c>
      <c r="B132" t="s">
        <v>134</v>
      </c>
    </row>
    <row r="133" spans="1:2" x14ac:dyDescent="0.25">
      <c r="A133" t="s">
        <v>4</v>
      </c>
      <c r="B133" t="s">
        <v>138</v>
      </c>
    </row>
    <row r="134" spans="1:2" x14ac:dyDescent="0.25">
      <c r="A134" t="s">
        <v>4</v>
      </c>
      <c r="B134" t="s">
        <v>140</v>
      </c>
    </row>
    <row r="135" spans="1:2" x14ac:dyDescent="0.25">
      <c r="A135" t="s">
        <v>4</v>
      </c>
      <c r="B135" t="s">
        <v>144</v>
      </c>
    </row>
    <row r="136" spans="1:2" x14ac:dyDescent="0.25">
      <c r="A136" t="s">
        <v>4</v>
      </c>
      <c r="B136" t="s">
        <v>148</v>
      </c>
    </row>
    <row r="137" spans="1:2" x14ac:dyDescent="0.25">
      <c r="A137" t="s">
        <v>4</v>
      </c>
      <c r="B137" t="s">
        <v>150</v>
      </c>
    </row>
    <row r="138" spans="1:2" x14ac:dyDescent="0.25">
      <c r="A138" t="s">
        <v>4</v>
      </c>
      <c r="B138" t="s">
        <v>152</v>
      </c>
    </row>
    <row r="139" spans="1:2" x14ac:dyDescent="0.25">
      <c r="A139" t="s">
        <v>904</v>
      </c>
      <c r="B139" t="s">
        <v>46</v>
      </c>
    </row>
    <row r="140" spans="1:2" x14ac:dyDescent="0.25">
      <c r="A140" t="s">
        <v>904</v>
      </c>
      <c r="B140" t="s">
        <v>50</v>
      </c>
    </row>
    <row r="141" spans="1:2" x14ac:dyDescent="0.25">
      <c r="A141" t="s">
        <v>904</v>
      </c>
      <c r="B141" t="s">
        <v>53</v>
      </c>
    </row>
    <row r="142" spans="1:2" x14ac:dyDescent="0.25">
      <c r="A142" t="s">
        <v>904</v>
      </c>
      <c r="B142" t="s">
        <v>57</v>
      </c>
    </row>
    <row r="143" spans="1:2" x14ac:dyDescent="0.25">
      <c r="A143" t="s">
        <v>904</v>
      </c>
      <c r="B143" t="s">
        <v>63</v>
      </c>
    </row>
    <row r="144" spans="1:2" x14ac:dyDescent="0.25">
      <c r="A144" t="s">
        <v>904</v>
      </c>
      <c r="B144" t="s">
        <v>67</v>
      </c>
    </row>
    <row r="145" spans="1:2" x14ac:dyDescent="0.25">
      <c r="A145" t="s">
        <v>904</v>
      </c>
      <c r="B145" t="s">
        <v>73</v>
      </c>
    </row>
    <row r="146" spans="1:2" x14ac:dyDescent="0.25">
      <c r="A146" t="s">
        <v>904</v>
      </c>
      <c r="B146" t="s">
        <v>79</v>
      </c>
    </row>
    <row r="147" spans="1:2" x14ac:dyDescent="0.25">
      <c r="A147" t="s">
        <v>904</v>
      </c>
      <c r="B147" t="s">
        <v>81</v>
      </c>
    </row>
    <row r="148" spans="1:2" x14ac:dyDescent="0.25">
      <c r="A148" t="s">
        <v>904</v>
      </c>
      <c r="B148" t="s">
        <v>83</v>
      </c>
    </row>
    <row r="149" spans="1:2" x14ac:dyDescent="0.25">
      <c r="A149" t="s">
        <v>904</v>
      </c>
      <c r="B149" t="s">
        <v>91</v>
      </c>
    </row>
    <row r="150" spans="1:2" x14ac:dyDescent="0.25">
      <c r="A150" t="s">
        <v>904</v>
      </c>
      <c r="B150" t="s">
        <v>97</v>
      </c>
    </row>
    <row r="151" spans="1:2" x14ac:dyDescent="0.25">
      <c r="A151" t="s">
        <v>904</v>
      </c>
      <c r="B151" t="s">
        <v>103</v>
      </c>
    </row>
    <row r="152" spans="1:2" x14ac:dyDescent="0.25">
      <c r="A152" t="s">
        <v>904</v>
      </c>
      <c r="B152" t="s">
        <v>109</v>
      </c>
    </row>
    <row r="153" spans="1:2" x14ac:dyDescent="0.25">
      <c r="A153" t="s">
        <v>904</v>
      </c>
      <c r="B153" t="s">
        <v>113</v>
      </c>
    </row>
    <row r="154" spans="1:2" x14ac:dyDescent="0.25">
      <c r="A154" t="s">
        <v>904</v>
      </c>
      <c r="B154" t="s">
        <v>116</v>
      </c>
    </row>
    <row r="155" spans="1:2" x14ac:dyDescent="0.25">
      <c r="A155" t="s">
        <v>904</v>
      </c>
      <c r="B155" t="s">
        <v>122</v>
      </c>
    </row>
    <row r="156" spans="1:2" x14ac:dyDescent="0.25">
      <c r="A156" t="s">
        <v>904</v>
      </c>
      <c r="B156" t="s">
        <v>124</v>
      </c>
    </row>
    <row r="157" spans="1:2" x14ac:dyDescent="0.25">
      <c r="A157" t="s">
        <v>904</v>
      </c>
      <c r="B157" t="s">
        <v>128</v>
      </c>
    </row>
    <row r="158" spans="1:2" x14ac:dyDescent="0.25">
      <c r="A158" t="s">
        <v>904</v>
      </c>
      <c r="B158" t="s">
        <v>132</v>
      </c>
    </row>
    <row r="159" spans="1:2" x14ac:dyDescent="0.25">
      <c r="A159" t="s">
        <v>904</v>
      </c>
      <c r="B159" t="s">
        <v>134</v>
      </c>
    </row>
    <row r="160" spans="1:2" x14ac:dyDescent="0.25">
      <c r="A160" t="s">
        <v>904</v>
      </c>
      <c r="B160" t="s">
        <v>138</v>
      </c>
    </row>
    <row r="161" spans="1:2" x14ac:dyDescent="0.25">
      <c r="A161" t="s">
        <v>904</v>
      </c>
      <c r="B161" t="s">
        <v>140</v>
      </c>
    </row>
    <row r="162" spans="1:2" x14ac:dyDescent="0.25">
      <c r="A162" t="s">
        <v>904</v>
      </c>
      <c r="B162" t="s">
        <v>144</v>
      </c>
    </row>
    <row r="163" spans="1:2" x14ac:dyDescent="0.25">
      <c r="A163" t="s">
        <v>904</v>
      </c>
      <c r="B163" t="s">
        <v>148</v>
      </c>
    </row>
    <row r="164" spans="1:2" x14ac:dyDescent="0.25">
      <c r="A164" t="s">
        <v>904</v>
      </c>
      <c r="B164" t="s">
        <v>150</v>
      </c>
    </row>
    <row r="165" spans="1:2" x14ac:dyDescent="0.25">
      <c r="A165" t="s">
        <v>904</v>
      </c>
      <c r="B165" t="s">
        <v>152</v>
      </c>
    </row>
    <row r="166" spans="1:2" x14ac:dyDescent="0.25">
      <c r="A166" t="s">
        <v>1004</v>
      </c>
      <c r="B166" t="s">
        <v>46</v>
      </c>
    </row>
    <row r="167" spans="1:2" x14ac:dyDescent="0.25">
      <c r="A167" t="s">
        <v>1004</v>
      </c>
      <c r="B167" t="s">
        <v>50</v>
      </c>
    </row>
    <row r="168" spans="1:2" x14ac:dyDescent="0.25">
      <c r="A168" t="s">
        <v>1004</v>
      </c>
      <c r="B168" t="s">
        <v>53</v>
      </c>
    </row>
    <row r="169" spans="1:2" x14ac:dyDescent="0.25">
      <c r="A169" t="s">
        <v>1004</v>
      </c>
      <c r="B169" t="s">
        <v>57</v>
      </c>
    </row>
    <row r="170" spans="1:2" x14ac:dyDescent="0.25">
      <c r="A170" t="s">
        <v>1004</v>
      </c>
      <c r="B170" t="s">
        <v>63</v>
      </c>
    </row>
    <row r="171" spans="1:2" x14ac:dyDescent="0.25">
      <c r="A171" t="s">
        <v>1004</v>
      </c>
      <c r="B171" t="s">
        <v>67</v>
      </c>
    </row>
    <row r="172" spans="1:2" x14ac:dyDescent="0.25">
      <c r="A172" t="s">
        <v>1004</v>
      </c>
      <c r="B172" t="s">
        <v>73</v>
      </c>
    </row>
    <row r="173" spans="1:2" x14ac:dyDescent="0.25">
      <c r="A173" t="s">
        <v>1004</v>
      </c>
      <c r="B173" t="s">
        <v>79</v>
      </c>
    </row>
    <row r="174" spans="1:2" x14ac:dyDescent="0.25">
      <c r="A174" t="s">
        <v>1004</v>
      </c>
      <c r="B174" t="s">
        <v>81</v>
      </c>
    </row>
    <row r="175" spans="1:2" x14ac:dyDescent="0.25">
      <c r="A175" t="s">
        <v>1004</v>
      </c>
      <c r="B175" t="s">
        <v>83</v>
      </c>
    </row>
    <row r="176" spans="1:2" x14ac:dyDescent="0.25">
      <c r="A176" t="s">
        <v>1004</v>
      </c>
      <c r="B176" t="s">
        <v>91</v>
      </c>
    </row>
    <row r="177" spans="1:2" x14ac:dyDescent="0.25">
      <c r="A177" t="s">
        <v>1004</v>
      </c>
      <c r="B177" t="s">
        <v>97</v>
      </c>
    </row>
    <row r="178" spans="1:2" x14ac:dyDescent="0.25">
      <c r="A178" t="s">
        <v>1004</v>
      </c>
      <c r="B178" t="s">
        <v>103</v>
      </c>
    </row>
    <row r="179" spans="1:2" x14ac:dyDescent="0.25">
      <c r="A179" t="s">
        <v>1004</v>
      </c>
      <c r="B179" t="s">
        <v>109</v>
      </c>
    </row>
    <row r="180" spans="1:2" x14ac:dyDescent="0.25">
      <c r="A180" t="s">
        <v>1004</v>
      </c>
      <c r="B180" t="s">
        <v>113</v>
      </c>
    </row>
    <row r="181" spans="1:2" x14ac:dyDescent="0.25">
      <c r="A181" t="s">
        <v>1004</v>
      </c>
      <c r="B181" t="s">
        <v>116</v>
      </c>
    </row>
    <row r="182" spans="1:2" x14ac:dyDescent="0.25">
      <c r="A182" t="s">
        <v>1004</v>
      </c>
      <c r="B182" t="s">
        <v>122</v>
      </c>
    </row>
    <row r="183" spans="1:2" x14ac:dyDescent="0.25">
      <c r="A183" t="s">
        <v>1004</v>
      </c>
      <c r="B183" t="s">
        <v>124</v>
      </c>
    </row>
    <row r="184" spans="1:2" x14ac:dyDescent="0.25">
      <c r="A184" t="s">
        <v>1004</v>
      </c>
      <c r="B184" t="s">
        <v>128</v>
      </c>
    </row>
    <row r="185" spans="1:2" x14ac:dyDescent="0.25">
      <c r="A185" t="s">
        <v>1004</v>
      </c>
      <c r="B185" t="s">
        <v>132</v>
      </c>
    </row>
    <row r="186" spans="1:2" x14ac:dyDescent="0.25">
      <c r="A186" t="s">
        <v>1004</v>
      </c>
      <c r="B186" t="s">
        <v>134</v>
      </c>
    </row>
    <row r="187" spans="1:2" x14ac:dyDescent="0.25">
      <c r="A187" t="s">
        <v>1004</v>
      </c>
      <c r="B187" t="s">
        <v>138</v>
      </c>
    </row>
    <row r="188" spans="1:2" x14ac:dyDescent="0.25">
      <c r="A188" t="s">
        <v>1004</v>
      </c>
      <c r="B188" t="s">
        <v>140</v>
      </c>
    </row>
    <row r="189" spans="1:2" x14ac:dyDescent="0.25">
      <c r="A189" t="s">
        <v>1004</v>
      </c>
      <c r="B189" t="s">
        <v>144</v>
      </c>
    </row>
    <row r="190" spans="1:2" x14ac:dyDescent="0.25">
      <c r="A190" t="s">
        <v>1004</v>
      </c>
      <c r="B190" t="s">
        <v>148</v>
      </c>
    </row>
    <row r="191" spans="1:2" x14ac:dyDescent="0.25">
      <c r="A191" t="s">
        <v>1004</v>
      </c>
      <c r="B191" t="s">
        <v>150</v>
      </c>
    </row>
    <row r="192" spans="1:2" x14ac:dyDescent="0.25">
      <c r="A192" t="s">
        <v>1004</v>
      </c>
      <c r="B192" t="s">
        <v>152</v>
      </c>
    </row>
    <row r="193" spans="1:2" x14ac:dyDescent="0.25">
      <c r="A193" t="s">
        <v>1079</v>
      </c>
      <c r="B193" t="s">
        <v>46</v>
      </c>
    </row>
    <row r="194" spans="1:2" x14ac:dyDescent="0.25">
      <c r="A194" t="s">
        <v>1079</v>
      </c>
      <c r="B194" t="s">
        <v>50</v>
      </c>
    </row>
    <row r="195" spans="1:2" x14ac:dyDescent="0.25">
      <c r="A195" t="s">
        <v>1079</v>
      </c>
      <c r="B195" t="s">
        <v>53</v>
      </c>
    </row>
    <row r="196" spans="1:2" x14ac:dyDescent="0.25">
      <c r="A196" t="s">
        <v>1079</v>
      </c>
      <c r="B196" t="s">
        <v>57</v>
      </c>
    </row>
    <row r="197" spans="1:2" x14ac:dyDescent="0.25">
      <c r="A197" t="s">
        <v>1079</v>
      </c>
      <c r="B197" t="s">
        <v>63</v>
      </c>
    </row>
    <row r="198" spans="1:2" x14ac:dyDescent="0.25">
      <c r="A198" t="s">
        <v>1079</v>
      </c>
      <c r="B198" t="s">
        <v>67</v>
      </c>
    </row>
    <row r="199" spans="1:2" x14ac:dyDescent="0.25">
      <c r="A199" t="s">
        <v>1079</v>
      </c>
      <c r="B199" t="s">
        <v>73</v>
      </c>
    </row>
    <row r="200" spans="1:2" x14ac:dyDescent="0.25">
      <c r="A200" t="s">
        <v>1079</v>
      </c>
      <c r="B200" t="s">
        <v>79</v>
      </c>
    </row>
    <row r="201" spans="1:2" x14ac:dyDescent="0.25">
      <c r="A201" t="s">
        <v>1079</v>
      </c>
      <c r="B201" t="s">
        <v>81</v>
      </c>
    </row>
    <row r="202" spans="1:2" x14ac:dyDescent="0.25">
      <c r="A202" t="s">
        <v>1079</v>
      </c>
      <c r="B202" t="s">
        <v>83</v>
      </c>
    </row>
    <row r="203" spans="1:2" x14ac:dyDescent="0.25">
      <c r="A203" t="s">
        <v>1079</v>
      </c>
      <c r="B203" t="s">
        <v>91</v>
      </c>
    </row>
    <row r="204" spans="1:2" x14ac:dyDescent="0.25">
      <c r="A204" t="s">
        <v>1079</v>
      </c>
      <c r="B204" t="s">
        <v>97</v>
      </c>
    </row>
    <row r="205" spans="1:2" x14ac:dyDescent="0.25">
      <c r="A205" t="s">
        <v>1079</v>
      </c>
      <c r="B205" t="s">
        <v>103</v>
      </c>
    </row>
    <row r="206" spans="1:2" x14ac:dyDescent="0.25">
      <c r="A206" t="s">
        <v>1079</v>
      </c>
      <c r="B206" t="s">
        <v>109</v>
      </c>
    </row>
    <row r="207" spans="1:2" x14ac:dyDescent="0.25">
      <c r="A207" t="s">
        <v>1079</v>
      </c>
      <c r="B207" t="s">
        <v>113</v>
      </c>
    </row>
    <row r="208" spans="1:2" x14ac:dyDescent="0.25">
      <c r="A208" t="s">
        <v>1079</v>
      </c>
      <c r="B208" t="s">
        <v>116</v>
      </c>
    </row>
    <row r="209" spans="1:2" x14ac:dyDescent="0.25">
      <c r="A209" t="s">
        <v>1079</v>
      </c>
      <c r="B209" t="s">
        <v>122</v>
      </c>
    </row>
    <row r="210" spans="1:2" x14ac:dyDescent="0.25">
      <c r="A210" t="s">
        <v>1079</v>
      </c>
      <c r="B210" t="s">
        <v>124</v>
      </c>
    </row>
    <row r="211" spans="1:2" x14ac:dyDescent="0.25">
      <c r="A211" t="s">
        <v>1079</v>
      </c>
      <c r="B211" t="s">
        <v>128</v>
      </c>
    </row>
    <row r="212" spans="1:2" x14ac:dyDescent="0.25">
      <c r="A212" t="s">
        <v>1079</v>
      </c>
      <c r="B212" t="s">
        <v>132</v>
      </c>
    </row>
    <row r="213" spans="1:2" x14ac:dyDescent="0.25">
      <c r="A213" t="s">
        <v>1079</v>
      </c>
      <c r="B213" t="s">
        <v>134</v>
      </c>
    </row>
    <row r="214" spans="1:2" x14ac:dyDescent="0.25">
      <c r="A214" t="s">
        <v>1079</v>
      </c>
      <c r="B214" t="s">
        <v>138</v>
      </c>
    </row>
    <row r="215" spans="1:2" x14ac:dyDescent="0.25">
      <c r="A215" t="s">
        <v>1079</v>
      </c>
      <c r="B215" t="s">
        <v>140</v>
      </c>
    </row>
    <row r="216" spans="1:2" x14ac:dyDescent="0.25">
      <c r="A216" t="s">
        <v>1079</v>
      </c>
      <c r="B216" t="s">
        <v>144</v>
      </c>
    </row>
    <row r="217" spans="1:2" x14ac:dyDescent="0.25">
      <c r="A217" t="s">
        <v>1079</v>
      </c>
      <c r="B217" t="s">
        <v>148</v>
      </c>
    </row>
    <row r="218" spans="1:2" x14ac:dyDescent="0.25">
      <c r="A218" t="s">
        <v>1079</v>
      </c>
      <c r="B218" t="s">
        <v>150</v>
      </c>
    </row>
    <row r="219" spans="1:2" x14ac:dyDescent="0.25">
      <c r="A219" t="s">
        <v>1079</v>
      </c>
      <c r="B219" t="s">
        <v>152</v>
      </c>
    </row>
    <row r="220" spans="1:2" x14ac:dyDescent="0.25">
      <c r="A220" t="s">
        <v>2</v>
      </c>
      <c r="B220" t="s">
        <v>154</v>
      </c>
    </row>
    <row r="221" spans="1:2" x14ac:dyDescent="0.25">
      <c r="A221" t="s">
        <v>2</v>
      </c>
      <c r="B221" t="s">
        <v>353</v>
      </c>
    </row>
    <row r="222" spans="1:2" x14ac:dyDescent="0.25">
      <c r="A222" t="s">
        <v>2</v>
      </c>
      <c r="B222" t="s">
        <v>541</v>
      </c>
    </row>
    <row r="223" spans="1:2" x14ac:dyDescent="0.25">
      <c r="A223" t="s">
        <v>2</v>
      </c>
      <c r="B223" t="s">
        <v>4</v>
      </c>
    </row>
    <row r="224" spans="1:2" x14ac:dyDescent="0.25">
      <c r="A224" t="s">
        <v>2</v>
      </c>
      <c r="B224" t="s">
        <v>904</v>
      </c>
    </row>
    <row r="225" spans="1:2" x14ac:dyDescent="0.25">
      <c r="A225" t="s">
        <v>2</v>
      </c>
      <c r="B225" t="s">
        <v>1004</v>
      </c>
    </row>
    <row r="226" spans="1:2" x14ac:dyDescent="0.25">
      <c r="A226" t="s">
        <v>2</v>
      </c>
      <c r="B226" t="s">
        <v>1079</v>
      </c>
    </row>
    <row r="227" spans="1:2" x14ac:dyDescent="0.25">
      <c r="A227" t="s">
        <v>154</v>
      </c>
      <c r="B227" t="s">
        <v>2</v>
      </c>
    </row>
    <row r="228" spans="1:2" x14ac:dyDescent="0.25">
      <c r="A228" t="s">
        <v>154</v>
      </c>
      <c r="B228" t="s">
        <v>353</v>
      </c>
    </row>
    <row r="229" spans="1:2" x14ac:dyDescent="0.25">
      <c r="A229" t="s">
        <v>154</v>
      </c>
      <c r="B229" t="s">
        <v>541</v>
      </c>
    </row>
    <row r="230" spans="1:2" x14ac:dyDescent="0.25">
      <c r="A230" t="s">
        <v>154</v>
      </c>
      <c r="B230" t="s">
        <v>4</v>
      </c>
    </row>
    <row r="231" spans="1:2" x14ac:dyDescent="0.25">
      <c r="A231" t="s">
        <v>154</v>
      </c>
      <c r="B231" t="s">
        <v>904</v>
      </c>
    </row>
    <row r="232" spans="1:2" x14ac:dyDescent="0.25">
      <c r="A232" t="s">
        <v>154</v>
      </c>
      <c r="B232" t="s">
        <v>1004</v>
      </c>
    </row>
    <row r="233" spans="1:2" x14ac:dyDescent="0.25">
      <c r="A233" t="s">
        <v>154</v>
      </c>
      <c r="B233" t="s">
        <v>1079</v>
      </c>
    </row>
    <row r="234" spans="1:2" x14ac:dyDescent="0.25">
      <c r="A234" t="s">
        <v>353</v>
      </c>
      <c r="B234" t="s">
        <v>2</v>
      </c>
    </row>
    <row r="235" spans="1:2" x14ac:dyDescent="0.25">
      <c r="A235" t="s">
        <v>353</v>
      </c>
      <c r="B235" t="s">
        <v>154</v>
      </c>
    </row>
    <row r="236" spans="1:2" x14ac:dyDescent="0.25">
      <c r="A236" t="s">
        <v>353</v>
      </c>
      <c r="B236" t="s">
        <v>541</v>
      </c>
    </row>
    <row r="237" spans="1:2" x14ac:dyDescent="0.25">
      <c r="A237" t="s">
        <v>353</v>
      </c>
      <c r="B237" t="s">
        <v>4</v>
      </c>
    </row>
    <row r="238" spans="1:2" x14ac:dyDescent="0.25">
      <c r="A238" t="s">
        <v>353</v>
      </c>
      <c r="B238" t="s">
        <v>904</v>
      </c>
    </row>
    <row r="239" spans="1:2" x14ac:dyDescent="0.25">
      <c r="A239" t="s">
        <v>353</v>
      </c>
      <c r="B239" t="s">
        <v>1004</v>
      </c>
    </row>
    <row r="240" spans="1:2" x14ac:dyDescent="0.25">
      <c r="A240" t="s">
        <v>353</v>
      </c>
      <c r="B240" t="s">
        <v>1079</v>
      </c>
    </row>
    <row r="241" spans="1:2" x14ac:dyDescent="0.25">
      <c r="A241" t="s">
        <v>541</v>
      </c>
      <c r="B241" t="s">
        <v>2</v>
      </c>
    </row>
    <row r="242" spans="1:2" x14ac:dyDescent="0.25">
      <c r="A242" t="s">
        <v>541</v>
      </c>
      <c r="B242" t="s">
        <v>154</v>
      </c>
    </row>
    <row r="243" spans="1:2" x14ac:dyDescent="0.25">
      <c r="A243" t="s">
        <v>541</v>
      </c>
      <c r="B243" t="s">
        <v>353</v>
      </c>
    </row>
    <row r="244" spans="1:2" x14ac:dyDescent="0.25">
      <c r="A244" t="s">
        <v>541</v>
      </c>
      <c r="B244" t="s">
        <v>4</v>
      </c>
    </row>
    <row r="245" spans="1:2" x14ac:dyDescent="0.25">
      <c r="A245" t="s">
        <v>541</v>
      </c>
      <c r="B245" t="s">
        <v>904</v>
      </c>
    </row>
    <row r="246" spans="1:2" x14ac:dyDescent="0.25">
      <c r="A246" t="s">
        <v>541</v>
      </c>
      <c r="B246" t="s">
        <v>1004</v>
      </c>
    </row>
    <row r="247" spans="1:2" x14ac:dyDescent="0.25">
      <c r="A247" t="s">
        <v>541</v>
      </c>
      <c r="B247" t="s">
        <v>1079</v>
      </c>
    </row>
    <row r="248" spans="1:2" x14ac:dyDescent="0.25">
      <c r="A248" t="s">
        <v>4</v>
      </c>
      <c r="B248" t="s">
        <v>2</v>
      </c>
    </row>
    <row r="249" spans="1:2" x14ac:dyDescent="0.25">
      <c r="A249" t="s">
        <v>4</v>
      </c>
      <c r="B249" t="s">
        <v>154</v>
      </c>
    </row>
    <row r="250" spans="1:2" x14ac:dyDescent="0.25">
      <c r="A250" t="s">
        <v>4</v>
      </c>
      <c r="B250" t="s">
        <v>353</v>
      </c>
    </row>
    <row r="251" spans="1:2" x14ac:dyDescent="0.25">
      <c r="A251" t="s">
        <v>4</v>
      </c>
      <c r="B251" t="s">
        <v>541</v>
      </c>
    </row>
    <row r="252" spans="1:2" x14ac:dyDescent="0.25">
      <c r="A252" t="s">
        <v>4</v>
      </c>
      <c r="B252" t="s">
        <v>904</v>
      </c>
    </row>
    <row r="253" spans="1:2" x14ac:dyDescent="0.25">
      <c r="A253" t="s">
        <v>4</v>
      </c>
      <c r="B253" t="s">
        <v>1004</v>
      </c>
    </row>
    <row r="254" spans="1:2" x14ac:dyDescent="0.25">
      <c r="A254" t="s">
        <v>4</v>
      </c>
      <c r="B254" t="s">
        <v>1079</v>
      </c>
    </row>
    <row r="255" spans="1:2" x14ac:dyDescent="0.25">
      <c r="A255" t="s">
        <v>904</v>
      </c>
      <c r="B255" t="s">
        <v>2</v>
      </c>
    </row>
    <row r="256" spans="1:2" x14ac:dyDescent="0.25">
      <c r="A256" t="s">
        <v>904</v>
      </c>
      <c r="B256" t="s">
        <v>154</v>
      </c>
    </row>
    <row r="257" spans="1:2" x14ac:dyDescent="0.25">
      <c r="A257" t="s">
        <v>904</v>
      </c>
      <c r="B257" t="s">
        <v>353</v>
      </c>
    </row>
    <row r="258" spans="1:2" x14ac:dyDescent="0.25">
      <c r="A258" t="s">
        <v>904</v>
      </c>
      <c r="B258" t="s">
        <v>541</v>
      </c>
    </row>
    <row r="259" spans="1:2" x14ac:dyDescent="0.25">
      <c r="A259" t="s">
        <v>904</v>
      </c>
      <c r="B259" t="s">
        <v>4</v>
      </c>
    </row>
    <row r="260" spans="1:2" x14ac:dyDescent="0.25">
      <c r="A260" t="s">
        <v>904</v>
      </c>
      <c r="B260" t="s">
        <v>1004</v>
      </c>
    </row>
    <row r="261" spans="1:2" x14ac:dyDescent="0.25">
      <c r="A261" t="s">
        <v>904</v>
      </c>
      <c r="B261" t="s">
        <v>1079</v>
      </c>
    </row>
    <row r="262" spans="1:2" x14ac:dyDescent="0.25">
      <c r="A262" t="s">
        <v>1004</v>
      </c>
      <c r="B262" t="s">
        <v>2</v>
      </c>
    </row>
    <row r="263" spans="1:2" x14ac:dyDescent="0.25">
      <c r="A263" t="s">
        <v>1004</v>
      </c>
      <c r="B263" t="s">
        <v>154</v>
      </c>
    </row>
    <row r="264" spans="1:2" x14ac:dyDescent="0.25">
      <c r="A264" t="s">
        <v>1004</v>
      </c>
      <c r="B264" t="s">
        <v>353</v>
      </c>
    </row>
    <row r="265" spans="1:2" x14ac:dyDescent="0.25">
      <c r="A265" t="s">
        <v>1004</v>
      </c>
      <c r="B265" t="s">
        <v>541</v>
      </c>
    </row>
    <row r="266" spans="1:2" x14ac:dyDescent="0.25">
      <c r="A266" t="s">
        <v>1004</v>
      </c>
      <c r="B266" t="s">
        <v>4</v>
      </c>
    </row>
    <row r="267" spans="1:2" x14ac:dyDescent="0.25">
      <c r="A267" t="s">
        <v>1004</v>
      </c>
      <c r="B267" t="s">
        <v>904</v>
      </c>
    </row>
    <row r="268" spans="1:2" x14ac:dyDescent="0.25">
      <c r="A268" t="s">
        <v>1004</v>
      </c>
      <c r="B268" t="s">
        <v>1079</v>
      </c>
    </row>
    <row r="269" spans="1:2" x14ac:dyDescent="0.25">
      <c r="A269" t="s">
        <v>1079</v>
      </c>
      <c r="B269" t="s">
        <v>2</v>
      </c>
    </row>
    <row r="270" spans="1:2" x14ac:dyDescent="0.25">
      <c r="A270" t="s">
        <v>1079</v>
      </c>
      <c r="B270" t="s">
        <v>154</v>
      </c>
    </row>
    <row r="271" spans="1:2" x14ac:dyDescent="0.25">
      <c r="A271" t="s">
        <v>1079</v>
      </c>
      <c r="B271" t="s">
        <v>353</v>
      </c>
    </row>
    <row r="272" spans="1:2" x14ac:dyDescent="0.25">
      <c r="A272" t="s">
        <v>1079</v>
      </c>
      <c r="B272" t="s">
        <v>541</v>
      </c>
    </row>
    <row r="273" spans="1:2" x14ac:dyDescent="0.25">
      <c r="A273" t="s">
        <v>1079</v>
      </c>
      <c r="B273" t="s">
        <v>4</v>
      </c>
    </row>
    <row r="274" spans="1:2" x14ac:dyDescent="0.25">
      <c r="A274" t="s">
        <v>1079</v>
      </c>
      <c r="B274" t="s">
        <v>904</v>
      </c>
    </row>
    <row r="275" spans="1:2" x14ac:dyDescent="0.25">
      <c r="A275" t="s">
        <v>1079</v>
      </c>
      <c r="B275" t="s">
        <v>1004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6"/>
  <sheetViews>
    <sheetView zoomScaleNormal="100" workbookViewId="0"/>
  </sheetViews>
  <sheetFormatPr defaultColWidth="8.7109375" defaultRowHeight="15" x14ac:dyDescent="0.25"/>
  <cols>
    <col min="1" max="2" width="16" customWidth="1"/>
    <col min="4" max="4" width="16" customWidth="1"/>
    <col min="6" max="6" width="16" customWidth="1"/>
  </cols>
  <sheetData>
    <row r="1" spans="1:6" x14ac:dyDescent="0.25">
      <c r="A1" t="s">
        <v>2179</v>
      </c>
      <c r="B1" t="s">
        <v>2180</v>
      </c>
      <c r="D1" t="s">
        <v>2181</v>
      </c>
      <c r="F1" t="s">
        <v>2182</v>
      </c>
    </row>
    <row r="2" spans="1:6" x14ac:dyDescent="0.25">
      <c r="A2" t="s">
        <v>2</v>
      </c>
      <c r="B2" t="s">
        <v>2183</v>
      </c>
      <c r="D2" t="s">
        <v>2</v>
      </c>
      <c r="F2" t="s">
        <v>2</v>
      </c>
    </row>
    <row r="3" spans="1:6" x14ac:dyDescent="0.25">
      <c r="A3" t="s">
        <v>154</v>
      </c>
      <c r="B3" t="s">
        <v>2184</v>
      </c>
      <c r="D3" t="s">
        <v>154</v>
      </c>
      <c r="F3" t="s">
        <v>154</v>
      </c>
    </row>
    <row r="4" spans="1:6" x14ac:dyDescent="0.25">
      <c r="A4" t="s">
        <v>353</v>
      </c>
      <c r="B4" t="s">
        <v>2185</v>
      </c>
      <c r="D4" t="s">
        <v>353</v>
      </c>
      <c r="F4" t="s">
        <v>353</v>
      </c>
    </row>
    <row r="5" spans="1:6" x14ac:dyDescent="0.25">
      <c r="A5" t="s">
        <v>541</v>
      </c>
      <c r="B5" t="s">
        <v>2186</v>
      </c>
      <c r="D5" t="s">
        <v>541</v>
      </c>
      <c r="F5" t="s">
        <v>541</v>
      </c>
    </row>
    <row r="6" spans="1:6" x14ac:dyDescent="0.25">
      <c r="A6" t="s">
        <v>4</v>
      </c>
      <c r="B6" t="s">
        <v>2187</v>
      </c>
      <c r="D6" t="s">
        <v>4</v>
      </c>
      <c r="F6" t="s">
        <v>4</v>
      </c>
    </row>
    <row r="7" spans="1:6" x14ac:dyDescent="0.25">
      <c r="A7" t="s">
        <v>904</v>
      </c>
      <c r="B7" t="s">
        <v>2188</v>
      </c>
      <c r="D7" t="s">
        <v>904</v>
      </c>
      <c r="F7" t="s">
        <v>904</v>
      </c>
    </row>
    <row r="8" spans="1:6" x14ac:dyDescent="0.25">
      <c r="A8" t="s">
        <v>1004</v>
      </c>
      <c r="B8" t="s">
        <v>2189</v>
      </c>
      <c r="D8" t="s">
        <v>1004</v>
      </c>
      <c r="F8" t="s">
        <v>1004</v>
      </c>
    </row>
    <row r="9" spans="1:6" x14ac:dyDescent="0.25">
      <c r="A9" t="s">
        <v>1079</v>
      </c>
      <c r="B9" t="s">
        <v>2190</v>
      </c>
      <c r="D9" t="s">
        <v>1079</v>
      </c>
      <c r="F9" t="s">
        <v>1079</v>
      </c>
    </row>
    <row r="10" spans="1:6" x14ac:dyDescent="0.25">
      <c r="A10" t="s">
        <v>46</v>
      </c>
      <c r="B10" t="s">
        <v>2191</v>
      </c>
      <c r="F10" t="s">
        <v>46</v>
      </c>
    </row>
    <row r="11" spans="1:6" x14ac:dyDescent="0.25">
      <c r="A11" t="s">
        <v>50</v>
      </c>
      <c r="B11" t="s">
        <v>2192</v>
      </c>
      <c r="F11" t="s">
        <v>50</v>
      </c>
    </row>
    <row r="12" spans="1:6" x14ac:dyDescent="0.25">
      <c r="A12" t="s">
        <v>53</v>
      </c>
      <c r="B12" t="s">
        <v>2193</v>
      </c>
      <c r="F12" t="s">
        <v>53</v>
      </c>
    </row>
    <row r="13" spans="1:6" x14ac:dyDescent="0.25">
      <c r="A13" t="s">
        <v>57</v>
      </c>
      <c r="B13" t="s">
        <v>2194</v>
      </c>
      <c r="F13" t="s">
        <v>57</v>
      </c>
    </row>
    <row r="14" spans="1:6" x14ac:dyDescent="0.25">
      <c r="A14" t="s">
        <v>63</v>
      </c>
      <c r="B14" t="s">
        <v>2195</v>
      </c>
      <c r="F14" t="s">
        <v>63</v>
      </c>
    </row>
    <row r="15" spans="1:6" x14ac:dyDescent="0.25">
      <c r="A15" t="s">
        <v>67</v>
      </c>
      <c r="B15" t="s">
        <v>2196</v>
      </c>
      <c r="F15" t="s">
        <v>67</v>
      </c>
    </row>
    <row r="16" spans="1:6" x14ac:dyDescent="0.25">
      <c r="A16" t="s">
        <v>73</v>
      </c>
      <c r="B16" t="s">
        <v>2197</v>
      </c>
      <c r="F16" t="s">
        <v>73</v>
      </c>
    </row>
    <row r="17" spans="1:6" x14ac:dyDescent="0.25">
      <c r="A17" t="s">
        <v>79</v>
      </c>
      <c r="B17" t="s">
        <v>2198</v>
      </c>
      <c r="F17" t="s">
        <v>79</v>
      </c>
    </row>
    <row r="18" spans="1:6" x14ac:dyDescent="0.25">
      <c r="A18" t="s">
        <v>81</v>
      </c>
      <c r="B18" t="s">
        <v>2199</v>
      </c>
      <c r="F18" t="s">
        <v>81</v>
      </c>
    </row>
    <row r="19" spans="1:6" x14ac:dyDescent="0.25">
      <c r="A19" t="s">
        <v>83</v>
      </c>
      <c r="B19" t="s">
        <v>2200</v>
      </c>
      <c r="F19" t="s">
        <v>83</v>
      </c>
    </row>
    <row r="20" spans="1:6" x14ac:dyDescent="0.25">
      <c r="A20" t="s">
        <v>91</v>
      </c>
      <c r="B20" t="s">
        <v>2201</v>
      </c>
      <c r="F20" t="s">
        <v>91</v>
      </c>
    </row>
    <row r="21" spans="1:6" x14ac:dyDescent="0.25">
      <c r="A21" t="s">
        <v>97</v>
      </c>
      <c r="B21" t="s">
        <v>2202</v>
      </c>
      <c r="F21" t="s">
        <v>97</v>
      </c>
    </row>
    <row r="22" spans="1:6" x14ac:dyDescent="0.25">
      <c r="A22" t="s">
        <v>103</v>
      </c>
      <c r="B22" t="s">
        <v>2203</v>
      </c>
      <c r="F22" t="s">
        <v>103</v>
      </c>
    </row>
    <row r="23" spans="1:6" x14ac:dyDescent="0.25">
      <c r="A23" t="s">
        <v>109</v>
      </c>
      <c r="B23" t="s">
        <v>2204</v>
      </c>
      <c r="F23" t="s">
        <v>109</v>
      </c>
    </row>
    <row r="24" spans="1:6" x14ac:dyDescent="0.25">
      <c r="A24" t="s">
        <v>113</v>
      </c>
      <c r="B24" t="s">
        <v>2205</v>
      </c>
      <c r="F24" t="s">
        <v>113</v>
      </c>
    </row>
    <row r="25" spans="1:6" x14ac:dyDescent="0.25">
      <c r="A25" t="s">
        <v>116</v>
      </c>
      <c r="B25" t="s">
        <v>2206</v>
      </c>
      <c r="F25" t="s">
        <v>116</v>
      </c>
    </row>
    <row r="26" spans="1:6" x14ac:dyDescent="0.25">
      <c r="A26" t="s">
        <v>122</v>
      </c>
      <c r="B26" t="s">
        <v>2207</v>
      </c>
      <c r="F26" t="s">
        <v>122</v>
      </c>
    </row>
    <row r="27" spans="1:6" x14ac:dyDescent="0.25">
      <c r="A27" t="s">
        <v>124</v>
      </c>
      <c r="B27" t="s">
        <v>2208</v>
      </c>
      <c r="F27" t="s">
        <v>124</v>
      </c>
    </row>
    <row r="28" spans="1:6" x14ac:dyDescent="0.25">
      <c r="A28" t="s">
        <v>128</v>
      </c>
      <c r="B28" t="s">
        <v>2209</v>
      </c>
      <c r="F28" t="s">
        <v>128</v>
      </c>
    </row>
    <row r="29" spans="1:6" x14ac:dyDescent="0.25">
      <c r="A29" t="s">
        <v>132</v>
      </c>
      <c r="B29" t="s">
        <v>2210</v>
      </c>
      <c r="F29" t="s">
        <v>132</v>
      </c>
    </row>
    <row r="30" spans="1:6" x14ac:dyDescent="0.25">
      <c r="A30" t="s">
        <v>134</v>
      </c>
      <c r="B30" t="s">
        <v>2211</v>
      </c>
      <c r="F30" t="s">
        <v>134</v>
      </c>
    </row>
    <row r="31" spans="1:6" x14ac:dyDescent="0.25">
      <c r="A31" t="s">
        <v>138</v>
      </c>
      <c r="B31" t="s">
        <v>2212</v>
      </c>
      <c r="F31" t="s">
        <v>138</v>
      </c>
    </row>
    <row r="32" spans="1:6" x14ac:dyDescent="0.25">
      <c r="A32" t="s">
        <v>140</v>
      </c>
      <c r="B32" t="s">
        <v>2213</v>
      </c>
      <c r="F32" t="s">
        <v>140</v>
      </c>
    </row>
    <row r="33" spans="1:6" x14ac:dyDescent="0.25">
      <c r="A33" t="s">
        <v>144</v>
      </c>
      <c r="B33" t="s">
        <v>2214</v>
      </c>
      <c r="F33" t="s">
        <v>144</v>
      </c>
    </row>
    <row r="34" spans="1:6" x14ac:dyDescent="0.25">
      <c r="A34" t="s">
        <v>148</v>
      </c>
      <c r="B34" t="s">
        <v>2215</v>
      </c>
      <c r="F34" t="s">
        <v>148</v>
      </c>
    </row>
    <row r="35" spans="1:6" x14ac:dyDescent="0.25">
      <c r="A35" t="s">
        <v>150</v>
      </c>
      <c r="B35" t="s">
        <v>2216</v>
      </c>
      <c r="F35" t="s">
        <v>150</v>
      </c>
    </row>
    <row r="36" spans="1:6" x14ac:dyDescent="0.25">
      <c r="A36" t="s">
        <v>152</v>
      </c>
      <c r="B36" t="s">
        <v>2217</v>
      </c>
      <c r="F36" t="s">
        <v>152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2" customWidth="1"/>
    <col min="3" max="3" width="15" customWidth="1"/>
    <col min="4" max="4" width="10" customWidth="1"/>
    <col min="5" max="6" width="11" customWidth="1"/>
    <col min="7" max="7" width="62" customWidth="1"/>
    <col min="8" max="8" width="11" customWidth="1"/>
    <col min="9" max="9" width="15" customWidth="1"/>
    <col min="10" max="10" width="3" customWidth="1"/>
    <col min="11" max="11" width="95" customWidth="1"/>
  </cols>
  <sheetData>
    <row r="1" spans="1:11" x14ac:dyDescent="0.25">
      <c r="A1" s="14" t="s">
        <v>18</v>
      </c>
      <c r="B1" s="14" t="s">
        <v>2218</v>
      </c>
      <c r="C1" s="14" t="s">
        <v>2219</v>
      </c>
      <c r="D1" s="14" t="s">
        <v>2220</v>
      </c>
      <c r="E1" s="14" t="s">
        <v>2221</v>
      </c>
      <c r="F1" s="14" t="s">
        <v>2222</v>
      </c>
      <c r="G1" s="14" t="s">
        <v>2223</v>
      </c>
      <c r="H1" s="14" t="s">
        <v>2224</v>
      </c>
      <c r="I1" s="14" t="s">
        <v>2225</v>
      </c>
      <c r="K1" s="15" t="s">
        <v>2226</v>
      </c>
    </row>
    <row r="2" spans="1:11" x14ac:dyDescent="0.25">
      <c r="A2" s="16" t="s">
        <v>25</v>
      </c>
      <c r="B2" s="16" t="s">
        <v>2227</v>
      </c>
      <c r="C2" s="16"/>
      <c r="D2" s="16">
        <v>4</v>
      </c>
      <c r="E2" s="17">
        <v>46114</v>
      </c>
      <c r="F2" s="17"/>
      <c r="G2" s="16" t="s">
        <v>2228</v>
      </c>
      <c r="H2" s="16" t="s">
        <v>2229</v>
      </c>
      <c r="I2" s="16" t="s">
        <v>2230</v>
      </c>
      <c r="K2" t="s">
        <v>2231</v>
      </c>
    </row>
    <row r="3" spans="1:11" x14ac:dyDescent="0.25">
      <c r="A3" s="16" t="s">
        <v>2175</v>
      </c>
      <c r="B3" s="16" t="s">
        <v>2227</v>
      </c>
      <c r="C3" s="16"/>
      <c r="D3" s="16">
        <v>5</v>
      </c>
      <c r="E3" s="17">
        <v>46115</v>
      </c>
      <c r="F3" s="17"/>
      <c r="G3" s="16" t="s">
        <v>2232</v>
      </c>
      <c r="H3" s="16" t="s">
        <v>2229</v>
      </c>
      <c r="I3" s="16" t="s">
        <v>2233</v>
      </c>
      <c r="K3" t="s">
        <v>2234</v>
      </c>
    </row>
    <row r="4" spans="1:11" x14ac:dyDescent="0.25">
      <c r="A4" s="16" t="s">
        <v>2175</v>
      </c>
      <c r="B4" s="16" t="s">
        <v>32</v>
      </c>
      <c r="C4" s="16" t="s">
        <v>353</v>
      </c>
      <c r="D4" s="16">
        <v>8</v>
      </c>
      <c r="E4" s="17">
        <v>46254</v>
      </c>
      <c r="F4" s="17"/>
      <c r="G4" s="16" t="s">
        <v>2235</v>
      </c>
      <c r="H4" s="16" t="s">
        <v>2229</v>
      </c>
      <c r="I4" s="16" t="s">
        <v>2236</v>
      </c>
      <c r="K4" t="s">
        <v>2237</v>
      </c>
    </row>
    <row r="5" spans="1:11" x14ac:dyDescent="0.25">
      <c r="A5" s="16" t="s">
        <v>2175</v>
      </c>
      <c r="B5" s="16" t="s">
        <v>33</v>
      </c>
      <c r="C5" s="16" t="s">
        <v>353</v>
      </c>
      <c r="D5" s="16">
        <v>6</v>
      </c>
      <c r="E5" s="17">
        <v>46254</v>
      </c>
      <c r="F5" s="17"/>
      <c r="G5" s="16" t="s">
        <v>2238</v>
      </c>
      <c r="H5" s="16" t="s">
        <v>2229</v>
      </c>
      <c r="I5" s="16" t="s">
        <v>2239</v>
      </c>
      <c r="K5" t="s">
        <v>2240</v>
      </c>
    </row>
    <row r="6" spans="1:11" x14ac:dyDescent="0.25">
      <c r="A6" s="16" t="s">
        <v>2175</v>
      </c>
      <c r="B6" s="16" t="s">
        <v>32</v>
      </c>
      <c r="C6" s="16" t="s">
        <v>2241</v>
      </c>
      <c r="D6" s="16">
        <v>2</v>
      </c>
      <c r="E6" s="17">
        <v>46249</v>
      </c>
      <c r="F6" s="17">
        <v>46341</v>
      </c>
      <c r="G6" s="16" t="s">
        <v>2242</v>
      </c>
      <c r="H6" s="16" t="s">
        <v>2229</v>
      </c>
      <c r="I6" s="16" t="s">
        <v>2243</v>
      </c>
      <c r="K6" t="s">
        <v>2244</v>
      </c>
    </row>
    <row r="7" spans="1:11" x14ac:dyDescent="0.25">
      <c r="A7" s="16" t="s">
        <v>2175</v>
      </c>
      <c r="B7" s="16" t="s">
        <v>2245</v>
      </c>
      <c r="C7" s="16" t="s">
        <v>548</v>
      </c>
      <c r="D7" s="16">
        <v>5</v>
      </c>
      <c r="E7" s="17">
        <v>46241</v>
      </c>
      <c r="F7" s="17">
        <v>46265</v>
      </c>
      <c r="G7" s="16" t="s">
        <v>2246</v>
      </c>
      <c r="H7" s="16" t="s">
        <v>2229</v>
      </c>
      <c r="I7" s="16" t="s">
        <v>2247</v>
      </c>
      <c r="K7" t="s">
        <v>2248</v>
      </c>
    </row>
    <row r="8" spans="1:11" x14ac:dyDescent="0.25">
      <c r="A8" s="16" t="s">
        <v>2175</v>
      </c>
      <c r="B8" s="16" t="s">
        <v>2245</v>
      </c>
      <c r="C8" s="16" t="s">
        <v>641</v>
      </c>
      <c r="D8" s="16">
        <v>5</v>
      </c>
      <c r="E8" s="17">
        <v>46241</v>
      </c>
      <c r="F8" s="17">
        <v>46265</v>
      </c>
      <c r="G8" s="16" t="s">
        <v>2246</v>
      </c>
      <c r="H8" s="16" t="s">
        <v>2229</v>
      </c>
      <c r="I8" s="16" t="s">
        <v>2247</v>
      </c>
      <c r="K8" t="s">
        <v>2249</v>
      </c>
    </row>
    <row r="9" spans="1:11" x14ac:dyDescent="0.25">
      <c r="A9" s="16" t="s">
        <v>2175</v>
      </c>
      <c r="B9" s="16" t="s">
        <v>2245</v>
      </c>
      <c r="C9" s="16" t="s">
        <v>2250</v>
      </c>
      <c r="D9" s="16">
        <v>5</v>
      </c>
      <c r="E9" s="17">
        <v>46241</v>
      </c>
      <c r="F9" s="17">
        <v>46265</v>
      </c>
      <c r="G9" s="16" t="s">
        <v>2246</v>
      </c>
      <c r="H9" s="16" t="s">
        <v>2229</v>
      </c>
      <c r="I9" s="16" t="s">
        <v>2247</v>
      </c>
    </row>
    <row r="10" spans="1:11" x14ac:dyDescent="0.25">
      <c r="A10" s="16" t="s">
        <v>2175</v>
      </c>
      <c r="B10" s="16" t="s">
        <v>2245</v>
      </c>
      <c r="C10" s="16" t="s">
        <v>2251</v>
      </c>
      <c r="D10" s="16">
        <v>5</v>
      </c>
      <c r="E10" s="17">
        <v>46241</v>
      </c>
      <c r="F10" s="17">
        <v>46265</v>
      </c>
      <c r="G10" s="16" t="s">
        <v>2246</v>
      </c>
      <c r="H10" s="16" t="s">
        <v>2229</v>
      </c>
      <c r="I10" s="16" t="s">
        <v>2247</v>
      </c>
    </row>
    <row r="11" spans="1:11" x14ac:dyDescent="0.25">
      <c r="A11" s="16" t="s">
        <v>2175</v>
      </c>
      <c r="B11" s="16" t="s">
        <v>2245</v>
      </c>
      <c r="C11" s="16" t="s">
        <v>2252</v>
      </c>
      <c r="D11" s="16">
        <v>5</v>
      </c>
      <c r="E11" s="17">
        <v>46241</v>
      </c>
      <c r="F11" s="17">
        <v>46265</v>
      </c>
      <c r="G11" s="16" t="s">
        <v>2246</v>
      </c>
      <c r="H11" s="16" t="s">
        <v>2229</v>
      </c>
      <c r="I11" s="16" t="s">
        <v>2247</v>
      </c>
    </row>
    <row r="12" spans="1:11" x14ac:dyDescent="0.25">
      <c r="A12" s="16"/>
      <c r="B12" s="16"/>
      <c r="C12" s="16"/>
      <c r="D12" s="16"/>
      <c r="E12" s="17"/>
      <c r="F12" s="17"/>
      <c r="G12" s="16"/>
      <c r="H12" s="16"/>
      <c r="I12" s="16"/>
    </row>
    <row r="13" spans="1:11" x14ac:dyDescent="0.25">
      <c r="A13" s="16"/>
      <c r="B13" s="16"/>
      <c r="C13" s="16"/>
      <c r="D13" s="16"/>
      <c r="E13" s="17"/>
      <c r="F13" s="17"/>
      <c r="G13" s="16"/>
      <c r="H13" s="16"/>
      <c r="I13" s="16"/>
    </row>
    <row r="14" spans="1:11" x14ac:dyDescent="0.25">
      <c r="A14" s="16"/>
      <c r="B14" s="16"/>
      <c r="C14" s="16"/>
      <c r="D14" s="16"/>
      <c r="E14" s="17"/>
      <c r="F14" s="17"/>
      <c r="G14" s="16"/>
      <c r="H14" s="16"/>
      <c r="I14" s="16"/>
    </row>
    <row r="15" spans="1:11" x14ac:dyDescent="0.25">
      <c r="A15" s="16"/>
      <c r="B15" s="16"/>
      <c r="C15" s="16"/>
      <c r="D15" s="16"/>
      <c r="E15" s="17"/>
      <c r="F15" s="17"/>
      <c r="G15" s="16"/>
      <c r="H15" s="16"/>
      <c r="I15" s="16"/>
    </row>
    <row r="16" spans="1:11" x14ac:dyDescent="0.25">
      <c r="A16" s="16"/>
      <c r="B16" s="16"/>
      <c r="C16" s="16"/>
      <c r="D16" s="16"/>
      <c r="E16" s="17"/>
      <c r="F16" s="17"/>
      <c r="G16" s="16"/>
      <c r="H16" s="16"/>
      <c r="I16" s="16"/>
    </row>
    <row r="17" spans="1:9" x14ac:dyDescent="0.25">
      <c r="A17" s="16"/>
      <c r="B17" s="16"/>
      <c r="C17" s="16"/>
      <c r="D17" s="16"/>
      <c r="E17" s="17"/>
      <c r="F17" s="17"/>
      <c r="G17" s="16"/>
      <c r="H17" s="16"/>
      <c r="I17" s="16"/>
    </row>
    <row r="18" spans="1:9" x14ac:dyDescent="0.25">
      <c r="A18" s="16"/>
      <c r="B18" s="16"/>
      <c r="C18" s="16"/>
      <c r="D18" s="16"/>
      <c r="E18" s="17"/>
      <c r="F18" s="17"/>
      <c r="G18" s="16"/>
      <c r="H18" s="16"/>
      <c r="I18" s="16"/>
    </row>
    <row r="19" spans="1:9" x14ac:dyDescent="0.25">
      <c r="A19" s="16"/>
      <c r="B19" s="16"/>
      <c r="C19" s="16"/>
      <c r="D19" s="16"/>
      <c r="E19" s="17"/>
      <c r="F19" s="17"/>
      <c r="G19" s="16"/>
      <c r="H19" s="16"/>
      <c r="I19" s="16"/>
    </row>
    <row r="20" spans="1:9" x14ac:dyDescent="0.25">
      <c r="A20" s="16"/>
      <c r="B20" s="16"/>
      <c r="C20" s="16"/>
      <c r="D20" s="16"/>
      <c r="E20" s="17"/>
      <c r="F20" s="17"/>
      <c r="G20" s="16"/>
      <c r="H20" s="16"/>
      <c r="I20" s="16"/>
    </row>
    <row r="21" spans="1:9" x14ac:dyDescent="0.25">
      <c r="A21" s="16"/>
      <c r="B21" s="16"/>
      <c r="C21" s="16"/>
      <c r="D21" s="16"/>
      <c r="E21" s="17"/>
      <c r="F21" s="17"/>
      <c r="G21" s="16"/>
      <c r="H21" s="16"/>
      <c r="I21" s="16"/>
    </row>
    <row r="22" spans="1:9" x14ac:dyDescent="0.25">
      <c r="A22" s="16"/>
      <c r="B22" s="16"/>
      <c r="C22" s="16"/>
      <c r="D22" s="16"/>
      <c r="E22" s="17"/>
      <c r="F22" s="17"/>
      <c r="G22" s="16"/>
      <c r="H22" s="16"/>
      <c r="I22" s="16"/>
    </row>
    <row r="23" spans="1:9" x14ac:dyDescent="0.25">
      <c r="A23" s="16"/>
      <c r="B23" s="16"/>
      <c r="C23" s="16"/>
      <c r="D23" s="16"/>
      <c r="E23" s="17"/>
      <c r="F23" s="17"/>
      <c r="G23" s="16"/>
      <c r="H23" s="16"/>
      <c r="I23" s="16"/>
    </row>
    <row r="24" spans="1:9" x14ac:dyDescent="0.25">
      <c r="A24" s="16"/>
      <c r="B24" s="16"/>
      <c r="C24" s="16"/>
      <c r="D24" s="16"/>
      <c r="E24" s="17"/>
      <c r="F24" s="17"/>
      <c r="G24" s="16"/>
      <c r="H24" s="16"/>
      <c r="I24" s="16"/>
    </row>
    <row r="25" spans="1:9" x14ac:dyDescent="0.25">
      <c r="A25" s="16"/>
      <c r="B25" s="16"/>
      <c r="C25" s="16"/>
      <c r="D25" s="16"/>
      <c r="E25" s="17"/>
      <c r="F25" s="17"/>
      <c r="G25" s="16"/>
      <c r="H25" s="16"/>
      <c r="I25" s="16"/>
    </row>
    <row r="26" spans="1:9" x14ac:dyDescent="0.25">
      <c r="A26" s="16"/>
      <c r="B26" s="16"/>
      <c r="C26" s="16"/>
      <c r="D26" s="16"/>
      <c r="E26" s="17"/>
      <c r="F26" s="17"/>
      <c r="G26" s="16"/>
      <c r="H26" s="16"/>
      <c r="I26" s="16"/>
    </row>
    <row r="27" spans="1:9" x14ac:dyDescent="0.25">
      <c r="A27" s="16"/>
      <c r="B27" s="16"/>
      <c r="C27" s="16"/>
      <c r="D27" s="16"/>
      <c r="E27" s="17"/>
      <c r="F27" s="17"/>
      <c r="G27" s="16"/>
      <c r="H27" s="16"/>
      <c r="I27" s="16"/>
    </row>
    <row r="28" spans="1:9" x14ac:dyDescent="0.25">
      <c r="A28" s="16"/>
      <c r="B28" s="16"/>
      <c r="C28" s="16"/>
      <c r="D28" s="16"/>
      <c r="E28" s="17"/>
      <c r="F28" s="17"/>
      <c r="G28" s="16"/>
      <c r="H28" s="16"/>
      <c r="I28" s="16"/>
    </row>
    <row r="29" spans="1:9" x14ac:dyDescent="0.25">
      <c r="A29" s="16"/>
      <c r="B29" s="16"/>
      <c r="C29" s="16"/>
      <c r="D29" s="16"/>
      <c r="E29" s="17"/>
      <c r="F29" s="17"/>
      <c r="G29" s="16"/>
      <c r="H29" s="16"/>
      <c r="I29" s="16"/>
    </row>
    <row r="30" spans="1:9" x14ac:dyDescent="0.25">
      <c r="A30" s="16"/>
      <c r="B30" s="16"/>
      <c r="C30" s="16"/>
      <c r="D30" s="16"/>
      <c r="E30" s="17"/>
      <c r="F30" s="17"/>
      <c r="G30" s="16"/>
      <c r="H30" s="16"/>
      <c r="I30" s="16"/>
    </row>
    <row r="31" spans="1:9" x14ac:dyDescent="0.25">
      <c r="A31" s="16"/>
      <c r="B31" s="16"/>
      <c r="C31" s="16"/>
      <c r="D31" s="16"/>
      <c r="E31" s="17"/>
      <c r="F31" s="17"/>
      <c r="G31" s="16"/>
      <c r="H31" s="16"/>
      <c r="I31" s="16"/>
    </row>
    <row r="32" spans="1:9" x14ac:dyDescent="0.25">
      <c r="A32" s="16"/>
      <c r="B32" s="16"/>
      <c r="C32" s="16"/>
      <c r="D32" s="16"/>
      <c r="E32" s="17"/>
      <c r="F32" s="17"/>
      <c r="G32" s="16"/>
      <c r="H32" s="16"/>
      <c r="I32" s="16"/>
    </row>
    <row r="33" spans="1:9" x14ac:dyDescent="0.25">
      <c r="A33" s="16"/>
      <c r="B33" s="16"/>
      <c r="C33" s="16"/>
      <c r="D33" s="16"/>
      <c r="E33" s="17"/>
      <c r="F33" s="17"/>
      <c r="G33" s="16"/>
      <c r="H33" s="16"/>
      <c r="I33" s="16"/>
    </row>
    <row r="34" spans="1:9" x14ac:dyDescent="0.25">
      <c r="A34" s="16"/>
      <c r="B34" s="16"/>
      <c r="C34" s="16"/>
      <c r="D34" s="16"/>
      <c r="E34" s="17"/>
      <c r="F34" s="17"/>
      <c r="G34" s="16"/>
      <c r="H34" s="16"/>
      <c r="I34" s="16"/>
    </row>
    <row r="35" spans="1:9" x14ac:dyDescent="0.25">
      <c r="A35" s="16"/>
      <c r="B35" s="16"/>
      <c r="C35" s="16"/>
      <c r="D35" s="16"/>
      <c r="E35" s="17"/>
      <c r="F35" s="17"/>
      <c r="G35" s="16"/>
      <c r="H35" s="16"/>
      <c r="I35" s="16"/>
    </row>
    <row r="36" spans="1:9" x14ac:dyDescent="0.25">
      <c r="A36" s="16"/>
      <c r="B36" s="16"/>
      <c r="C36" s="16"/>
      <c r="D36" s="16"/>
      <c r="E36" s="17"/>
      <c r="F36" s="17"/>
      <c r="G36" s="16"/>
      <c r="H36" s="16"/>
      <c r="I36" s="16"/>
    </row>
    <row r="37" spans="1:9" x14ac:dyDescent="0.25">
      <c r="A37" s="16"/>
      <c r="B37" s="16"/>
      <c r="C37" s="16"/>
      <c r="D37" s="16"/>
      <c r="E37" s="17"/>
      <c r="F37" s="17"/>
      <c r="G37" s="16"/>
      <c r="H37" s="16"/>
      <c r="I37" s="16"/>
    </row>
    <row r="38" spans="1:9" x14ac:dyDescent="0.25">
      <c r="A38" s="16"/>
      <c r="B38" s="16"/>
      <c r="C38" s="16"/>
      <c r="D38" s="16"/>
      <c r="E38" s="17"/>
      <c r="F38" s="17"/>
      <c r="G38" s="16"/>
      <c r="H38" s="16"/>
      <c r="I38" s="16"/>
    </row>
    <row r="39" spans="1:9" x14ac:dyDescent="0.25">
      <c r="A39" s="16"/>
      <c r="B39" s="16"/>
      <c r="C39" s="16"/>
      <c r="D39" s="16"/>
      <c r="E39" s="17"/>
      <c r="F39" s="17"/>
      <c r="G39" s="16"/>
      <c r="H39" s="16"/>
      <c r="I39" s="16"/>
    </row>
    <row r="40" spans="1:9" x14ac:dyDescent="0.25">
      <c r="A40" s="16"/>
      <c r="B40" s="16"/>
      <c r="C40" s="16"/>
      <c r="D40" s="16"/>
      <c r="E40" s="17"/>
      <c r="F40" s="17"/>
      <c r="G40" s="16"/>
      <c r="H40" s="16"/>
      <c r="I40" s="16"/>
    </row>
    <row r="41" spans="1:9" x14ac:dyDescent="0.25">
      <c r="A41" s="16"/>
      <c r="B41" s="16"/>
      <c r="C41" s="16"/>
      <c r="D41" s="16"/>
      <c r="E41" s="17"/>
      <c r="F41" s="17"/>
      <c r="G41" s="16"/>
      <c r="H41" s="16"/>
      <c r="I41" s="16"/>
    </row>
    <row r="42" spans="1:9" x14ac:dyDescent="0.25">
      <c r="A42" s="16"/>
      <c r="B42" s="16"/>
      <c r="C42" s="16"/>
      <c r="D42" s="16"/>
      <c r="E42" s="17"/>
      <c r="F42" s="17"/>
      <c r="G42" s="16"/>
      <c r="H42" s="16"/>
      <c r="I42" s="16"/>
    </row>
    <row r="43" spans="1:9" x14ac:dyDescent="0.25">
      <c r="A43" s="16"/>
      <c r="B43" s="16"/>
      <c r="C43" s="16"/>
      <c r="D43" s="16"/>
      <c r="E43" s="17"/>
      <c r="F43" s="17"/>
      <c r="G43" s="16"/>
      <c r="H43" s="16"/>
      <c r="I43" s="16"/>
    </row>
    <row r="44" spans="1:9" x14ac:dyDescent="0.25">
      <c r="A44" s="16"/>
      <c r="B44" s="16"/>
      <c r="C44" s="16"/>
      <c r="D44" s="16"/>
      <c r="E44" s="17"/>
      <c r="F44" s="17"/>
      <c r="G44" s="16"/>
      <c r="H44" s="16"/>
      <c r="I44" s="16"/>
    </row>
    <row r="45" spans="1:9" x14ac:dyDescent="0.25">
      <c r="A45" s="16"/>
      <c r="B45" s="16"/>
      <c r="C45" s="16"/>
      <c r="D45" s="16"/>
      <c r="E45" s="17"/>
      <c r="F45" s="17"/>
      <c r="G45" s="16"/>
      <c r="H45" s="16"/>
      <c r="I45" s="16"/>
    </row>
    <row r="46" spans="1:9" x14ac:dyDescent="0.25">
      <c r="A46" s="16"/>
      <c r="B46" s="16"/>
      <c r="C46" s="16"/>
      <c r="D46" s="16"/>
      <c r="E46" s="17"/>
      <c r="F46" s="17"/>
      <c r="G46" s="16"/>
      <c r="H46" s="16"/>
      <c r="I46" s="16"/>
    </row>
    <row r="47" spans="1:9" x14ac:dyDescent="0.25">
      <c r="A47" s="16"/>
      <c r="B47" s="16"/>
      <c r="C47" s="16"/>
      <c r="D47" s="16"/>
      <c r="E47" s="17"/>
      <c r="F47" s="17"/>
      <c r="G47" s="16"/>
      <c r="H47" s="16"/>
      <c r="I47" s="16"/>
    </row>
    <row r="48" spans="1:9" x14ac:dyDescent="0.25">
      <c r="A48" s="16"/>
      <c r="B48" s="16"/>
      <c r="C48" s="16"/>
      <c r="D48" s="16"/>
      <c r="E48" s="17"/>
      <c r="F48" s="17"/>
      <c r="G48" s="16"/>
      <c r="H48" s="16"/>
      <c r="I48" s="16"/>
    </row>
    <row r="49" spans="1:9" x14ac:dyDescent="0.25">
      <c r="A49" s="16"/>
      <c r="B49" s="16"/>
      <c r="C49" s="16"/>
      <c r="D49" s="16"/>
      <c r="E49" s="17"/>
      <c r="F49" s="17"/>
      <c r="G49" s="16"/>
      <c r="H49" s="16"/>
      <c r="I49" s="16"/>
    </row>
    <row r="50" spans="1:9" x14ac:dyDescent="0.25">
      <c r="A50" s="16"/>
      <c r="B50" s="16"/>
      <c r="C50" s="16"/>
      <c r="D50" s="16"/>
      <c r="E50" s="17"/>
      <c r="F50" s="17"/>
      <c r="G50" s="16"/>
      <c r="H50" s="16"/>
      <c r="I50" s="16"/>
    </row>
    <row r="51" spans="1:9" x14ac:dyDescent="0.25">
      <c r="A51" s="16"/>
      <c r="B51" s="16"/>
      <c r="C51" s="16"/>
      <c r="D51" s="16"/>
      <c r="E51" s="17"/>
      <c r="F51" s="17"/>
      <c r="G51" s="16"/>
      <c r="H51" s="16"/>
      <c r="I51" s="16"/>
    </row>
    <row r="52" spans="1:9" x14ac:dyDescent="0.25">
      <c r="A52" s="16"/>
      <c r="B52" s="16"/>
      <c r="C52" s="16"/>
      <c r="D52" s="16"/>
      <c r="E52" s="17"/>
      <c r="F52" s="17"/>
      <c r="G52" s="16"/>
      <c r="H52" s="16"/>
      <c r="I52" s="16"/>
    </row>
    <row r="53" spans="1:9" x14ac:dyDescent="0.25">
      <c r="A53" s="16"/>
      <c r="B53" s="16"/>
      <c r="C53" s="16"/>
      <c r="D53" s="16"/>
      <c r="E53" s="17"/>
      <c r="F53" s="17"/>
      <c r="G53" s="16"/>
      <c r="H53" s="16"/>
      <c r="I53" s="16"/>
    </row>
    <row r="54" spans="1:9" x14ac:dyDescent="0.25">
      <c r="A54" s="16"/>
      <c r="B54" s="16"/>
      <c r="C54" s="16"/>
      <c r="D54" s="16"/>
      <c r="E54" s="17"/>
      <c r="F54" s="17"/>
      <c r="G54" s="16"/>
      <c r="H54" s="16"/>
      <c r="I54" s="16"/>
    </row>
    <row r="55" spans="1:9" x14ac:dyDescent="0.25">
      <c r="A55" s="16"/>
      <c r="B55" s="16"/>
      <c r="C55" s="16"/>
      <c r="D55" s="16"/>
      <c r="E55" s="17"/>
      <c r="F55" s="17"/>
      <c r="G55" s="16"/>
      <c r="H55" s="16"/>
      <c r="I55" s="16"/>
    </row>
    <row r="56" spans="1:9" x14ac:dyDescent="0.25">
      <c r="A56" s="16"/>
      <c r="B56" s="16"/>
      <c r="C56" s="16"/>
      <c r="D56" s="16"/>
      <c r="E56" s="17"/>
      <c r="F56" s="17"/>
      <c r="G56" s="16"/>
      <c r="H56" s="16"/>
      <c r="I56" s="16"/>
    </row>
    <row r="57" spans="1:9" x14ac:dyDescent="0.25">
      <c r="A57" s="16"/>
      <c r="B57" s="16"/>
      <c r="C57" s="16"/>
      <c r="D57" s="16"/>
      <c r="E57" s="17"/>
      <c r="F57" s="17"/>
      <c r="G57" s="16"/>
      <c r="H57" s="16"/>
      <c r="I57" s="16"/>
    </row>
    <row r="58" spans="1:9" x14ac:dyDescent="0.25">
      <c r="A58" s="16"/>
      <c r="B58" s="16"/>
      <c r="C58" s="16"/>
      <c r="D58" s="16"/>
      <c r="E58" s="17"/>
      <c r="F58" s="17"/>
      <c r="G58" s="16"/>
      <c r="H58" s="16"/>
      <c r="I58" s="16"/>
    </row>
    <row r="59" spans="1:9" x14ac:dyDescent="0.25">
      <c r="A59" s="16"/>
      <c r="B59" s="16"/>
      <c r="C59" s="16"/>
      <c r="D59" s="16"/>
      <c r="E59" s="17"/>
      <c r="F59" s="17"/>
      <c r="G59" s="16"/>
      <c r="H59" s="16"/>
      <c r="I59" s="16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63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6" hidden="1" customWidth="1"/>
    <col min="2" max="2" width="8" customWidth="1"/>
    <col min="3" max="4" width="11" customWidth="1"/>
    <col min="5" max="5" width="10" customWidth="1"/>
    <col min="6" max="7" width="9" customWidth="1"/>
    <col min="8" max="8" width="13" customWidth="1"/>
    <col min="9" max="9" width="8" customWidth="1"/>
    <col min="10" max="15" width="7" customWidth="1"/>
    <col min="16" max="16" width="18" customWidth="1"/>
    <col min="17" max="17" width="45" customWidth="1"/>
    <col min="18" max="18" width="48" customWidth="1"/>
    <col min="19" max="19" width="10" customWidth="1"/>
    <col min="20" max="20" width="80" customWidth="1"/>
    <col min="21" max="21" width="40" customWidth="1"/>
    <col min="23" max="23" width="18" customWidth="1"/>
    <col min="24" max="24" width="40" customWidth="1"/>
  </cols>
  <sheetData>
    <row r="1" spans="1:24" ht="27" x14ac:dyDescent="0.25">
      <c r="A1" s="18" t="s">
        <v>2253</v>
      </c>
      <c r="B1" s="18" t="s">
        <v>32</v>
      </c>
      <c r="C1" s="18" t="s">
        <v>33</v>
      </c>
      <c r="D1" s="18" t="s">
        <v>18</v>
      </c>
      <c r="E1" s="18" t="s">
        <v>35</v>
      </c>
      <c r="F1" s="18" t="s">
        <v>36</v>
      </c>
      <c r="G1" s="18" t="s">
        <v>2254</v>
      </c>
      <c r="H1" s="18" t="s">
        <v>2255</v>
      </c>
      <c r="I1" s="18" t="s">
        <v>2256</v>
      </c>
      <c r="J1" s="18" t="s">
        <v>2257</v>
      </c>
      <c r="K1" s="18" t="s">
        <v>2258</v>
      </c>
      <c r="L1" s="18" t="s">
        <v>2259</v>
      </c>
      <c r="M1" s="18" t="s">
        <v>2260</v>
      </c>
      <c r="N1" s="18" t="s">
        <v>2261</v>
      </c>
      <c r="O1" s="18" t="s">
        <v>2262</v>
      </c>
      <c r="P1" s="18" t="s">
        <v>2263</v>
      </c>
      <c r="Q1" s="18" t="s">
        <v>2264</v>
      </c>
      <c r="R1" s="18" t="s">
        <v>2265</v>
      </c>
      <c r="S1" s="18" t="s">
        <v>2266</v>
      </c>
      <c r="T1" s="18" t="s">
        <v>2267</v>
      </c>
      <c r="U1" s="18" t="s">
        <v>2268</v>
      </c>
      <c r="W1" s="19" t="s">
        <v>2269</v>
      </c>
    </row>
    <row r="2" spans="1:24" x14ac:dyDescent="0.25">
      <c r="A2" t="s">
        <v>2270</v>
      </c>
      <c r="B2" t="s">
        <v>2</v>
      </c>
      <c r="C2" t="s">
        <v>46</v>
      </c>
      <c r="D2" t="s">
        <v>24</v>
      </c>
      <c r="E2" t="s">
        <v>48</v>
      </c>
      <c r="F2" t="s">
        <v>49</v>
      </c>
      <c r="G2" t="s">
        <v>2271</v>
      </c>
      <c r="H2" s="20">
        <v>46250</v>
      </c>
      <c r="I2">
        <v>1800</v>
      </c>
      <c r="J2">
        <v>61</v>
      </c>
      <c r="K2">
        <v>49</v>
      </c>
      <c r="L2">
        <v>43</v>
      </c>
      <c r="P2" t="s">
        <v>2272</v>
      </c>
      <c r="R2" t="s">
        <v>2273</v>
      </c>
      <c r="S2">
        <v>4</v>
      </c>
      <c r="T2" t="s">
        <v>2274</v>
      </c>
      <c r="U2" t="s">
        <v>2275</v>
      </c>
      <c r="W2" s="15" t="s">
        <v>2276</v>
      </c>
      <c r="X2" s="21">
        <v>46294.222222222219</v>
      </c>
    </row>
    <row r="3" spans="1:24" x14ac:dyDescent="0.25">
      <c r="A3" t="s">
        <v>2277</v>
      </c>
      <c r="B3" t="s">
        <v>2</v>
      </c>
      <c r="C3" t="s">
        <v>53</v>
      </c>
      <c r="D3" t="s">
        <v>24</v>
      </c>
      <c r="E3" t="s">
        <v>55</v>
      </c>
      <c r="F3" t="s">
        <v>56</v>
      </c>
      <c r="G3" t="s">
        <v>2271</v>
      </c>
      <c r="H3" s="20">
        <v>46250</v>
      </c>
      <c r="I3">
        <v>1800</v>
      </c>
      <c r="J3">
        <v>66</v>
      </c>
      <c r="K3">
        <v>54</v>
      </c>
      <c r="L3">
        <v>47</v>
      </c>
      <c r="P3" t="s">
        <v>2272</v>
      </c>
      <c r="R3" t="s">
        <v>2273</v>
      </c>
      <c r="S3">
        <v>4</v>
      </c>
      <c r="T3" t="s">
        <v>2274</v>
      </c>
      <c r="U3" t="s">
        <v>2275</v>
      </c>
      <c r="W3" s="15" t="s">
        <v>2278</v>
      </c>
      <c r="X3" s="20">
        <v>46294</v>
      </c>
    </row>
    <row r="4" spans="1:24" x14ac:dyDescent="0.25">
      <c r="A4" t="s">
        <v>2279</v>
      </c>
      <c r="B4" t="s">
        <v>2</v>
      </c>
      <c r="C4" t="s">
        <v>57</v>
      </c>
      <c r="D4" t="s">
        <v>24</v>
      </c>
      <c r="E4" t="s">
        <v>59</v>
      </c>
      <c r="F4" t="s">
        <v>60</v>
      </c>
      <c r="G4" t="s">
        <v>2271</v>
      </c>
      <c r="H4" s="20">
        <v>46250</v>
      </c>
      <c r="I4">
        <v>1800</v>
      </c>
      <c r="J4">
        <v>64</v>
      </c>
      <c r="K4">
        <v>52</v>
      </c>
      <c r="L4">
        <v>45</v>
      </c>
      <c r="P4" t="s">
        <v>2272</v>
      </c>
      <c r="R4" t="s">
        <v>2273</v>
      </c>
      <c r="S4">
        <v>4</v>
      </c>
      <c r="T4" t="s">
        <v>2274</v>
      </c>
      <c r="U4" t="s">
        <v>2275</v>
      </c>
      <c r="W4" s="15" t="s">
        <v>2280</v>
      </c>
      <c r="X4" s="20">
        <v>46250</v>
      </c>
    </row>
    <row r="5" spans="1:24" x14ac:dyDescent="0.25">
      <c r="A5" t="s">
        <v>2281</v>
      </c>
      <c r="B5" t="s">
        <v>2</v>
      </c>
      <c r="C5" t="s">
        <v>57</v>
      </c>
      <c r="D5" t="s">
        <v>24</v>
      </c>
      <c r="E5" t="s">
        <v>61</v>
      </c>
      <c r="F5" t="s">
        <v>62</v>
      </c>
      <c r="G5" t="s">
        <v>2271</v>
      </c>
      <c r="H5" s="20">
        <v>46250</v>
      </c>
      <c r="I5">
        <v>1800</v>
      </c>
      <c r="J5">
        <v>64</v>
      </c>
      <c r="K5">
        <v>52</v>
      </c>
      <c r="L5">
        <v>45</v>
      </c>
      <c r="P5" t="s">
        <v>2272</v>
      </c>
      <c r="R5" t="s">
        <v>2273</v>
      </c>
      <c r="S5">
        <v>4</v>
      </c>
      <c r="T5" t="s">
        <v>2274</v>
      </c>
      <c r="U5" t="s">
        <v>2275</v>
      </c>
      <c r="W5" s="15" t="s">
        <v>2282</v>
      </c>
      <c r="X5" t="s">
        <v>2283</v>
      </c>
    </row>
    <row r="6" spans="1:24" x14ac:dyDescent="0.25">
      <c r="A6" t="s">
        <v>2284</v>
      </c>
      <c r="B6" t="s">
        <v>2</v>
      </c>
      <c r="C6" t="s">
        <v>63</v>
      </c>
      <c r="D6" t="s">
        <v>24</v>
      </c>
      <c r="E6" t="s">
        <v>65</v>
      </c>
      <c r="F6" t="s">
        <v>66</v>
      </c>
      <c r="G6" t="s">
        <v>2271</v>
      </c>
      <c r="H6" s="20">
        <v>46250</v>
      </c>
      <c r="I6">
        <v>1800</v>
      </c>
      <c r="J6">
        <v>79</v>
      </c>
      <c r="P6" t="s">
        <v>2272</v>
      </c>
      <c r="R6" t="s">
        <v>2273</v>
      </c>
      <c r="S6">
        <v>4</v>
      </c>
      <c r="T6" t="s">
        <v>2274</v>
      </c>
      <c r="U6" t="s">
        <v>2275</v>
      </c>
      <c r="W6" s="15" t="s">
        <v>2285</v>
      </c>
      <c r="X6" s="20">
        <v>46254</v>
      </c>
    </row>
    <row r="7" spans="1:24" x14ac:dyDescent="0.25">
      <c r="A7" t="s">
        <v>2286</v>
      </c>
      <c r="B7" t="s">
        <v>2</v>
      </c>
      <c r="C7" t="s">
        <v>67</v>
      </c>
      <c r="D7" t="s">
        <v>24</v>
      </c>
      <c r="E7" t="s">
        <v>69</v>
      </c>
      <c r="F7" t="s">
        <v>70</v>
      </c>
      <c r="G7" t="s">
        <v>2271</v>
      </c>
      <c r="H7" s="20">
        <v>46250</v>
      </c>
      <c r="I7">
        <v>1800</v>
      </c>
      <c r="J7">
        <v>64</v>
      </c>
      <c r="K7">
        <v>52</v>
      </c>
      <c r="L7">
        <v>45</v>
      </c>
      <c r="P7" t="s">
        <v>2272</v>
      </c>
      <c r="R7" t="s">
        <v>2273</v>
      </c>
      <c r="S7">
        <v>4</v>
      </c>
      <c r="T7" t="s">
        <v>2274</v>
      </c>
      <c r="U7" t="s">
        <v>2275</v>
      </c>
      <c r="W7" s="15" t="s">
        <v>2287</v>
      </c>
      <c r="X7" t="s">
        <v>2288</v>
      </c>
    </row>
    <row r="8" spans="1:24" x14ac:dyDescent="0.25">
      <c r="A8" t="s">
        <v>2289</v>
      </c>
      <c r="B8" t="s">
        <v>2</v>
      </c>
      <c r="C8" t="s">
        <v>67</v>
      </c>
      <c r="D8" t="s">
        <v>24</v>
      </c>
      <c r="E8" t="s">
        <v>71</v>
      </c>
      <c r="F8" t="s">
        <v>72</v>
      </c>
      <c r="G8" t="s">
        <v>2271</v>
      </c>
      <c r="H8" s="20">
        <v>46250</v>
      </c>
      <c r="I8">
        <v>1800</v>
      </c>
      <c r="J8">
        <v>64</v>
      </c>
      <c r="K8">
        <v>52</v>
      </c>
      <c r="L8">
        <v>45</v>
      </c>
      <c r="P8" t="s">
        <v>2272</v>
      </c>
      <c r="R8" t="s">
        <v>2273</v>
      </c>
      <c r="S8">
        <v>4</v>
      </c>
      <c r="T8" t="s">
        <v>2274</v>
      </c>
      <c r="U8" t="s">
        <v>2275</v>
      </c>
    </row>
    <row r="9" spans="1:24" x14ac:dyDescent="0.25">
      <c r="A9" t="s">
        <v>2290</v>
      </c>
      <c r="B9" t="s">
        <v>2</v>
      </c>
      <c r="C9" t="s">
        <v>73</v>
      </c>
      <c r="D9" t="s">
        <v>26</v>
      </c>
      <c r="E9" t="s">
        <v>75</v>
      </c>
      <c r="F9" t="s">
        <v>76</v>
      </c>
      <c r="H9" s="20"/>
      <c r="P9" t="s">
        <v>2291</v>
      </c>
      <c r="R9" t="s">
        <v>2292</v>
      </c>
    </row>
    <row r="10" spans="1:24" x14ac:dyDescent="0.25">
      <c r="A10" t="s">
        <v>2293</v>
      </c>
      <c r="B10" t="s">
        <v>2</v>
      </c>
      <c r="C10" t="s">
        <v>73</v>
      </c>
      <c r="D10" t="s">
        <v>26</v>
      </c>
      <c r="E10" t="s">
        <v>77</v>
      </c>
      <c r="F10" t="s">
        <v>78</v>
      </c>
      <c r="H10" s="20"/>
      <c r="P10" t="s">
        <v>2291</v>
      </c>
      <c r="R10" t="s">
        <v>2292</v>
      </c>
    </row>
    <row r="11" spans="1:24" x14ac:dyDescent="0.25">
      <c r="A11" t="s">
        <v>2294</v>
      </c>
      <c r="B11" t="s">
        <v>2</v>
      </c>
      <c r="C11" t="s">
        <v>83</v>
      </c>
      <c r="D11" t="s">
        <v>24</v>
      </c>
      <c r="E11" t="s">
        <v>85</v>
      </c>
      <c r="F11" t="s">
        <v>86</v>
      </c>
      <c r="G11" t="s">
        <v>2271</v>
      </c>
      <c r="H11" s="20">
        <v>46250</v>
      </c>
      <c r="I11">
        <v>1800</v>
      </c>
      <c r="J11">
        <v>64</v>
      </c>
      <c r="K11">
        <v>52</v>
      </c>
      <c r="L11">
        <v>45</v>
      </c>
      <c r="P11" t="s">
        <v>2272</v>
      </c>
      <c r="R11" t="s">
        <v>2273</v>
      </c>
      <c r="S11">
        <v>4</v>
      </c>
      <c r="T11" t="s">
        <v>2274</v>
      </c>
      <c r="U11" t="s">
        <v>2275</v>
      </c>
    </row>
    <row r="12" spans="1:24" x14ac:dyDescent="0.25">
      <c r="A12" t="s">
        <v>2295</v>
      </c>
      <c r="B12" t="s">
        <v>2</v>
      </c>
      <c r="C12" t="s">
        <v>83</v>
      </c>
      <c r="D12" t="s">
        <v>24</v>
      </c>
      <c r="E12" t="s">
        <v>87</v>
      </c>
      <c r="F12" t="s">
        <v>88</v>
      </c>
      <c r="G12" t="s">
        <v>2271</v>
      </c>
      <c r="H12" s="20">
        <v>46250</v>
      </c>
      <c r="I12">
        <v>1800</v>
      </c>
      <c r="J12">
        <v>64</v>
      </c>
      <c r="K12">
        <v>52</v>
      </c>
      <c r="L12">
        <v>45</v>
      </c>
      <c r="P12" t="s">
        <v>2272</v>
      </c>
      <c r="R12" t="s">
        <v>2273</v>
      </c>
      <c r="S12">
        <v>4</v>
      </c>
      <c r="T12" t="s">
        <v>2274</v>
      </c>
      <c r="U12" t="s">
        <v>2275</v>
      </c>
    </row>
    <row r="13" spans="1:24" x14ac:dyDescent="0.25">
      <c r="A13" t="s">
        <v>2296</v>
      </c>
      <c r="B13" t="s">
        <v>2</v>
      </c>
      <c r="C13" t="s">
        <v>83</v>
      </c>
      <c r="D13" t="s">
        <v>24</v>
      </c>
      <c r="E13" t="s">
        <v>89</v>
      </c>
      <c r="F13" t="s">
        <v>90</v>
      </c>
      <c r="G13" t="s">
        <v>2271</v>
      </c>
      <c r="H13" s="20">
        <v>46250</v>
      </c>
      <c r="I13">
        <v>1800</v>
      </c>
      <c r="J13">
        <v>64</v>
      </c>
      <c r="K13">
        <v>52</v>
      </c>
      <c r="L13">
        <v>45</v>
      </c>
      <c r="P13" t="s">
        <v>2272</v>
      </c>
      <c r="R13" t="s">
        <v>2273</v>
      </c>
      <c r="S13">
        <v>4</v>
      </c>
      <c r="T13" t="s">
        <v>2274</v>
      </c>
      <c r="U13" t="s">
        <v>2275</v>
      </c>
    </row>
    <row r="14" spans="1:24" x14ac:dyDescent="0.25">
      <c r="A14" t="s">
        <v>2297</v>
      </c>
      <c r="B14" t="s">
        <v>2</v>
      </c>
      <c r="C14" t="s">
        <v>91</v>
      </c>
      <c r="D14" t="s">
        <v>24</v>
      </c>
      <c r="E14" t="s">
        <v>93</v>
      </c>
      <c r="F14" t="s">
        <v>94</v>
      </c>
      <c r="G14" t="s">
        <v>2271</v>
      </c>
      <c r="H14" s="20">
        <v>46250</v>
      </c>
      <c r="I14">
        <v>1800</v>
      </c>
      <c r="J14">
        <v>64</v>
      </c>
      <c r="K14">
        <v>52</v>
      </c>
      <c r="L14">
        <v>45</v>
      </c>
      <c r="P14" t="s">
        <v>2272</v>
      </c>
      <c r="R14" t="s">
        <v>2273</v>
      </c>
      <c r="S14">
        <v>4</v>
      </c>
      <c r="T14" t="s">
        <v>2274</v>
      </c>
      <c r="U14" t="s">
        <v>2275</v>
      </c>
    </row>
    <row r="15" spans="1:24" x14ac:dyDescent="0.25">
      <c r="A15" t="s">
        <v>2298</v>
      </c>
      <c r="B15" t="s">
        <v>2</v>
      </c>
      <c r="C15" t="s">
        <v>91</v>
      </c>
      <c r="D15" t="s">
        <v>24</v>
      </c>
      <c r="E15" t="s">
        <v>95</v>
      </c>
      <c r="F15" t="s">
        <v>96</v>
      </c>
      <c r="G15" t="s">
        <v>2271</v>
      </c>
      <c r="H15" s="20">
        <v>46250</v>
      </c>
      <c r="I15">
        <v>1800</v>
      </c>
      <c r="J15">
        <v>64</v>
      </c>
      <c r="K15">
        <v>52</v>
      </c>
      <c r="L15">
        <v>45</v>
      </c>
      <c r="P15" t="s">
        <v>2272</v>
      </c>
      <c r="R15" t="s">
        <v>2273</v>
      </c>
      <c r="S15">
        <v>4</v>
      </c>
      <c r="T15" t="s">
        <v>2274</v>
      </c>
      <c r="U15" t="s">
        <v>2275</v>
      </c>
    </row>
    <row r="16" spans="1:24" x14ac:dyDescent="0.25">
      <c r="A16" t="s">
        <v>2299</v>
      </c>
      <c r="B16" t="s">
        <v>2</v>
      </c>
      <c r="C16" t="s">
        <v>97</v>
      </c>
      <c r="D16" t="s">
        <v>24</v>
      </c>
      <c r="E16" t="s">
        <v>99</v>
      </c>
      <c r="F16" t="s">
        <v>100</v>
      </c>
      <c r="G16" t="s">
        <v>2271</v>
      </c>
      <c r="H16" s="20">
        <v>46250</v>
      </c>
      <c r="I16">
        <v>1800</v>
      </c>
      <c r="J16">
        <v>60</v>
      </c>
      <c r="K16">
        <v>48</v>
      </c>
      <c r="L16">
        <v>41</v>
      </c>
      <c r="P16" t="s">
        <v>2272</v>
      </c>
      <c r="R16" t="s">
        <v>2273</v>
      </c>
      <c r="S16">
        <v>4</v>
      </c>
      <c r="T16" t="s">
        <v>2274</v>
      </c>
      <c r="U16" t="s">
        <v>2275</v>
      </c>
    </row>
    <row r="17" spans="1:21" x14ac:dyDescent="0.25">
      <c r="A17" t="s">
        <v>2300</v>
      </c>
      <c r="B17" t="s">
        <v>2</v>
      </c>
      <c r="C17" t="s">
        <v>97</v>
      </c>
      <c r="D17" t="s">
        <v>24</v>
      </c>
      <c r="E17" t="s">
        <v>101</v>
      </c>
      <c r="F17" t="s">
        <v>102</v>
      </c>
      <c r="G17" t="s">
        <v>2271</v>
      </c>
      <c r="H17" s="20">
        <v>46250</v>
      </c>
      <c r="I17">
        <v>1800</v>
      </c>
      <c r="J17">
        <v>60</v>
      </c>
      <c r="K17">
        <v>48</v>
      </c>
      <c r="L17">
        <v>41</v>
      </c>
      <c r="P17" t="s">
        <v>2272</v>
      </c>
      <c r="R17" t="s">
        <v>2273</v>
      </c>
      <c r="S17">
        <v>4</v>
      </c>
      <c r="T17" t="s">
        <v>2274</v>
      </c>
      <c r="U17" t="s">
        <v>2275</v>
      </c>
    </row>
    <row r="18" spans="1:21" x14ac:dyDescent="0.25">
      <c r="A18" t="s">
        <v>2301</v>
      </c>
      <c r="B18" t="s">
        <v>2</v>
      </c>
      <c r="C18" t="s">
        <v>103</v>
      </c>
      <c r="D18" t="s">
        <v>24</v>
      </c>
      <c r="E18" t="s">
        <v>105</v>
      </c>
      <c r="F18" t="s">
        <v>106</v>
      </c>
      <c r="G18" t="s">
        <v>2271</v>
      </c>
      <c r="H18" s="20">
        <v>46250</v>
      </c>
      <c r="I18">
        <v>1800</v>
      </c>
      <c r="J18">
        <v>65</v>
      </c>
      <c r="K18">
        <v>53</v>
      </c>
      <c r="L18">
        <v>46</v>
      </c>
      <c r="P18" t="s">
        <v>2272</v>
      </c>
      <c r="R18" t="s">
        <v>2273</v>
      </c>
      <c r="S18">
        <v>4</v>
      </c>
      <c r="T18" t="s">
        <v>2274</v>
      </c>
      <c r="U18" t="s">
        <v>2275</v>
      </c>
    </row>
    <row r="19" spans="1:21" x14ac:dyDescent="0.25">
      <c r="A19" t="s">
        <v>2302</v>
      </c>
      <c r="B19" t="s">
        <v>2</v>
      </c>
      <c r="C19" t="s">
        <v>103</v>
      </c>
      <c r="D19" t="s">
        <v>24</v>
      </c>
      <c r="E19" t="s">
        <v>107</v>
      </c>
      <c r="F19" t="s">
        <v>108</v>
      </c>
      <c r="G19" t="s">
        <v>2271</v>
      </c>
      <c r="H19" s="20">
        <v>46250</v>
      </c>
      <c r="I19">
        <v>1800</v>
      </c>
      <c r="J19">
        <v>65</v>
      </c>
      <c r="K19">
        <v>53</v>
      </c>
      <c r="L19">
        <v>46</v>
      </c>
      <c r="P19" t="s">
        <v>2272</v>
      </c>
      <c r="R19" t="s">
        <v>2273</v>
      </c>
      <c r="S19">
        <v>4</v>
      </c>
      <c r="T19" t="s">
        <v>2274</v>
      </c>
      <c r="U19" t="s">
        <v>2275</v>
      </c>
    </row>
    <row r="20" spans="1:21" x14ac:dyDescent="0.25">
      <c r="A20" t="s">
        <v>2303</v>
      </c>
      <c r="B20" t="s">
        <v>2</v>
      </c>
      <c r="C20" t="s">
        <v>109</v>
      </c>
      <c r="D20" t="s">
        <v>24</v>
      </c>
      <c r="E20" t="s">
        <v>111</v>
      </c>
      <c r="F20" t="s">
        <v>112</v>
      </c>
      <c r="G20" t="s">
        <v>2271</v>
      </c>
      <c r="H20" s="20">
        <v>46250</v>
      </c>
      <c r="I20">
        <v>1800</v>
      </c>
      <c r="J20">
        <v>68</v>
      </c>
      <c r="K20">
        <v>54</v>
      </c>
      <c r="L20">
        <v>47</v>
      </c>
      <c r="P20" t="s">
        <v>2272</v>
      </c>
      <c r="R20" t="s">
        <v>2273</v>
      </c>
      <c r="S20">
        <v>9</v>
      </c>
      <c r="T20" t="s">
        <v>2304</v>
      </c>
      <c r="U20" t="s">
        <v>2305</v>
      </c>
    </row>
    <row r="21" spans="1:21" x14ac:dyDescent="0.25">
      <c r="A21" t="s">
        <v>2306</v>
      </c>
      <c r="B21" t="s">
        <v>2</v>
      </c>
      <c r="C21" t="s">
        <v>113</v>
      </c>
      <c r="D21" t="s">
        <v>24</v>
      </c>
      <c r="E21" t="s">
        <v>115</v>
      </c>
      <c r="F21" t="s">
        <v>76</v>
      </c>
      <c r="G21" t="s">
        <v>2271</v>
      </c>
      <c r="H21" s="20">
        <v>46250</v>
      </c>
      <c r="I21">
        <v>1800</v>
      </c>
      <c r="J21">
        <v>64</v>
      </c>
      <c r="K21">
        <v>52</v>
      </c>
      <c r="L21">
        <v>45</v>
      </c>
      <c r="P21" t="s">
        <v>2272</v>
      </c>
      <c r="R21" t="s">
        <v>2273</v>
      </c>
      <c r="S21">
        <v>4</v>
      </c>
      <c r="T21" t="s">
        <v>2274</v>
      </c>
      <c r="U21" t="s">
        <v>2275</v>
      </c>
    </row>
    <row r="22" spans="1:21" x14ac:dyDescent="0.25">
      <c r="A22" t="s">
        <v>2307</v>
      </c>
      <c r="B22" t="s">
        <v>2</v>
      </c>
      <c r="C22" t="s">
        <v>116</v>
      </c>
      <c r="D22" t="s">
        <v>24</v>
      </c>
      <c r="E22" t="s">
        <v>118</v>
      </c>
      <c r="F22" t="s">
        <v>119</v>
      </c>
      <c r="G22" t="s">
        <v>2271</v>
      </c>
      <c r="H22" s="20">
        <v>46250</v>
      </c>
      <c r="I22">
        <v>1800</v>
      </c>
      <c r="J22">
        <v>68</v>
      </c>
      <c r="K22">
        <v>54</v>
      </c>
      <c r="L22">
        <v>47</v>
      </c>
      <c r="P22" t="s">
        <v>2272</v>
      </c>
      <c r="R22" t="s">
        <v>2273</v>
      </c>
      <c r="S22">
        <v>4</v>
      </c>
      <c r="T22" t="s">
        <v>2274</v>
      </c>
      <c r="U22" t="s">
        <v>2275</v>
      </c>
    </row>
    <row r="23" spans="1:21" x14ac:dyDescent="0.25">
      <c r="A23" t="s">
        <v>2308</v>
      </c>
      <c r="B23" t="s">
        <v>2</v>
      </c>
      <c r="C23" t="s">
        <v>116</v>
      </c>
      <c r="D23" t="s">
        <v>24</v>
      </c>
      <c r="E23" t="s">
        <v>120</v>
      </c>
      <c r="F23" t="s">
        <v>121</v>
      </c>
      <c r="G23" t="s">
        <v>2271</v>
      </c>
      <c r="H23" s="20">
        <v>46250</v>
      </c>
      <c r="I23">
        <v>1800</v>
      </c>
      <c r="J23">
        <v>68</v>
      </c>
      <c r="K23">
        <v>54</v>
      </c>
      <c r="L23">
        <v>47</v>
      </c>
      <c r="P23" t="s">
        <v>2272</v>
      </c>
      <c r="R23" t="s">
        <v>2273</v>
      </c>
      <c r="S23">
        <v>4</v>
      </c>
      <c r="T23" t="s">
        <v>2274</v>
      </c>
      <c r="U23" t="s">
        <v>2275</v>
      </c>
    </row>
    <row r="24" spans="1:21" x14ac:dyDescent="0.25">
      <c r="A24" t="s">
        <v>2309</v>
      </c>
      <c r="B24" t="s">
        <v>2</v>
      </c>
      <c r="C24" t="s">
        <v>124</v>
      </c>
      <c r="D24" t="s">
        <v>24</v>
      </c>
      <c r="E24" t="s">
        <v>126</v>
      </c>
      <c r="F24" t="s">
        <v>127</v>
      </c>
      <c r="G24" t="s">
        <v>2271</v>
      </c>
      <c r="H24" s="20">
        <v>46250</v>
      </c>
      <c r="I24">
        <v>1800</v>
      </c>
      <c r="J24">
        <v>68</v>
      </c>
      <c r="K24">
        <v>54</v>
      </c>
      <c r="L24">
        <v>47</v>
      </c>
      <c r="P24" t="s">
        <v>2272</v>
      </c>
      <c r="R24" t="s">
        <v>2273</v>
      </c>
      <c r="S24">
        <v>4</v>
      </c>
      <c r="T24" t="s">
        <v>2274</v>
      </c>
      <c r="U24" t="s">
        <v>2275</v>
      </c>
    </row>
    <row r="25" spans="1:21" x14ac:dyDescent="0.25">
      <c r="A25" t="s">
        <v>2310</v>
      </c>
      <c r="B25" t="s">
        <v>2</v>
      </c>
      <c r="C25" t="s">
        <v>128</v>
      </c>
      <c r="D25" t="s">
        <v>24</v>
      </c>
      <c r="E25" t="s">
        <v>130</v>
      </c>
      <c r="F25" t="s">
        <v>131</v>
      </c>
      <c r="G25" t="s">
        <v>2271</v>
      </c>
      <c r="H25" s="20">
        <v>46250</v>
      </c>
      <c r="I25">
        <v>1800</v>
      </c>
      <c r="J25">
        <v>68</v>
      </c>
      <c r="K25">
        <v>54</v>
      </c>
      <c r="L25">
        <v>47</v>
      </c>
      <c r="P25" t="s">
        <v>2272</v>
      </c>
      <c r="R25" t="s">
        <v>2273</v>
      </c>
      <c r="S25">
        <v>4</v>
      </c>
      <c r="T25" t="s">
        <v>2274</v>
      </c>
      <c r="U25" t="s">
        <v>2275</v>
      </c>
    </row>
    <row r="26" spans="1:21" x14ac:dyDescent="0.25">
      <c r="A26" t="s">
        <v>2311</v>
      </c>
      <c r="B26" t="s">
        <v>2</v>
      </c>
      <c r="C26" t="s">
        <v>134</v>
      </c>
      <c r="D26" t="s">
        <v>24</v>
      </c>
      <c r="E26" t="s">
        <v>136</v>
      </c>
      <c r="F26" t="s">
        <v>137</v>
      </c>
      <c r="G26" t="s">
        <v>2271</v>
      </c>
      <c r="H26" s="20">
        <v>46250</v>
      </c>
      <c r="I26">
        <v>1800</v>
      </c>
      <c r="J26">
        <v>68</v>
      </c>
      <c r="K26">
        <v>54</v>
      </c>
      <c r="L26">
        <v>47</v>
      </c>
      <c r="P26" t="s">
        <v>2272</v>
      </c>
      <c r="R26" t="s">
        <v>2273</v>
      </c>
      <c r="S26">
        <v>4</v>
      </c>
      <c r="T26" t="s">
        <v>2274</v>
      </c>
      <c r="U26" t="s">
        <v>2275</v>
      </c>
    </row>
    <row r="27" spans="1:21" x14ac:dyDescent="0.25">
      <c r="A27" t="s">
        <v>2312</v>
      </c>
      <c r="B27" t="s">
        <v>2</v>
      </c>
      <c r="C27" t="s">
        <v>140</v>
      </c>
      <c r="D27" t="s">
        <v>24</v>
      </c>
      <c r="E27" t="s">
        <v>142</v>
      </c>
      <c r="F27" t="s">
        <v>143</v>
      </c>
      <c r="G27" t="s">
        <v>2271</v>
      </c>
      <c r="H27" s="20">
        <v>46250</v>
      </c>
      <c r="I27">
        <v>1800</v>
      </c>
      <c r="J27">
        <v>65</v>
      </c>
      <c r="K27">
        <v>52</v>
      </c>
      <c r="L27">
        <v>45</v>
      </c>
      <c r="P27" t="s">
        <v>2272</v>
      </c>
      <c r="R27" t="s">
        <v>2273</v>
      </c>
      <c r="S27">
        <v>4</v>
      </c>
      <c r="T27" t="s">
        <v>2274</v>
      </c>
      <c r="U27" t="s">
        <v>2275</v>
      </c>
    </row>
    <row r="28" spans="1:21" x14ac:dyDescent="0.25">
      <c r="A28" t="s">
        <v>2313</v>
      </c>
      <c r="B28" t="s">
        <v>2</v>
      </c>
      <c r="C28" t="s">
        <v>144</v>
      </c>
      <c r="D28" t="s">
        <v>24</v>
      </c>
      <c r="E28" t="s">
        <v>146</v>
      </c>
      <c r="F28" t="s">
        <v>147</v>
      </c>
      <c r="G28" t="s">
        <v>2271</v>
      </c>
      <c r="H28" s="20">
        <v>46250</v>
      </c>
      <c r="I28">
        <v>1800</v>
      </c>
      <c r="J28">
        <v>68</v>
      </c>
      <c r="K28">
        <v>54</v>
      </c>
      <c r="L28">
        <v>47</v>
      </c>
      <c r="P28" t="s">
        <v>2272</v>
      </c>
      <c r="R28" t="s">
        <v>2273</v>
      </c>
      <c r="S28">
        <v>4</v>
      </c>
      <c r="T28" t="s">
        <v>2274</v>
      </c>
      <c r="U28" t="s">
        <v>2275</v>
      </c>
    </row>
    <row r="29" spans="1:21" x14ac:dyDescent="0.25">
      <c r="A29" t="s">
        <v>2314</v>
      </c>
      <c r="B29" t="s">
        <v>154</v>
      </c>
      <c r="C29" t="s">
        <v>46</v>
      </c>
      <c r="D29" t="s">
        <v>24</v>
      </c>
      <c r="E29" t="s">
        <v>156</v>
      </c>
      <c r="F29" t="s">
        <v>157</v>
      </c>
      <c r="G29" t="s">
        <v>2271</v>
      </c>
      <c r="H29" s="20">
        <v>46250</v>
      </c>
      <c r="I29">
        <v>1800</v>
      </c>
      <c r="J29">
        <v>71</v>
      </c>
      <c r="K29">
        <v>56</v>
      </c>
      <c r="L29">
        <v>45</v>
      </c>
      <c r="M29">
        <v>42</v>
      </c>
      <c r="P29" t="s">
        <v>2272</v>
      </c>
      <c r="R29" t="s">
        <v>2273</v>
      </c>
      <c r="S29">
        <v>4</v>
      </c>
      <c r="T29" t="s">
        <v>2274</v>
      </c>
      <c r="U29" t="s">
        <v>2275</v>
      </c>
    </row>
    <row r="30" spans="1:21" x14ac:dyDescent="0.25">
      <c r="A30" t="s">
        <v>2315</v>
      </c>
      <c r="B30" t="s">
        <v>154</v>
      </c>
      <c r="C30" t="s">
        <v>46</v>
      </c>
      <c r="D30" t="s">
        <v>24</v>
      </c>
      <c r="E30" t="s">
        <v>158</v>
      </c>
      <c r="F30" t="s">
        <v>159</v>
      </c>
      <c r="G30" t="s">
        <v>2271</v>
      </c>
      <c r="H30" s="20">
        <v>46250</v>
      </c>
      <c r="I30">
        <v>1800</v>
      </c>
      <c r="J30">
        <v>71</v>
      </c>
      <c r="K30">
        <v>56</v>
      </c>
      <c r="L30">
        <v>45</v>
      </c>
      <c r="M30">
        <v>42</v>
      </c>
      <c r="P30" t="s">
        <v>2272</v>
      </c>
      <c r="R30" t="s">
        <v>2273</v>
      </c>
      <c r="S30">
        <v>4</v>
      </c>
      <c r="T30" t="s">
        <v>2274</v>
      </c>
      <c r="U30" t="s">
        <v>2275</v>
      </c>
    </row>
    <row r="31" spans="1:21" x14ac:dyDescent="0.25">
      <c r="A31" t="s">
        <v>2316</v>
      </c>
      <c r="B31" t="s">
        <v>154</v>
      </c>
      <c r="C31" t="s">
        <v>46</v>
      </c>
      <c r="D31" t="s">
        <v>24</v>
      </c>
      <c r="E31" t="s">
        <v>160</v>
      </c>
      <c r="F31" t="s">
        <v>161</v>
      </c>
      <c r="G31" t="s">
        <v>2271</v>
      </c>
      <c r="H31" s="20">
        <v>46250</v>
      </c>
      <c r="I31">
        <v>1800</v>
      </c>
      <c r="J31">
        <v>71</v>
      </c>
      <c r="K31">
        <v>56</v>
      </c>
      <c r="L31">
        <v>45</v>
      </c>
      <c r="M31">
        <v>42</v>
      </c>
      <c r="P31" t="s">
        <v>2272</v>
      </c>
      <c r="R31" t="s">
        <v>2273</v>
      </c>
      <c r="S31">
        <v>4</v>
      </c>
      <c r="T31" t="s">
        <v>2274</v>
      </c>
      <c r="U31" t="s">
        <v>2275</v>
      </c>
    </row>
    <row r="32" spans="1:21" x14ac:dyDescent="0.25">
      <c r="A32" t="s">
        <v>2317</v>
      </c>
      <c r="B32" t="s">
        <v>154</v>
      </c>
      <c r="C32" t="s">
        <v>46</v>
      </c>
      <c r="D32" t="s">
        <v>26</v>
      </c>
      <c r="E32" t="s">
        <v>162</v>
      </c>
      <c r="F32" t="s">
        <v>163</v>
      </c>
      <c r="H32" s="20"/>
      <c r="P32" t="s">
        <v>2291</v>
      </c>
      <c r="R32" t="s">
        <v>2292</v>
      </c>
    </row>
    <row r="33" spans="1:21" x14ac:dyDescent="0.25">
      <c r="A33" t="s">
        <v>2318</v>
      </c>
      <c r="B33" t="s">
        <v>154</v>
      </c>
      <c r="C33" t="s">
        <v>46</v>
      </c>
      <c r="D33" t="s">
        <v>21</v>
      </c>
      <c r="E33" t="s">
        <v>164</v>
      </c>
      <c r="F33" t="s">
        <v>165</v>
      </c>
      <c r="G33" t="s">
        <v>2271</v>
      </c>
      <c r="H33" s="20">
        <v>46254</v>
      </c>
      <c r="I33">
        <v>1500</v>
      </c>
      <c r="J33">
        <v>80</v>
      </c>
      <c r="K33">
        <v>50</v>
      </c>
      <c r="L33">
        <v>30</v>
      </c>
      <c r="P33" t="s">
        <v>2272</v>
      </c>
      <c r="R33" t="s">
        <v>2273</v>
      </c>
      <c r="S33">
        <v>5</v>
      </c>
      <c r="T33" t="s">
        <v>2319</v>
      </c>
      <c r="U33" t="s">
        <v>2320</v>
      </c>
    </row>
    <row r="34" spans="1:21" x14ac:dyDescent="0.25">
      <c r="A34" t="s">
        <v>2321</v>
      </c>
      <c r="B34" t="s">
        <v>154</v>
      </c>
      <c r="C34" t="s">
        <v>50</v>
      </c>
      <c r="D34" t="s">
        <v>24</v>
      </c>
      <c r="E34" t="s">
        <v>167</v>
      </c>
      <c r="F34" t="s">
        <v>168</v>
      </c>
      <c r="G34" t="s">
        <v>2271</v>
      </c>
      <c r="H34" s="20">
        <v>46250</v>
      </c>
      <c r="I34">
        <v>1800</v>
      </c>
      <c r="J34">
        <v>45</v>
      </c>
      <c r="K34">
        <v>36</v>
      </c>
      <c r="L34">
        <v>25</v>
      </c>
      <c r="M34">
        <v>13</v>
      </c>
      <c r="P34" t="s">
        <v>2272</v>
      </c>
      <c r="R34" t="s">
        <v>2273</v>
      </c>
      <c r="S34">
        <v>4</v>
      </c>
      <c r="T34" t="s">
        <v>2274</v>
      </c>
      <c r="U34" t="s">
        <v>2275</v>
      </c>
    </row>
    <row r="35" spans="1:21" x14ac:dyDescent="0.25">
      <c r="A35" t="s">
        <v>2322</v>
      </c>
      <c r="B35" t="s">
        <v>154</v>
      </c>
      <c r="C35" t="s">
        <v>50</v>
      </c>
      <c r="D35" t="s">
        <v>24</v>
      </c>
      <c r="E35" t="s">
        <v>169</v>
      </c>
      <c r="F35" t="s">
        <v>170</v>
      </c>
      <c r="G35" t="s">
        <v>2271</v>
      </c>
      <c r="H35" s="20">
        <v>46250</v>
      </c>
      <c r="I35">
        <v>1800</v>
      </c>
      <c r="J35">
        <v>45</v>
      </c>
      <c r="K35">
        <v>36</v>
      </c>
      <c r="L35">
        <v>25</v>
      </c>
      <c r="M35">
        <v>13</v>
      </c>
      <c r="P35" t="s">
        <v>2272</v>
      </c>
      <c r="R35" t="s">
        <v>2273</v>
      </c>
      <c r="S35">
        <v>4</v>
      </c>
      <c r="T35" t="s">
        <v>2274</v>
      </c>
      <c r="U35" t="s">
        <v>2275</v>
      </c>
    </row>
    <row r="36" spans="1:21" x14ac:dyDescent="0.25">
      <c r="A36" t="s">
        <v>2323</v>
      </c>
      <c r="B36" t="s">
        <v>154</v>
      </c>
      <c r="C36" t="s">
        <v>50</v>
      </c>
      <c r="D36" t="s">
        <v>24</v>
      </c>
      <c r="E36" t="s">
        <v>171</v>
      </c>
      <c r="F36" t="s">
        <v>172</v>
      </c>
      <c r="G36" t="s">
        <v>2271</v>
      </c>
      <c r="H36" s="20">
        <v>46250</v>
      </c>
      <c r="I36">
        <v>1800</v>
      </c>
      <c r="J36">
        <v>45</v>
      </c>
      <c r="K36">
        <v>36</v>
      </c>
      <c r="L36">
        <v>25</v>
      </c>
      <c r="M36">
        <v>13</v>
      </c>
      <c r="P36" t="s">
        <v>2272</v>
      </c>
      <c r="R36" t="s">
        <v>2273</v>
      </c>
      <c r="S36">
        <v>4</v>
      </c>
      <c r="T36" t="s">
        <v>2274</v>
      </c>
      <c r="U36" t="s">
        <v>2275</v>
      </c>
    </row>
    <row r="37" spans="1:21" x14ac:dyDescent="0.25">
      <c r="A37" t="s">
        <v>2324</v>
      </c>
      <c r="B37" t="s">
        <v>154</v>
      </c>
      <c r="C37" t="s">
        <v>50</v>
      </c>
      <c r="D37" t="s">
        <v>24</v>
      </c>
      <c r="E37" t="s">
        <v>173</v>
      </c>
      <c r="F37" t="s">
        <v>174</v>
      </c>
      <c r="G37" t="s">
        <v>2271</v>
      </c>
      <c r="H37" s="20">
        <v>46250</v>
      </c>
      <c r="I37">
        <v>1800</v>
      </c>
      <c r="J37">
        <v>45</v>
      </c>
      <c r="K37">
        <v>36</v>
      </c>
      <c r="L37">
        <v>25</v>
      </c>
      <c r="M37">
        <v>13</v>
      </c>
      <c r="P37" t="s">
        <v>2272</v>
      </c>
      <c r="R37" t="s">
        <v>2273</v>
      </c>
      <c r="S37">
        <v>4</v>
      </c>
      <c r="T37" t="s">
        <v>2274</v>
      </c>
      <c r="U37" t="s">
        <v>2275</v>
      </c>
    </row>
    <row r="38" spans="1:21" x14ac:dyDescent="0.25">
      <c r="A38" t="s">
        <v>2325</v>
      </c>
      <c r="B38" t="s">
        <v>154</v>
      </c>
      <c r="C38" t="s">
        <v>57</v>
      </c>
      <c r="D38" t="s">
        <v>24</v>
      </c>
      <c r="E38" t="s">
        <v>176</v>
      </c>
      <c r="F38" t="s">
        <v>66</v>
      </c>
      <c r="G38" t="s">
        <v>2271</v>
      </c>
      <c r="H38" s="20">
        <v>46250</v>
      </c>
      <c r="I38">
        <v>1800</v>
      </c>
      <c r="J38">
        <v>48</v>
      </c>
      <c r="K38">
        <v>30</v>
      </c>
      <c r="L38">
        <v>25</v>
      </c>
      <c r="M38">
        <v>18</v>
      </c>
      <c r="P38" t="s">
        <v>2272</v>
      </c>
      <c r="R38" t="s">
        <v>2273</v>
      </c>
      <c r="S38">
        <v>4</v>
      </c>
      <c r="T38" t="s">
        <v>2274</v>
      </c>
      <c r="U38" t="s">
        <v>2275</v>
      </c>
    </row>
    <row r="39" spans="1:21" x14ac:dyDescent="0.25">
      <c r="A39" t="s">
        <v>2326</v>
      </c>
      <c r="B39" t="s">
        <v>154</v>
      </c>
      <c r="C39" t="s">
        <v>57</v>
      </c>
      <c r="D39" t="s">
        <v>24</v>
      </c>
      <c r="E39" t="s">
        <v>177</v>
      </c>
      <c r="F39" t="s">
        <v>178</v>
      </c>
      <c r="G39" t="s">
        <v>2271</v>
      </c>
      <c r="H39" s="20">
        <v>46250</v>
      </c>
      <c r="I39">
        <v>1800</v>
      </c>
      <c r="J39">
        <v>48</v>
      </c>
      <c r="K39">
        <v>30</v>
      </c>
      <c r="L39">
        <v>25</v>
      </c>
      <c r="M39">
        <v>18</v>
      </c>
      <c r="P39" t="s">
        <v>2272</v>
      </c>
      <c r="R39" t="s">
        <v>2273</v>
      </c>
      <c r="S39">
        <v>4</v>
      </c>
      <c r="T39" t="s">
        <v>2274</v>
      </c>
      <c r="U39" t="s">
        <v>2275</v>
      </c>
    </row>
    <row r="40" spans="1:21" x14ac:dyDescent="0.25">
      <c r="A40" t="s">
        <v>2327</v>
      </c>
      <c r="B40" t="s">
        <v>154</v>
      </c>
      <c r="C40" t="s">
        <v>57</v>
      </c>
      <c r="D40" t="s">
        <v>24</v>
      </c>
      <c r="E40" t="s">
        <v>179</v>
      </c>
      <c r="F40" t="s">
        <v>180</v>
      </c>
      <c r="G40" t="s">
        <v>2271</v>
      </c>
      <c r="H40" s="20">
        <v>46250</v>
      </c>
      <c r="I40">
        <v>1800</v>
      </c>
      <c r="J40">
        <v>48</v>
      </c>
      <c r="K40">
        <v>30</v>
      </c>
      <c r="L40">
        <v>25</v>
      </c>
      <c r="M40">
        <v>18</v>
      </c>
      <c r="P40" t="s">
        <v>2272</v>
      </c>
      <c r="R40" t="s">
        <v>2273</v>
      </c>
      <c r="S40">
        <v>4</v>
      </c>
      <c r="T40" t="s">
        <v>2274</v>
      </c>
      <c r="U40" t="s">
        <v>2275</v>
      </c>
    </row>
    <row r="41" spans="1:21" x14ac:dyDescent="0.25">
      <c r="A41" t="s">
        <v>2328</v>
      </c>
      <c r="B41" t="s">
        <v>154</v>
      </c>
      <c r="C41" t="s">
        <v>57</v>
      </c>
      <c r="D41" t="s">
        <v>24</v>
      </c>
      <c r="E41" t="s">
        <v>181</v>
      </c>
      <c r="F41" t="s">
        <v>182</v>
      </c>
      <c r="G41" t="s">
        <v>2271</v>
      </c>
      <c r="H41" s="20">
        <v>46250</v>
      </c>
      <c r="I41">
        <v>1800</v>
      </c>
      <c r="J41">
        <v>48</v>
      </c>
      <c r="K41">
        <v>30</v>
      </c>
      <c r="L41">
        <v>25</v>
      </c>
      <c r="M41">
        <v>18</v>
      </c>
      <c r="P41" t="s">
        <v>2272</v>
      </c>
      <c r="R41" t="s">
        <v>2273</v>
      </c>
      <c r="S41">
        <v>4</v>
      </c>
      <c r="T41" t="s">
        <v>2274</v>
      </c>
      <c r="U41" t="s">
        <v>2275</v>
      </c>
    </row>
    <row r="42" spans="1:21" x14ac:dyDescent="0.25">
      <c r="A42" t="s">
        <v>2329</v>
      </c>
      <c r="B42" t="s">
        <v>154</v>
      </c>
      <c r="C42" t="s">
        <v>57</v>
      </c>
      <c r="D42" t="s">
        <v>24</v>
      </c>
      <c r="E42" t="s">
        <v>183</v>
      </c>
      <c r="F42" t="s">
        <v>184</v>
      </c>
      <c r="G42" t="s">
        <v>2271</v>
      </c>
      <c r="H42" s="20">
        <v>46250</v>
      </c>
      <c r="I42">
        <v>1800</v>
      </c>
      <c r="J42">
        <v>48</v>
      </c>
      <c r="K42">
        <v>30</v>
      </c>
      <c r="L42">
        <v>25</v>
      </c>
      <c r="M42">
        <v>18</v>
      </c>
      <c r="P42" t="s">
        <v>2272</v>
      </c>
      <c r="R42" t="s">
        <v>2273</v>
      </c>
      <c r="S42">
        <v>4</v>
      </c>
      <c r="T42" t="s">
        <v>2274</v>
      </c>
      <c r="U42" t="s">
        <v>2275</v>
      </c>
    </row>
    <row r="43" spans="1:21" x14ac:dyDescent="0.25">
      <c r="A43" t="s">
        <v>2330</v>
      </c>
      <c r="B43" t="s">
        <v>154</v>
      </c>
      <c r="C43" t="s">
        <v>57</v>
      </c>
      <c r="D43" t="s">
        <v>21</v>
      </c>
      <c r="E43" t="s">
        <v>185</v>
      </c>
      <c r="F43" t="s">
        <v>186</v>
      </c>
      <c r="G43" t="s">
        <v>2271</v>
      </c>
      <c r="H43" s="20">
        <v>46254</v>
      </c>
      <c r="I43">
        <v>1500</v>
      </c>
      <c r="J43">
        <v>57</v>
      </c>
      <c r="K43">
        <v>51</v>
      </c>
      <c r="L43">
        <v>14</v>
      </c>
      <c r="M43">
        <v>10</v>
      </c>
      <c r="P43" t="s">
        <v>2272</v>
      </c>
      <c r="R43" t="s">
        <v>2273</v>
      </c>
      <c r="S43">
        <v>5</v>
      </c>
      <c r="T43" t="s">
        <v>2319</v>
      </c>
      <c r="U43" t="s">
        <v>2320</v>
      </c>
    </row>
    <row r="44" spans="1:21" x14ac:dyDescent="0.25">
      <c r="A44" t="s">
        <v>2331</v>
      </c>
      <c r="B44" t="s">
        <v>154</v>
      </c>
      <c r="C44" t="s">
        <v>57</v>
      </c>
      <c r="D44" t="s">
        <v>21</v>
      </c>
      <c r="E44" t="s">
        <v>187</v>
      </c>
      <c r="F44" t="s">
        <v>188</v>
      </c>
      <c r="G44" t="s">
        <v>2271</v>
      </c>
      <c r="H44" s="20">
        <v>46254</v>
      </c>
      <c r="I44">
        <v>1500</v>
      </c>
      <c r="J44">
        <v>57</v>
      </c>
      <c r="K44">
        <v>51</v>
      </c>
      <c r="L44">
        <v>14</v>
      </c>
      <c r="M44">
        <v>10</v>
      </c>
      <c r="P44" t="s">
        <v>2272</v>
      </c>
      <c r="R44" t="s">
        <v>2273</v>
      </c>
      <c r="S44">
        <v>5</v>
      </c>
      <c r="T44" t="s">
        <v>2319</v>
      </c>
      <c r="U44" t="s">
        <v>2320</v>
      </c>
    </row>
    <row r="45" spans="1:21" x14ac:dyDescent="0.25">
      <c r="A45" t="s">
        <v>2332</v>
      </c>
      <c r="B45" t="s">
        <v>154</v>
      </c>
      <c r="C45" t="s">
        <v>67</v>
      </c>
      <c r="D45" t="s">
        <v>24</v>
      </c>
      <c r="E45" t="s">
        <v>190</v>
      </c>
      <c r="F45" t="s">
        <v>157</v>
      </c>
      <c r="G45" t="s">
        <v>2271</v>
      </c>
      <c r="H45" s="20">
        <v>46250</v>
      </c>
      <c r="I45">
        <v>1800</v>
      </c>
      <c r="J45">
        <v>76</v>
      </c>
      <c r="K45">
        <v>62</v>
      </c>
      <c r="L45">
        <v>46</v>
      </c>
      <c r="M45">
        <v>42</v>
      </c>
      <c r="P45" t="s">
        <v>2272</v>
      </c>
      <c r="R45" t="s">
        <v>2273</v>
      </c>
      <c r="S45">
        <v>4</v>
      </c>
      <c r="T45" t="s">
        <v>2274</v>
      </c>
      <c r="U45" t="s">
        <v>2275</v>
      </c>
    </row>
    <row r="46" spans="1:21" x14ac:dyDescent="0.25">
      <c r="A46" t="s">
        <v>2333</v>
      </c>
      <c r="B46" t="s">
        <v>154</v>
      </c>
      <c r="C46" t="s">
        <v>67</v>
      </c>
      <c r="D46" t="s">
        <v>24</v>
      </c>
      <c r="E46" t="s">
        <v>191</v>
      </c>
      <c r="F46" t="s">
        <v>49</v>
      </c>
      <c r="G46" t="s">
        <v>2271</v>
      </c>
      <c r="H46" s="20">
        <v>46250</v>
      </c>
      <c r="I46">
        <v>1800</v>
      </c>
      <c r="J46">
        <v>76</v>
      </c>
      <c r="K46">
        <v>62</v>
      </c>
      <c r="L46">
        <v>46</v>
      </c>
      <c r="M46">
        <v>42</v>
      </c>
      <c r="P46" t="s">
        <v>2272</v>
      </c>
      <c r="R46" t="s">
        <v>2273</v>
      </c>
      <c r="S46">
        <v>4</v>
      </c>
      <c r="T46" t="s">
        <v>2274</v>
      </c>
      <c r="U46" t="s">
        <v>2275</v>
      </c>
    </row>
    <row r="47" spans="1:21" x14ac:dyDescent="0.25">
      <c r="A47" t="s">
        <v>2334</v>
      </c>
      <c r="B47" t="s">
        <v>154</v>
      </c>
      <c r="C47" t="s">
        <v>67</v>
      </c>
      <c r="D47" t="s">
        <v>24</v>
      </c>
      <c r="E47" t="s">
        <v>192</v>
      </c>
      <c r="F47" t="s">
        <v>193</v>
      </c>
      <c r="G47" t="s">
        <v>2271</v>
      </c>
      <c r="H47" s="20">
        <v>46250</v>
      </c>
      <c r="I47">
        <v>1800</v>
      </c>
      <c r="J47">
        <v>76</v>
      </c>
      <c r="K47">
        <v>62</v>
      </c>
      <c r="L47">
        <v>46</v>
      </c>
      <c r="M47">
        <v>42</v>
      </c>
      <c r="P47" t="s">
        <v>2272</v>
      </c>
      <c r="R47" t="s">
        <v>2273</v>
      </c>
      <c r="S47">
        <v>4</v>
      </c>
      <c r="T47" t="s">
        <v>2274</v>
      </c>
      <c r="U47" t="s">
        <v>2275</v>
      </c>
    </row>
    <row r="48" spans="1:21" x14ac:dyDescent="0.25">
      <c r="A48" t="s">
        <v>2335</v>
      </c>
      <c r="B48" t="s">
        <v>154</v>
      </c>
      <c r="C48" t="s">
        <v>67</v>
      </c>
      <c r="D48" t="s">
        <v>21</v>
      </c>
      <c r="E48" t="s">
        <v>194</v>
      </c>
      <c r="F48" t="s">
        <v>195</v>
      </c>
      <c r="G48" t="s">
        <v>2271</v>
      </c>
      <c r="H48" s="20">
        <v>46254</v>
      </c>
      <c r="I48">
        <v>1500</v>
      </c>
      <c r="J48">
        <v>68</v>
      </c>
      <c r="K48">
        <v>58</v>
      </c>
      <c r="L48">
        <v>48</v>
      </c>
      <c r="M48">
        <v>38</v>
      </c>
      <c r="P48" t="s">
        <v>2272</v>
      </c>
      <c r="R48" t="s">
        <v>2273</v>
      </c>
      <c r="S48">
        <v>5</v>
      </c>
      <c r="T48" t="s">
        <v>2319</v>
      </c>
      <c r="U48" t="s">
        <v>2320</v>
      </c>
    </row>
    <row r="49" spans="1:21" x14ac:dyDescent="0.25">
      <c r="A49" t="s">
        <v>2336</v>
      </c>
      <c r="B49" t="s">
        <v>154</v>
      </c>
      <c r="C49" t="s">
        <v>73</v>
      </c>
      <c r="D49" t="s">
        <v>24</v>
      </c>
      <c r="E49" t="s">
        <v>197</v>
      </c>
      <c r="F49" t="s">
        <v>94</v>
      </c>
      <c r="G49" t="s">
        <v>2271</v>
      </c>
      <c r="H49" s="20">
        <v>46250</v>
      </c>
      <c r="I49">
        <v>1800</v>
      </c>
      <c r="J49">
        <v>64</v>
      </c>
      <c r="K49">
        <v>45</v>
      </c>
      <c r="L49">
        <v>20</v>
      </c>
      <c r="M49">
        <v>17</v>
      </c>
      <c r="P49" t="s">
        <v>2272</v>
      </c>
      <c r="R49" t="s">
        <v>2273</v>
      </c>
      <c r="S49">
        <v>4</v>
      </c>
      <c r="T49" t="s">
        <v>2274</v>
      </c>
      <c r="U49" t="s">
        <v>2275</v>
      </c>
    </row>
    <row r="50" spans="1:21" x14ac:dyDescent="0.25">
      <c r="A50" t="s">
        <v>2337</v>
      </c>
      <c r="B50" t="s">
        <v>154</v>
      </c>
      <c r="C50" t="s">
        <v>73</v>
      </c>
      <c r="D50" t="s">
        <v>26</v>
      </c>
      <c r="E50" t="s">
        <v>198</v>
      </c>
      <c r="F50" t="s">
        <v>199</v>
      </c>
      <c r="H50" s="20"/>
      <c r="P50" t="s">
        <v>2291</v>
      </c>
      <c r="R50" t="s">
        <v>2292</v>
      </c>
    </row>
    <row r="51" spans="1:21" x14ac:dyDescent="0.25">
      <c r="A51" t="s">
        <v>2338</v>
      </c>
      <c r="B51" t="s">
        <v>154</v>
      </c>
      <c r="C51" t="s">
        <v>73</v>
      </c>
      <c r="D51" t="s">
        <v>21</v>
      </c>
      <c r="E51" t="s">
        <v>200</v>
      </c>
      <c r="F51" t="s">
        <v>143</v>
      </c>
      <c r="G51" t="s">
        <v>2271</v>
      </c>
      <c r="H51" s="20">
        <v>46254</v>
      </c>
      <c r="I51">
        <v>1500</v>
      </c>
      <c r="J51">
        <v>58</v>
      </c>
      <c r="K51">
        <v>41</v>
      </c>
      <c r="L51">
        <v>18</v>
      </c>
      <c r="M51">
        <v>15</v>
      </c>
      <c r="P51" t="s">
        <v>2272</v>
      </c>
      <c r="R51" t="s">
        <v>2273</v>
      </c>
      <c r="S51">
        <v>5</v>
      </c>
      <c r="T51" t="s">
        <v>2319</v>
      </c>
      <c r="U51" t="s">
        <v>2320</v>
      </c>
    </row>
    <row r="52" spans="1:21" x14ac:dyDescent="0.25">
      <c r="A52" t="s">
        <v>2339</v>
      </c>
      <c r="B52" t="s">
        <v>154</v>
      </c>
      <c r="C52" t="s">
        <v>73</v>
      </c>
      <c r="D52" t="s">
        <v>21</v>
      </c>
      <c r="E52" t="s">
        <v>201</v>
      </c>
      <c r="F52" t="s">
        <v>202</v>
      </c>
      <c r="G52" t="s">
        <v>2271</v>
      </c>
      <c r="H52" s="20">
        <v>46254</v>
      </c>
      <c r="I52">
        <v>1500</v>
      </c>
      <c r="J52">
        <v>58</v>
      </c>
      <c r="K52">
        <v>41</v>
      </c>
      <c r="L52">
        <v>18</v>
      </c>
      <c r="M52">
        <v>15</v>
      </c>
      <c r="P52" t="s">
        <v>2272</v>
      </c>
      <c r="R52" t="s">
        <v>2273</v>
      </c>
      <c r="S52">
        <v>5</v>
      </c>
      <c r="T52" t="s">
        <v>2319</v>
      </c>
      <c r="U52" t="s">
        <v>2320</v>
      </c>
    </row>
    <row r="53" spans="1:21" x14ac:dyDescent="0.25">
      <c r="A53" t="s">
        <v>2340</v>
      </c>
      <c r="B53" t="s">
        <v>154</v>
      </c>
      <c r="C53" t="s">
        <v>73</v>
      </c>
      <c r="D53" t="s">
        <v>21</v>
      </c>
      <c r="E53" t="s">
        <v>203</v>
      </c>
      <c r="F53" t="s">
        <v>204</v>
      </c>
      <c r="G53" t="s">
        <v>2271</v>
      </c>
      <c r="H53" s="20">
        <v>46254</v>
      </c>
      <c r="I53">
        <v>1500</v>
      </c>
      <c r="J53">
        <v>58</v>
      </c>
      <c r="K53">
        <v>41</v>
      </c>
      <c r="L53">
        <v>18</v>
      </c>
      <c r="M53">
        <v>15</v>
      </c>
      <c r="P53" t="s">
        <v>2272</v>
      </c>
      <c r="R53" t="s">
        <v>2273</v>
      </c>
      <c r="S53">
        <v>5</v>
      </c>
      <c r="T53" t="s">
        <v>2319</v>
      </c>
      <c r="U53" t="s">
        <v>2320</v>
      </c>
    </row>
    <row r="54" spans="1:21" x14ac:dyDescent="0.25">
      <c r="A54" t="s">
        <v>2341</v>
      </c>
      <c r="B54" t="s">
        <v>154</v>
      </c>
      <c r="C54" t="s">
        <v>79</v>
      </c>
      <c r="D54" t="s">
        <v>24</v>
      </c>
      <c r="E54" t="s">
        <v>206</v>
      </c>
      <c r="F54" t="s">
        <v>127</v>
      </c>
      <c r="G54" t="s">
        <v>2271</v>
      </c>
      <c r="H54" s="20">
        <v>46250</v>
      </c>
      <c r="I54">
        <v>1800</v>
      </c>
      <c r="J54">
        <v>40</v>
      </c>
      <c r="K54">
        <v>32</v>
      </c>
      <c r="L54">
        <v>28</v>
      </c>
      <c r="M54">
        <v>13</v>
      </c>
      <c r="P54" t="s">
        <v>2272</v>
      </c>
      <c r="R54" t="s">
        <v>2273</v>
      </c>
      <c r="S54">
        <v>4</v>
      </c>
      <c r="T54" t="s">
        <v>2274</v>
      </c>
      <c r="U54" t="s">
        <v>2275</v>
      </c>
    </row>
    <row r="55" spans="1:21" x14ac:dyDescent="0.25">
      <c r="A55" t="s">
        <v>2342</v>
      </c>
      <c r="B55" t="s">
        <v>154</v>
      </c>
      <c r="C55" t="s">
        <v>79</v>
      </c>
      <c r="D55" t="s">
        <v>24</v>
      </c>
      <c r="E55" t="s">
        <v>207</v>
      </c>
      <c r="F55" t="s">
        <v>208</v>
      </c>
      <c r="G55" t="s">
        <v>2271</v>
      </c>
      <c r="H55" s="20">
        <v>46250</v>
      </c>
      <c r="I55">
        <v>1800</v>
      </c>
      <c r="J55">
        <v>40</v>
      </c>
      <c r="K55">
        <v>32</v>
      </c>
      <c r="L55">
        <v>28</v>
      </c>
      <c r="M55">
        <v>13</v>
      </c>
      <c r="P55" t="s">
        <v>2272</v>
      </c>
      <c r="R55" t="s">
        <v>2273</v>
      </c>
      <c r="S55">
        <v>4</v>
      </c>
      <c r="T55" t="s">
        <v>2274</v>
      </c>
      <c r="U55" t="s">
        <v>2275</v>
      </c>
    </row>
    <row r="56" spans="1:21" x14ac:dyDescent="0.25">
      <c r="A56" t="s">
        <v>2343</v>
      </c>
      <c r="B56" t="s">
        <v>154</v>
      </c>
      <c r="C56" t="s">
        <v>79</v>
      </c>
      <c r="D56" t="s">
        <v>24</v>
      </c>
      <c r="E56" t="s">
        <v>209</v>
      </c>
      <c r="F56" t="s">
        <v>72</v>
      </c>
      <c r="G56" t="s">
        <v>2271</v>
      </c>
      <c r="H56" s="20">
        <v>46250</v>
      </c>
      <c r="I56">
        <v>1800</v>
      </c>
      <c r="J56">
        <v>40</v>
      </c>
      <c r="K56">
        <v>32</v>
      </c>
      <c r="L56">
        <v>28</v>
      </c>
      <c r="M56">
        <v>13</v>
      </c>
      <c r="P56" t="s">
        <v>2272</v>
      </c>
      <c r="R56" t="s">
        <v>2273</v>
      </c>
      <c r="S56">
        <v>4</v>
      </c>
      <c r="T56" t="s">
        <v>2274</v>
      </c>
      <c r="U56" t="s">
        <v>2275</v>
      </c>
    </row>
    <row r="57" spans="1:21" x14ac:dyDescent="0.25">
      <c r="A57" t="s">
        <v>2344</v>
      </c>
      <c r="B57" t="s">
        <v>154</v>
      </c>
      <c r="C57" t="s">
        <v>81</v>
      </c>
      <c r="D57" t="s">
        <v>21</v>
      </c>
      <c r="E57" t="s">
        <v>211</v>
      </c>
      <c r="F57" t="s">
        <v>212</v>
      </c>
      <c r="G57" t="s">
        <v>2271</v>
      </c>
      <c r="H57" s="20">
        <v>46254</v>
      </c>
      <c r="I57">
        <v>1500</v>
      </c>
      <c r="J57">
        <v>120</v>
      </c>
      <c r="K57">
        <v>84</v>
      </c>
      <c r="L57">
        <v>45</v>
      </c>
      <c r="M57">
        <v>42</v>
      </c>
      <c r="P57" t="s">
        <v>2272</v>
      </c>
      <c r="R57" t="s">
        <v>2273</v>
      </c>
      <c r="S57">
        <v>15</v>
      </c>
      <c r="T57" t="s">
        <v>2345</v>
      </c>
      <c r="U57" t="s">
        <v>2346</v>
      </c>
    </row>
    <row r="58" spans="1:21" x14ac:dyDescent="0.25">
      <c r="A58" t="s">
        <v>2347</v>
      </c>
      <c r="B58" t="s">
        <v>154</v>
      </c>
      <c r="C58" t="s">
        <v>83</v>
      </c>
      <c r="D58" t="s">
        <v>24</v>
      </c>
      <c r="E58" t="s">
        <v>214</v>
      </c>
      <c r="F58" t="s">
        <v>215</v>
      </c>
      <c r="G58" t="s">
        <v>2271</v>
      </c>
      <c r="H58" s="20">
        <v>46250</v>
      </c>
      <c r="I58">
        <v>1800</v>
      </c>
      <c r="J58">
        <v>54</v>
      </c>
      <c r="K58">
        <v>43</v>
      </c>
      <c r="L58">
        <v>31</v>
      </c>
      <c r="M58">
        <v>27</v>
      </c>
      <c r="P58" t="s">
        <v>2272</v>
      </c>
      <c r="R58" t="s">
        <v>2273</v>
      </c>
      <c r="S58">
        <v>4</v>
      </c>
      <c r="T58" t="s">
        <v>2274</v>
      </c>
      <c r="U58" t="s">
        <v>2275</v>
      </c>
    </row>
    <row r="59" spans="1:21" x14ac:dyDescent="0.25">
      <c r="A59" t="s">
        <v>2348</v>
      </c>
      <c r="B59" t="s">
        <v>154</v>
      </c>
      <c r="C59" t="s">
        <v>83</v>
      </c>
      <c r="D59" t="s">
        <v>24</v>
      </c>
      <c r="E59" t="s">
        <v>216</v>
      </c>
      <c r="F59" t="s">
        <v>217</v>
      </c>
      <c r="G59" t="s">
        <v>2271</v>
      </c>
      <c r="H59" s="20">
        <v>46250</v>
      </c>
      <c r="I59">
        <v>1800</v>
      </c>
      <c r="J59">
        <v>54</v>
      </c>
      <c r="K59">
        <v>43</v>
      </c>
      <c r="L59">
        <v>31</v>
      </c>
      <c r="M59">
        <v>27</v>
      </c>
      <c r="P59" t="s">
        <v>2272</v>
      </c>
      <c r="R59" t="s">
        <v>2273</v>
      </c>
      <c r="S59">
        <v>4</v>
      </c>
      <c r="T59" t="s">
        <v>2274</v>
      </c>
      <c r="U59" t="s">
        <v>2275</v>
      </c>
    </row>
    <row r="60" spans="1:21" x14ac:dyDescent="0.25">
      <c r="A60" t="s">
        <v>2349</v>
      </c>
      <c r="B60" t="s">
        <v>154</v>
      </c>
      <c r="C60" t="s">
        <v>83</v>
      </c>
      <c r="D60" t="s">
        <v>24</v>
      </c>
      <c r="E60" t="s">
        <v>218</v>
      </c>
      <c r="F60" t="s">
        <v>219</v>
      </c>
      <c r="G60" t="s">
        <v>2271</v>
      </c>
      <c r="H60" s="20">
        <v>46250</v>
      </c>
      <c r="I60">
        <v>1800</v>
      </c>
      <c r="J60">
        <v>54</v>
      </c>
      <c r="K60">
        <v>43</v>
      </c>
      <c r="L60">
        <v>31</v>
      </c>
      <c r="M60">
        <v>27</v>
      </c>
      <c r="P60" t="s">
        <v>2272</v>
      </c>
      <c r="R60" t="s">
        <v>2273</v>
      </c>
      <c r="S60">
        <v>4</v>
      </c>
      <c r="T60" t="s">
        <v>2274</v>
      </c>
      <c r="U60" t="s">
        <v>2275</v>
      </c>
    </row>
    <row r="61" spans="1:21" x14ac:dyDescent="0.25">
      <c r="A61" t="s">
        <v>2350</v>
      </c>
      <c r="B61" t="s">
        <v>154</v>
      </c>
      <c r="C61" t="s">
        <v>83</v>
      </c>
      <c r="D61" t="s">
        <v>24</v>
      </c>
      <c r="E61" t="s">
        <v>220</v>
      </c>
      <c r="F61" t="s">
        <v>221</v>
      </c>
      <c r="G61" t="s">
        <v>2271</v>
      </c>
      <c r="H61" s="20">
        <v>46250</v>
      </c>
      <c r="I61">
        <v>1800</v>
      </c>
      <c r="J61">
        <v>54</v>
      </c>
      <c r="K61">
        <v>43</v>
      </c>
      <c r="L61">
        <v>31</v>
      </c>
      <c r="M61">
        <v>27</v>
      </c>
      <c r="P61" t="s">
        <v>2272</v>
      </c>
      <c r="R61" t="s">
        <v>2273</v>
      </c>
      <c r="S61">
        <v>4</v>
      </c>
      <c r="T61" t="s">
        <v>2274</v>
      </c>
      <c r="U61" t="s">
        <v>2275</v>
      </c>
    </row>
    <row r="62" spans="1:21" x14ac:dyDescent="0.25">
      <c r="A62" t="s">
        <v>2351</v>
      </c>
      <c r="B62" t="s">
        <v>154</v>
      </c>
      <c r="C62" t="s">
        <v>83</v>
      </c>
      <c r="D62" t="s">
        <v>21</v>
      </c>
      <c r="E62" t="s">
        <v>222</v>
      </c>
      <c r="F62" t="s">
        <v>223</v>
      </c>
      <c r="G62" t="s">
        <v>2271</v>
      </c>
      <c r="H62" s="20">
        <v>46254</v>
      </c>
      <c r="I62">
        <v>1500</v>
      </c>
      <c r="J62">
        <v>68</v>
      </c>
      <c r="K62">
        <v>45</v>
      </c>
      <c r="L62">
        <v>26</v>
      </c>
      <c r="P62" t="s">
        <v>2272</v>
      </c>
      <c r="R62" t="s">
        <v>2273</v>
      </c>
      <c r="S62">
        <v>5</v>
      </c>
      <c r="T62" t="s">
        <v>2319</v>
      </c>
      <c r="U62" t="s">
        <v>2320</v>
      </c>
    </row>
    <row r="63" spans="1:21" x14ac:dyDescent="0.25">
      <c r="A63" t="s">
        <v>2352</v>
      </c>
      <c r="B63" t="s">
        <v>154</v>
      </c>
      <c r="C63" t="s">
        <v>83</v>
      </c>
      <c r="D63" t="s">
        <v>21</v>
      </c>
      <c r="E63" t="s">
        <v>224</v>
      </c>
      <c r="F63" t="s">
        <v>225</v>
      </c>
      <c r="G63" t="s">
        <v>2271</v>
      </c>
      <c r="H63" s="20">
        <v>46254</v>
      </c>
      <c r="I63">
        <v>1500</v>
      </c>
      <c r="J63">
        <v>68</v>
      </c>
      <c r="K63">
        <v>45</v>
      </c>
      <c r="L63">
        <v>26</v>
      </c>
      <c r="P63" t="s">
        <v>2272</v>
      </c>
      <c r="R63" t="s">
        <v>2273</v>
      </c>
      <c r="S63">
        <v>5</v>
      </c>
      <c r="T63" t="s">
        <v>2319</v>
      </c>
      <c r="U63" t="s">
        <v>2320</v>
      </c>
    </row>
    <row r="64" spans="1:21" x14ac:dyDescent="0.25">
      <c r="A64" t="s">
        <v>2353</v>
      </c>
      <c r="B64" t="s">
        <v>154</v>
      </c>
      <c r="C64" t="s">
        <v>91</v>
      </c>
      <c r="D64" t="s">
        <v>24</v>
      </c>
      <c r="E64" t="s">
        <v>214</v>
      </c>
      <c r="F64" t="s">
        <v>215</v>
      </c>
      <c r="G64" t="s">
        <v>2271</v>
      </c>
      <c r="H64" s="20">
        <v>46250</v>
      </c>
      <c r="I64">
        <v>1800</v>
      </c>
      <c r="J64">
        <v>72</v>
      </c>
      <c r="K64">
        <v>54</v>
      </c>
      <c r="L64">
        <v>37</v>
      </c>
      <c r="M64">
        <v>33</v>
      </c>
      <c r="P64" t="s">
        <v>2272</v>
      </c>
      <c r="R64" t="s">
        <v>2273</v>
      </c>
      <c r="S64">
        <v>4</v>
      </c>
      <c r="T64" t="s">
        <v>2274</v>
      </c>
      <c r="U64" t="s">
        <v>2275</v>
      </c>
    </row>
    <row r="65" spans="1:21" x14ac:dyDescent="0.25">
      <c r="A65" t="s">
        <v>2354</v>
      </c>
      <c r="B65" t="s">
        <v>154</v>
      </c>
      <c r="C65" t="s">
        <v>91</v>
      </c>
      <c r="D65" t="s">
        <v>24</v>
      </c>
      <c r="E65" t="s">
        <v>227</v>
      </c>
      <c r="F65" t="s">
        <v>228</v>
      </c>
      <c r="G65" t="s">
        <v>2271</v>
      </c>
      <c r="H65" s="20">
        <v>46250</v>
      </c>
      <c r="I65">
        <v>1800</v>
      </c>
      <c r="J65">
        <v>72</v>
      </c>
      <c r="K65">
        <v>54</v>
      </c>
      <c r="L65">
        <v>37</v>
      </c>
      <c r="M65">
        <v>33</v>
      </c>
      <c r="P65" t="s">
        <v>2272</v>
      </c>
      <c r="R65" t="s">
        <v>2273</v>
      </c>
      <c r="S65">
        <v>4</v>
      </c>
      <c r="T65" t="s">
        <v>2274</v>
      </c>
      <c r="U65" t="s">
        <v>2275</v>
      </c>
    </row>
    <row r="66" spans="1:21" x14ac:dyDescent="0.25">
      <c r="A66" t="s">
        <v>2355</v>
      </c>
      <c r="B66" t="s">
        <v>154</v>
      </c>
      <c r="C66" t="s">
        <v>91</v>
      </c>
      <c r="D66" t="s">
        <v>24</v>
      </c>
      <c r="E66" t="s">
        <v>229</v>
      </c>
      <c r="F66" t="s">
        <v>230</v>
      </c>
      <c r="G66" t="s">
        <v>2271</v>
      </c>
      <c r="H66" s="20">
        <v>46250</v>
      </c>
      <c r="I66">
        <v>1800</v>
      </c>
      <c r="J66">
        <v>72</v>
      </c>
      <c r="K66">
        <v>54</v>
      </c>
      <c r="L66">
        <v>37</v>
      </c>
      <c r="M66">
        <v>33</v>
      </c>
      <c r="P66" t="s">
        <v>2272</v>
      </c>
      <c r="R66" t="s">
        <v>2273</v>
      </c>
      <c r="S66">
        <v>4</v>
      </c>
      <c r="T66" t="s">
        <v>2274</v>
      </c>
      <c r="U66" t="s">
        <v>2275</v>
      </c>
    </row>
    <row r="67" spans="1:21" x14ac:dyDescent="0.25">
      <c r="A67" t="s">
        <v>2356</v>
      </c>
      <c r="B67" t="s">
        <v>154</v>
      </c>
      <c r="C67" t="s">
        <v>91</v>
      </c>
      <c r="D67" t="s">
        <v>24</v>
      </c>
      <c r="E67" t="s">
        <v>231</v>
      </c>
      <c r="F67" t="s">
        <v>232</v>
      </c>
      <c r="G67" t="s">
        <v>2271</v>
      </c>
      <c r="H67" s="20">
        <v>46250</v>
      </c>
      <c r="I67">
        <v>1800</v>
      </c>
      <c r="J67">
        <v>72</v>
      </c>
      <c r="K67">
        <v>54</v>
      </c>
      <c r="L67">
        <v>37</v>
      </c>
      <c r="M67">
        <v>33</v>
      </c>
      <c r="P67" t="s">
        <v>2272</v>
      </c>
      <c r="R67" t="s">
        <v>2273</v>
      </c>
      <c r="S67">
        <v>4</v>
      </c>
      <c r="T67" t="s">
        <v>2274</v>
      </c>
      <c r="U67" t="s">
        <v>2275</v>
      </c>
    </row>
    <row r="68" spans="1:21" x14ac:dyDescent="0.25">
      <c r="A68" t="s">
        <v>2357</v>
      </c>
      <c r="B68" t="s">
        <v>154</v>
      </c>
      <c r="C68" t="s">
        <v>91</v>
      </c>
      <c r="D68" t="s">
        <v>21</v>
      </c>
      <c r="E68" t="s">
        <v>233</v>
      </c>
      <c r="F68" t="s">
        <v>86</v>
      </c>
      <c r="G68" t="s">
        <v>2271</v>
      </c>
      <c r="H68" s="20">
        <v>46254</v>
      </c>
      <c r="I68">
        <v>1500</v>
      </c>
      <c r="J68">
        <v>78</v>
      </c>
      <c r="K68">
        <v>53</v>
      </c>
      <c r="L68">
        <v>40</v>
      </c>
      <c r="M68">
        <v>35</v>
      </c>
      <c r="P68" t="s">
        <v>2272</v>
      </c>
      <c r="R68" t="s">
        <v>2273</v>
      </c>
      <c r="S68">
        <v>5</v>
      </c>
      <c r="T68" t="s">
        <v>2319</v>
      </c>
      <c r="U68" t="s">
        <v>2320</v>
      </c>
    </row>
    <row r="69" spans="1:21" x14ac:dyDescent="0.25">
      <c r="A69" t="s">
        <v>2358</v>
      </c>
      <c r="B69" t="s">
        <v>154</v>
      </c>
      <c r="C69" t="s">
        <v>91</v>
      </c>
      <c r="D69" t="s">
        <v>21</v>
      </c>
      <c r="E69" t="s">
        <v>234</v>
      </c>
      <c r="F69" t="s">
        <v>235</v>
      </c>
      <c r="G69" t="s">
        <v>2271</v>
      </c>
      <c r="H69" s="20">
        <v>46254</v>
      </c>
      <c r="I69">
        <v>1500</v>
      </c>
      <c r="J69">
        <v>78</v>
      </c>
      <c r="K69">
        <v>53</v>
      </c>
      <c r="L69">
        <v>40</v>
      </c>
      <c r="M69">
        <v>35</v>
      </c>
      <c r="P69" t="s">
        <v>2272</v>
      </c>
      <c r="R69" t="s">
        <v>2273</v>
      </c>
      <c r="S69">
        <v>5</v>
      </c>
      <c r="T69" t="s">
        <v>2319</v>
      </c>
      <c r="U69" t="s">
        <v>2320</v>
      </c>
    </row>
    <row r="70" spans="1:21" x14ac:dyDescent="0.25">
      <c r="A70" t="s">
        <v>2359</v>
      </c>
      <c r="B70" t="s">
        <v>154</v>
      </c>
      <c r="C70" t="s">
        <v>91</v>
      </c>
      <c r="D70" t="s">
        <v>21</v>
      </c>
      <c r="E70" t="s">
        <v>236</v>
      </c>
      <c r="F70" t="s">
        <v>237</v>
      </c>
      <c r="G70" t="s">
        <v>2271</v>
      </c>
      <c r="H70" s="20">
        <v>46254</v>
      </c>
      <c r="I70">
        <v>1500</v>
      </c>
      <c r="J70">
        <v>78</v>
      </c>
      <c r="K70">
        <v>53</v>
      </c>
      <c r="L70">
        <v>40</v>
      </c>
      <c r="M70">
        <v>35</v>
      </c>
      <c r="P70" t="s">
        <v>2272</v>
      </c>
      <c r="R70" t="s">
        <v>2273</v>
      </c>
      <c r="S70">
        <v>5</v>
      </c>
      <c r="T70" t="s">
        <v>2319</v>
      </c>
      <c r="U70" t="s">
        <v>2320</v>
      </c>
    </row>
    <row r="71" spans="1:21" x14ac:dyDescent="0.25">
      <c r="A71" t="s">
        <v>2360</v>
      </c>
      <c r="B71" t="s">
        <v>154</v>
      </c>
      <c r="C71" t="s">
        <v>97</v>
      </c>
      <c r="D71" t="s">
        <v>24</v>
      </c>
      <c r="E71" t="s">
        <v>239</v>
      </c>
      <c r="F71" t="s">
        <v>240</v>
      </c>
      <c r="G71" t="s">
        <v>2271</v>
      </c>
      <c r="H71" s="20">
        <v>46250</v>
      </c>
      <c r="I71">
        <v>1800</v>
      </c>
      <c r="J71">
        <v>65</v>
      </c>
      <c r="K71">
        <v>52</v>
      </c>
      <c r="L71">
        <v>41</v>
      </c>
      <c r="P71" t="s">
        <v>2272</v>
      </c>
      <c r="R71" t="s">
        <v>2273</v>
      </c>
      <c r="S71">
        <v>4</v>
      </c>
      <c r="T71" t="s">
        <v>2274</v>
      </c>
      <c r="U71" t="s">
        <v>2275</v>
      </c>
    </row>
    <row r="72" spans="1:21" x14ac:dyDescent="0.25">
      <c r="A72" t="s">
        <v>2361</v>
      </c>
      <c r="B72" t="s">
        <v>154</v>
      </c>
      <c r="C72" t="s">
        <v>97</v>
      </c>
      <c r="D72" t="s">
        <v>24</v>
      </c>
      <c r="E72" t="s">
        <v>241</v>
      </c>
      <c r="F72" t="s">
        <v>242</v>
      </c>
      <c r="G72" t="s">
        <v>2271</v>
      </c>
      <c r="H72" s="20">
        <v>46250</v>
      </c>
      <c r="I72">
        <v>1800</v>
      </c>
      <c r="J72">
        <v>65</v>
      </c>
      <c r="K72">
        <v>52</v>
      </c>
      <c r="L72">
        <v>41</v>
      </c>
      <c r="P72" t="s">
        <v>2272</v>
      </c>
      <c r="R72" t="s">
        <v>2273</v>
      </c>
      <c r="S72">
        <v>4</v>
      </c>
      <c r="T72" t="s">
        <v>2274</v>
      </c>
      <c r="U72" t="s">
        <v>2275</v>
      </c>
    </row>
    <row r="73" spans="1:21" x14ac:dyDescent="0.25">
      <c r="A73" t="s">
        <v>2362</v>
      </c>
      <c r="B73" t="s">
        <v>154</v>
      </c>
      <c r="C73" t="s">
        <v>97</v>
      </c>
      <c r="D73" t="s">
        <v>21</v>
      </c>
      <c r="E73" t="s">
        <v>243</v>
      </c>
      <c r="F73" t="s">
        <v>244</v>
      </c>
      <c r="G73" t="s">
        <v>2271</v>
      </c>
      <c r="H73" s="20">
        <v>46254</v>
      </c>
      <c r="I73">
        <v>1500</v>
      </c>
      <c r="J73">
        <v>86</v>
      </c>
      <c r="K73">
        <v>69</v>
      </c>
      <c r="L73">
        <v>40</v>
      </c>
      <c r="M73">
        <v>37</v>
      </c>
      <c r="N73">
        <v>35</v>
      </c>
      <c r="P73" t="s">
        <v>2272</v>
      </c>
      <c r="R73" t="s">
        <v>2273</v>
      </c>
      <c r="S73">
        <v>5</v>
      </c>
      <c r="T73" t="s">
        <v>2319</v>
      </c>
      <c r="U73" t="s">
        <v>2320</v>
      </c>
    </row>
    <row r="74" spans="1:21" x14ac:dyDescent="0.25">
      <c r="A74" t="s">
        <v>2363</v>
      </c>
      <c r="B74" t="s">
        <v>154</v>
      </c>
      <c r="C74" t="s">
        <v>103</v>
      </c>
      <c r="D74" t="s">
        <v>24</v>
      </c>
      <c r="E74" t="s">
        <v>246</v>
      </c>
      <c r="F74" t="s">
        <v>247</v>
      </c>
      <c r="G74" t="s">
        <v>2271</v>
      </c>
      <c r="H74" s="20">
        <v>46250</v>
      </c>
      <c r="I74">
        <v>1800</v>
      </c>
      <c r="J74">
        <v>64</v>
      </c>
      <c r="K74">
        <v>51</v>
      </c>
      <c r="L74">
        <v>40</v>
      </c>
      <c r="P74" t="s">
        <v>2272</v>
      </c>
      <c r="R74" t="s">
        <v>2273</v>
      </c>
      <c r="S74">
        <v>4</v>
      </c>
      <c r="T74" t="s">
        <v>2274</v>
      </c>
      <c r="U74" t="s">
        <v>2275</v>
      </c>
    </row>
    <row r="75" spans="1:21" x14ac:dyDescent="0.25">
      <c r="A75" t="s">
        <v>2364</v>
      </c>
      <c r="B75" t="s">
        <v>154</v>
      </c>
      <c r="C75" t="s">
        <v>103</v>
      </c>
      <c r="D75" t="s">
        <v>24</v>
      </c>
      <c r="E75" t="s">
        <v>248</v>
      </c>
      <c r="F75" t="s">
        <v>147</v>
      </c>
      <c r="G75" t="s">
        <v>2271</v>
      </c>
      <c r="H75" s="20">
        <v>46250</v>
      </c>
      <c r="I75">
        <v>1800</v>
      </c>
      <c r="J75">
        <v>64</v>
      </c>
      <c r="K75">
        <v>51</v>
      </c>
      <c r="L75">
        <v>40</v>
      </c>
      <c r="P75" t="s">
        <v>2272</v>
      </c>
      <c r="R75" t="s">
        <v>2273</v>
      </c>
      <c r="S75">
        <v>4</v>
      </c>
      <c r="T75" t="s">
        <v>2274</v>
      </c>
      <c r="U75" t="s">
        <v>2275</v>
      </c>
    </row>
    <row r="76" spans="1:21" x14ac:dyDescent="0.25">
      <c r="A76" t="s">
        <v>2365</v>
      </c>
      <c r="B76" t="s">
        <v>154</v>
      </c>
      <c r="C76" t="s">
        <v>103</v>
      </c>
      <c r="D76" t="s">
        <v>24</v>
      </c>
      <c r="E76" t="s">
        <v>249</v>
      </c>
      <c r="F76" t="s">
        <v>250</v>
      </c>
      <c r="G76" t="s">
        <v>2271</v>
      </c>
      <c r="H76" s="20">
        <v>46250</v>
      </c>
      <c r="I76">
        <v>1800</v>
      </c>
      <c r="J76">
        <v>64</v>
      </c>
      <c r="K76">
        <v>51</v>
      </c>
      <c r="L76">
        <v>40</v>
      </c>
      <c r="P76" t="s">
        <v>2272</v>
      </c>
      <c r="R76" t="s">
        <v>2273</v>
      </c>
      <c r="S76">
        <v>4</v>
      </c>
      <c r="T76" t="s">
        <v>2274</v>
      </c>
      <c r="U76" t="s">
        <v>2275</v>
      </c>
    </row>
    <row r="77" spans="1:21" x14ac:dyDescent="0.25">
      <c r="A77" t="s">
        <v>2366</v>
      </c>
      <c r="B77" t="s">
        <v>154</v>
      </c>
      <c r="C77" t="s">
        <v>103</v>
      </c>
      <c r="D77" t="s">
        <v>21</v>
      </c>
      <c r="E77" t="s">
        <v>251</v>
      </c>
      <c r="F77" t="s">
        <v>252</v>
      </c>
      <c r="G77" t="s">
        <v>2271</v>
      </c>
      <c r="H77" s="20">
        <v>46254</v>
      </c>
      <c r="I77">
        <v>1500</v>
      </c>
      <c r="J77">
        <v>68</v>
      </c>
      <c r="K77">
        <v>40</v>
      </c>
      <c r="L77">
        <v>30</v>
      </c>
      <c r="P77" t="s">
        <v>2272</v>
      </c>
      <c r="R77" t="s">
        <v>2273</v>
      </c>
      <c r="S77">
        <v>5</v>
      </c>
      <c r="T77" t="s">
        <v>2319</v>
      </c>
      <c r="U77" t="s">
        <v>2320</v>
      </c>
    </row>
    <row r="78" spans="1:21" x14ac:dyDescent="0.25">
      <c r="A78" t="s">
        <v>2367</v>
      </c>
      <c r="B78" t="s">
        <v>154</v>
      </c>
      <c r="C78" t="s">
        <v>103</v>
      </c>
      <c r="D78" t="s">
        <v>21</v>
      </c>
      <c r="E78" t="s">
        <v>253</v>
      </c>
      <c r="F78" t="s">
        <v>102</v>
      </c>
      <c r="G78" t="s">
        <v>2271</v>
      </c>
      <c r="H78" s="20">
        <v>46254</v>
      </c>
      <c r="I78">
        <v>1500</v>
      </c>
      <c r="J78">
        <v>68</v>
      </c>
      <c r="K78">
        <v>40</v>
      </c>
      <c r="L78">
        <v>30</v>
      </c>
      <c r="P78" t="s">
        <v>2272</v>
      </c>
      <c r="R78" t="s">
        <v>2273</v>
      </c>
      <c r="S78">
        <v>5</v>
      </c>
      <c r="T78" t="s">
        <v>2319</v>
      </c>
      <c r="U78" t="s">
        <v>2320</v>
      </c>
    </row>
    <row r="79" spans="1:21" x14ac:dyDescent="0.25">
      <c r="A79" t="s">
        <v>2368</v>
      </c>
      <c r="B79" t="s">
        <v>154</v>
      </c>
      <c r="C79" t="s">
        <v>109</v>
      </c>
      <c r="D79" t="s">
        <v>24</v>
      </c>
      <c r="E79" t="s">
        <v>255</v>
      </c>
      <c r="F79" t="s">
        <v>256</v>
      </c>
      <c r="G79" t="s">
        <v>2271</v>
      </c>
      <c r="H79" s="20">
        <v>46250</v>
      </c>
      <c r="I79">
        <v>1800</v>
      </c>
      <c r="J79">
        <v>76</v>
      </c>
      <c r="K79">
        <v>62</v>
      </c>
      <c r="L79">
        <v>46</v>
      </c>
      <c r="M79">
        <v>43</v>
      </c>
      <c r="P79" t="s">
        <v>2272</v>
      </c>
      <c r="R79" t="s">
        <v>2273</v>
      </c>
      <c r="S79">
        <v>4</v>
      </c>
      <c r="T79" t="s">
        <v>2274</v>
      </c>
      <c r="U79" t="s">
        <v>2275</v>
      </c>
    </row>
    <row r="80" spans="1:21" x14ac:dyDescent="0.25">
      <c r="A80" t="s">
        <v>2369</v>
      </c>
      <c r="B80" t="s">
        <v>154</v>
      </c>
      <c r="C80" t="s">
        <v>109</v>
      </c>
      <c r="D80" t="s">
        <v>21</v>
      </c>
      <c r="E80" t="s">
        <v>257</v>
      </c>
      <c r="F80" t="s">
        <v>258</v>
      </c>
      <c r="G80" t="s">
        <v>2271</v>
      </c>
      <c r="H80" s="20">
        <v>46254</v>
      </c>
      <c r="I80">
        <v>1500</v>
      </c>
      <c r="J80">
        <v>68</v>
      </c>
      <c r="K80">
        <v>56</v>
      </c>
      <c r="L80">
        <v>41</v>
      </c>
      <c r="M80">
        <v>39</v>
      </c>
      <c r="P80" t="s">
        <v>2272</v>
      </c>
      <c r="R80" t="s">
        <v>2273</v>
      </c>
      <c r="S80">
        <v>5</v>
      </c>
      <c r="T80" t="s">
        <v>2319</v>
      </c>
      <c r="U80" t="s">
        <v>2320</v>
      </c>
    </row>
    <row r="81" spans="1:21" x14ac:dyDescent="0.25">
      <c r="A81" t="s">
        <v>2370</v>
      </c>
      <c r="B81" t="s">
        <v>154</v>
      </c>
      <c r="C81" t="s">
        <v>109</v>
      </c>
      <c r="D81" t="s">
        <v>21</v>
      </c>
      <c r="E81" t="s">
        <v>259</v>
      </c>
      <c r="F81" t="s">
        <v>260</v>
      </c>
      <c r="G81" t="s">
        <v>2271</v>
      </c>
      <c r="H81" s="20">
        <v>46254</v>
      </c>
      <c r="I81">
        <v>1500</v>
      </c>
      <c r="J81">
        <v>68</v>
      </c>
      <c r="K81">
        <v>56</v>
      </c>
      <c r="L81">
        <v>41</v>
      </c>
      <c r="M81">
        <v>39</v>
      </c>
      <c r="P81" t="s">
        <v>2272</v>
      </c>
      <c r="R81" t="s">
        <v>2273</v>
      </c>
      <c r="S81">
        <v>5</v>
      </c>
      <c r="T81" t="s">
        <v>2319</v>
      </c>
      <c r="U81" t="s">
        <v>2320</v>
      </c>
    </row>
    <row r="82" spans="1:21" x14ac:dyDescent="0.25">
      <c r="A82" t="s">
        <v>2371</v>
      </c>
      <c r="B82" t="s">
        <v>154</v>
      </c>
      <c r="C82" t="s">
        <v>109</v>
      </c>
      <c r="D82" t="s">
        <v>21</v>
      </c>
      <c r="E82" t="s">
        <v>261</v>
      </c>
      <c r="F82" t="s">
        <v>262</v>
      </c>
      <c r="G82" t="s">
        <v>2271</v>
      </c>
      <c r="H82" s="20">
        <v>46254</v>
      </c>
      <c r="I82">
        <v>1500</v>
      </c>
      <c r="J82">
        <v>68</v>
      </c>
      <c r="K82">
        <v>56</v>
      </c>
      <c r="L82">
        <v>41</v>
      </c>
      <c r="M82">
        <v>39</v>
      </c>
      <c r="P82" t="s">
        <v>2272</v>
      </c>
      <c r="R82" t="s">
        <v>2273</v>
      </c>
      <c r="S82">
        <v>5</v>
      </c>
      <c r="T82" t="s">
        <v>2319</v>
      </c>
      <c r="U82" t="s">
        <v>2320</v>
      </c>
    </row>
    <row r="83" spans="1:21" x14ac:dyDescent="0.25">
      <c r="A83" t="s">
        <v>2372</v>
      </c>
      <c r="B83" t="s">
        <v>154</v>
      </c>
      <c r="C83" t="s">
        <v>113</v>
      </c>
      <c r="D83" t="s">
        <v>24</v>
      </c>
      <c r="E83" t="s">
        <v>264</v>
      </c>
      <c r="F83" t="s">
        <v>119</v>
      </c>
      <c r="G83" t="s">
        <v>2271</v>
      </c>
      <c r="H83" s="20">
        <v>46250</v>
      </c>
      <c r="I83">
        <v>1800</v>
      </c>
      <c r="J83">
        <v>53</v>
      </c>
      <c r="K83">
        <v>42</v>
      </c>
      <c r="L83">
        <v>36</v>
      </c>
      <c r="P83" t="s">
        <v>2272</v>
      </c>
      <c r="R83" t="s">
        <v>2273</v>
      </c>
      <c r="S83">
        <v>4</v>
      </c>
      <c r="T83" t="s">
        <v>2274</v>
      </c>
      <c r="U83" t="s">
        <v>2275</v>
      </c>
    </row>
    <row r="84" spans="1:21" x14ac:dyDescent="0.25">
      <c r="A84" t="s">
        <v>2373</v>
      </c>
      <c r="B84" t="s">
        <v>154</v>
      </c>
      <c r="C84" t="s">
        <v>113</v>
      </c>
      <c r="D84" t="s">
        <v>24</v>
      </c>
      <c r="E84" t="s">
        <v>265</v>
      </c>
      <c r="F84" t="s">
        <v>266</v>
      </c>
      <c r="G84" t="s">
        <v>2271</v>
      </c>
      <c r="H84" s="20">
        <v>46250</v>
      </c>
      <c r="I84">
        <v>1800</v>
      </c>
      <c r="J84">
        <v>53</v>
      </c>
      <c r="K84">
        <v>42</v>
      </c>
      <c r="L84">
        <v>36</v>
      </c>
      <c r="P84" t="s">
        <v>2272</v>
      </c>
      <c r="R84" t="s">
        <v>2273</v>
      </c>
      <c r="S84">
        <v>4</v>
      </c>
      <c r="T84" t="s">
        <v>2274</v>
      </c>
      <c r="U84" t="s">
        <v>2275</v>
      </c>
    </row>
    <row r="85" spans="1:21" x14ac:dyDescent="0.25">
      <c r="A85" t="s">
        <v>2374</v>
      </c>
      <c r="B85" t="s">
        <v>154</v>
      </c>
      <c r="C85" t="s">
        <v>116</v>
      </c>
      <c r="D85" t="s">
        <v>24</v>
      </c>
      <c r="E85" t="s">
        <v>268</v>
      </c>
      <c r="F85" t="s">
        <v>269</v>
      </c>
      <c r="G85" t="s">
        <v>2271</v>
      </c>
      <c r="H85" s="20">
        <v>46250</v>
      </c>
      <c r="I85">
        <v>1800</v>
      </c>
      <c r="J85">
        <v>60</v>
      </c>
      <c r="K85">
        <v>50</v>
      </c>
      <c r="L85">
        <v>36</v>
      </c>
      <c r="M85">
        <v>31</v>
      </c>
      <c r="P85" t="s">
        <v>2272</v>
      </c>
      <c r="R85" t="s">
        <v>2273</v>
      </c>
      <c r="S85">
        <v>4</v>
      </c>
      <c r="T85" t="s">
        <v>2274</v>
      </c>
      <c r="U85" t="s">
        <v>2275</v>
      </c>
    </row>
    <row r="86" spans="1:21" x14ac:dyDescent="0.25">
      <c r="A86" t="s">
        <v>2375</v>
      </c>
      <c r="B86" t="s">
        <v>154</v>
      </c>
      <c r="C86" t="s">
        <v>116</v>
      </c>
      <c r="D86" t="s">
        <v>24</v>
      </c>
      <c r="E86" t="s">
        <v>270</v>
      </c>
      <c r="F86" t="s">
        <v>230</v>
      </c>
      <c r="G86" t="s">
        <v>2271</v>
      </c>
      <c r="H86" s="20">
        <v>46250</v>
      </c>
      <c r="I86">
        <v>1800</v>
      </c>
      <c r="J86">
        <v>60</v>
      </c>
      <c r="K86">
        <v>50</v>
      </c>
      <c r="L86">
        <v>36</v>
      </c>
      <c r="M86">
        <v>31</v>
      </c>
      <c r="P86" t="s">
        <v>2272</v>
      </c>
      <c r="R86" t="s">
        <v>2273</v>
      </c>
      <c r="S86">
        <v>4</v>
      </c>
      <c r="T86" t="s">
        <v>2274</v>
      </c>
      <c r="U86" t="s">
        <v>2275</v>
      </c>
    </row>
    <row r="87" spans="1:21" x14ac:dyDescent="0.25">
      <c r="A87" t="s">
        <v>2376</v>
      </c>
      <c r="B87" t="s">
        <v>154</v>
      </c>
      <c r="C87" t="s">
        <v>116</v>
      </c>
      <c r="D87" t="s">
        <v>24</v>
      </c>
      <c r="E87" t="s">
        <v>271</v>
      </c>
      <c r="F87" t="s">
        <v>272</v>
      </c>
      <c r="G87" t="s">
        <v>2271</v>
      </c>
      <c r="H87" s="20">
        <v>46250</v>
      </c>
      <c r="I87">
        <v>1800</v>
      </c>
      <c r="J87">
        <v>60</v>
      </c>
      <c r="K87">
        <v>50</v>
      </c>
      <c r="L87">
        <v>36</v>
      </c>
      <c r="M87">
        <v>31</v>
      </c>
      <c r="P87" t="s">
        <v>2272</v>
      </c>
      <c r="R87" t="s">
        <v>2273</v>
      </c>
      <c r="S87">
        <v>4</v>
      </c>
      <c r="T87" t="s">
        <v>2274</v>
      </c>
      <c r="U87" t="s">
        <v>2275</v>
      </c>
    </row>
    <row r="88" spans="1:21" x14ac:dyDescent="0.25">
      <c r="A88" t="s">
        <v>2377</v>
      </c>
      <c r="B88" t="s">
        <v>154</v>
      </c>
      <c r="C88" t="s">
        <v>116</v>
      </c>
      <c r="D88" t="s">
        <v>21</v>
      </c>
      <c r="E88" t="s">
        <v>273</v>
      </c>
      <c r="F88" t="s">
        <v>90</v>
      </c>
      <c r="G88" t="s">
        <v>2271</v>
      </c>
      <c r="H88" s="20">
        <v>46254</v>
      </c>
      <c r="I88">
        <v>1500</v>
      </c>
      <c r="J88">
        <v>57</v>
      </c>
      <c r="K88">
        <v>40</v>
      </c>
      <c r="L88">
        <v>23</v>
      </c>
      <c r="P88" t="s">
        <v>2272</v>
      </c>
      <c r="R88" t="s">
        <v>2273</v>
      </c>
      <c r="S88">
        <v>5</v>
      </c>
      <c r="T88" t="s">
        <v>2319</v>
      </c>
      <c r="U88" t="s">
        <v>2320</v>
      </c>
    </row>
    <row r="89" spans="1:21" x14ac:dyDescent="0.25">
      <c r="A89" t="s">
        <v>2378</v>
      </c>
      <c r="B89" t="s">
        <v>154</v>
      </c>
      <c r="C89" t="s">
        <v>122</v>
      </c>
      <c r="D89" t="s">
        <v>24</v>
      </c>
      <c r="E89" t="s">
        <v>275</v>
      </c>
      <c r="F89" t="s">
        <v>276</v>
      </c>
      <c r="G89" t="s">
        <v>2271</v>
      </c>
      <c r="H89" s="20">
        <v>46250</v>
      </c>
      <c r="I89">
        <v>1800</v>
      </c>
      <c r="J89">
        <v>64</v>
      </c>
      <c r="K89">
        <v>51</v>
      </c>
      <c r="L89">
        <v>44</v>
      </c>
      <c r="P89" t="s">
        <v>2272</v>
      </c>
      <c r="R89" t="s">
        <v>2273</v>
      </c>
      <c r="S89">
        <v>4</v>
      </c>
      <c r="T89" t="s">
        <v>2274</v>
      </c>
      <c r="U89" t="s">
        <v>2275</v>
      </c>
    </row>
    <row r="90" spans="1:21" x14ac:dyDescent="0.25">
      <c r="A90" t="s">
        <v>2379</v>
      </c>
      <c r="B90" t="s">
        <v>154</v>
      </c>
      <c r="C90" t="s">
        <v>124</v>
      </c>
      <c r="D90" t="s">
        <v>24</v>
      </c>
      <c r="E90" t="s">
        <v>278</v>
      </c>
      <c r="F90" t="s">
        <v>215</v>
      </c>
      <c r="G90" t="s">
        <v>2271</v>
      </c>
      <c r="H90" s="20">
        <v>46250</v>
      </c>
      <c r="I90">
        <v>1800</v>
      </c>
      <c r="J90">
        <v>95</v>
      </c>
      <c r="K90">
        <v>76</v>
      </c>
      <c r="L90">
        <v>65</v>
      </c>
      <c r="P90" t="s">
        <v>2272</v>
      </c>
      <c r="R90" t="s">
        <v>2273</v>
      </c>
      <c r="S90">
        <v>4</v>
      </c>
      <c r="T90" t="s">
        <v>2274</v>
      </c>
      <c r="U90" t="s">
        <v>2275</v>
      </c>
    </row>
    <row r="91" spans="1:21" x14ac:dyDescent="0.25">
      <c r="A91" t="s">
        <v>2380</v>
      </c>
      <c r="B91" t="s">
        <v>154</v>
      </c>
      <c r="C91" t="s">
        <v>124</v>
      </c>
      <c r="D91" t="s">
        <v>21</v>
      </c>
      <c r="E91" t="s">
        <v>279</v>
      </c>
      <c r="F91" t="s">
        <v>56</v>
      </c>
      <c r="G91" t="s">
        <v>2271</v>
      </c>
      <c r="H91" s="20">
        <v>46254</v>
      </c>
      <c r="I91">
        <v>1500</v>
      </c>
      <c r="J91">
        <v>110</v>
      </c>
      <c r="K91">
        <v>88</v>
      </c>
      <c r="L91">
        <v>69</v>
      </c>
      <c r="P91" t="s">
        <v>2272</v>
      </c>
      <c r="R91" t="s">
        <v>2273</v>
      </c>
      <c r="S91">
        <v>5</v>
      </c>
      <c r="T91" t="s">
        <v>2319</v>
      </c>
      <c r="U91" t="s">
        <v>2320</v>
      </c>
    </row>
    <row r="92" spans="1:21" x14ac:dyDescent="0.25">
      <c r="A92" t="s">
        <v>2381</v>
      </c>
      <c r="B92" t="s">
        <v>154</v>
      </c>
      <c r="C92" t="s">
        <v>53</v>
      </c>
      <c r="D92" t="s">
        <v>24</v>
      </c>
      <c r="E92" t="s">
        <v>281</v>
      </c>
      <c r="F92" t="s">
        <v>282</v>
      </c>
      <c r="G92" t="s">
        <v>2271</v>
      </c>
      <c r="H92" s="20">
        <v>46250</v>
      </c>
      <c r="I92">
        <v>1800</v>
      </c>
      <c r="J92">
        <v>45</v>
      </c>
      <c r="K92">
        <v>36</v>
      </c>
      <c r="L92">
        <v>25</v>
      </c>
      <c r="M92">
        <v>13</v>
      </c>
      <c r="P92" t="s">
        <v>2272</v>
      </c>
      <c r="R92" t="s">
        <v>2273</v>
      </c>
      <c r="S92">
        <v>4</v>
      </c>
      <c r="T92" t="s">
        <v>2274</v>
      </c>
      <c r="U92" t="s">
        <v>2275</v>
      </c>
    </row>
    <row r="93" spans="1:21" x14ac:dyDescent="0.25">
      <c r="A93" t="s">
        <v>2382</v>
      </c>
      <c r="B93" t="s">
        <v>154</v>
      </c>
      <c r="C93" t="s">
        <v>53</v>
      </c>
      <c r="D93" t="s">
        <v>24</v>
      </c>
      <c r="E93" t="s">
        <v>283</v>
      </c>
      <c r="F93" t="s">
        <v>168</v>
      </c>
      <c r="G93" t="s">
        <v>2271</v>
      </c>
      <c r="H93" s="20">
        <v>46250</v>
      </c>
      <c r="I93">
        <v>1800</v>
      </c>
      <c r="J93">
        <v>45</v>
      </c>
      <c r="K93">
        <v>36</v>
      </c>
      <c r="L93">
        <v>25</v>
      </c>
      <c r="M93">
        <v>13</v>
      </c>
      <c r="P93" t="s">
        <v>2272</v>
      </c>
      <c r="R93" t="s">
        <v>2273</v>
      </c>
      <c r="S93">
        <v>4</v>
      </c>
      <c r="T93" t="s">
        <v>2274</v>
      </c>
      <c r="U93" t="s">
        <v>2275</v>
      </c>
    </row>
    <row r="94" spans="1:21" x14ac:dyDescent="0.25">
      <c r="A94" t="s">
        <v>2383</v>
      </c>
      <c r="B94" t="s">
        <v>154</v>
      </c>
      <c r="C94" t="s">
        <v>53</v>
      </c>
      <c r="D94" t="s">
        <v>24</v>
      </c>
      <c r="E94" t="s">
        <v>284</v>
      </c>
      <c r="F94" t="s">
        <v>285</v>
      </c>
      <c r="G94" t="s">
        <v>2271</v>
      </c>
      <c r="H94" s="20">
        <v>46250</v>
      </c>
      <c r="I94">
        <v>1800</v>
      </c>
      <c r="J94">
        <v>45</v>
      </c>
      <c r="K94">
        <v>36</v>
      </c>
      <c r="L94">
        <v>25</v>
      </c>
      <c r="M94">
        <v>13</v>
      </c>
      <c r="P94" t="s">
        <v>2272</v>
      </c>
      <c r="R94" t="s">
        <v>2273</v>
      </c>
      <c r="S94">
        <v>4</v>
      </c>
      <c r="T94" t="s">
        <v>2274</v>
      </c>
      <c r="U94" t="s">
        <v>2275</v>
      </c>
    </row>
    <row r="95" spans="1:21" x14ac:dyDescent="0.25">
      <c r="A95" t="s">
        <v>2384</v>
      </c>
      <c r="B95" t="s">
        <v>154</v>
      </c>
      <c r="C95" t="s">
        <v>53</v>
      </c>
      <c r="D95" t="s">
        <v>24</v>
      </c>
      <c r="E95" t="s">
        <v>286</v>
      </c>
      <c r="F95" t="s">
        <v>208</v>
      </c>
      <c r="G95" t="s">
        <v>2271</v>
      </c>
      <c r="H95" s="20">
        <v>46250</v>
      </c>
      <c r="I95">
        <v>1800</v>
      </c>
      <c r="J95">
        <v>45</v>
      </c>
      <c r="K95">
        <v>36</v>
      </c>
      <c r="L95">
        <v>25</v>
      </c>
      <c r="M95">
        <v>13</v>
      </c>
      <c r="P95" t="s">
        <v>2272</v>
      </c>
      <c r="R95" t="s">
        <v>2273</v>
      </c>
      <c r="S95">
        <v>4</v>
      </c>
      <c r="T95" t="s">
        <v>2274</v>
      </c>
      <c r="U95" t="s">
        <v>2275</v>
      </c>
    </row>
    <row r="96" spans="1:21" x14ac:dyDescent="0.25">
      <c r="A96" t="s">
        <v>2385</v>
      </c>
      <c r="B96" t="s">
        <v>154</v>
      </c>
      <c r="C96" t="s">
        <v>53</v>
      </c>
      <c r="D96" t="s">
        <v>24</v>
      </c>
      <c r="E96" t="s">
        <v>287</v>
      </c>
      <c r="F96" t="s">
        <v>159</v>
      </c>
      <c r="G96" t="s">
        <v>2271</v>
      </c>
      <c r="H96" s="20">
        <v>46250</v>
      </c>
      <c r="I96">
        <v>1800</v>
      </c>
      <c r="J96">
        <v>45</v>
      </c>
      <c r="K96">
        <v>36</v>
      </c>
      <c r="L96">
        <v>25</v>
      </c>
      <c r="M96">
        <v>13</v>
      </c>
      <c r="P96" t="s">
        <v>2272</v>
      </c>
      <c r="R96" t="s">
        <v>2273</v>
      </c>
      <c r="S96">
        <v>4</v>
      </c>
      <c r="T96" t="s">
        <v>2274</v>
      </c>
      <c r="U96" t="s">
        <v>2275</v>
      </c>
    </row>
    <row r="97" spans="1:21" x14ac:dyDescent="0.25">
      <c r="A97" t="s">
        <v>2386</v>
      </c>
      <c r="B97" t="s">
        <v>154</v>
      </c>
      <c r="C97" t="s">
        <v>53</v>
      </c>
      <c r="D97" t="s">
        <v>24</v>
      </c>
      <c r="E97" t="s">
        <v>288</v>
      </c>
      <c r="F97" t="s">
        <v>289</v>
      </c>
      <c r="G97" t="s">
        <v>2271</v>
      </c>
      <c r="H97" s="20">
        <v>46250</v>
      </c>
      <c r="I97">
        <v>1800</v>
      </c>
      <c r="J97">
        <v>45</v>
      </c>
      <c r="K97">
        <v>36</v>
      </c>
      <c r="L97">
        <v>25</v>
      </c>
      <c r="M97">
        <v>13</v>
      </c>
      <c r="P97" t="s">
        <v>2272</v>
      </c>
      <c r="R97" t="s">
        <v>2273</v>
      </c>
      <c r="S97">
        <v>4</v>
      </c>
      <c r="T97" t="s">
        <v>2274</v>
      </c>
      <c r="U97" t="s">
        <v>2275</v>
      </c>
    </row>
    <row r="98" spans="1:21" x14ac:dyDescent="0.25">
      <c r="A98" t="s">
        <v>2387</v>
      </c>
      <c r="B98" t="s">
        <v>154</v>
      </c>
      <c r="C98" t="s">
        <v>53</v>
      </c>
      <c r="D98" t="s">
        <v>24</v>
      </c>
      <c r="E98" t="s">
        <v>171</v>
      </c>
      <c r="F98" t="s">
        <v>195</v>
      </c>
      <c r="G98" t="s">
        <v>2271</v>
      </c>
      <c r="H98" s="20">
        <v>46250</v>
      </c>
      <c r="I98">
        <v>1800</v>
      </c>
      <c r="J98">
        <v>45</v>
      </c>
      <c r="K98">
        <v>36</v>
      </c>
      <c r="L98">
        <v>25</v>
      </c>
      <c r="M98">
        <v>13</v>
      </c>
      <c r="P98" t="s">
        <v>2272</v>
      </c>
      <c r="R98" t="s">
        <v>2273</v>
      </c>
      <c r="S98">
        <v>4</v>
      </c>
      <c r="T98" t="s">
        <v>2274</v>
      </c>
      <c r="U98" t="s">
        <v>2275</v>
      </c>
    </row>
    <row r="99" spans="1:21" x14ac:dyDescent="0.25">
      <c r="A99" t="s">
        <v>2388</v>
      </c>
      <c r="B99" t="s">
        <v>154</v>
      </c>
      <c r="C99" t="s">
        <v>53</v>
      </c>
      <c r="D99" t="s">
        <v>24</v>
      </c>
      <c r="E99" t="s">
        <v>290</v>
      </c>
      <c r="F99" t="s">
        <v>291</v>
      </c>
      <c r="G99" t="s">
        <v>2271</v>
      </c>
      <c r="H99" s="20">
        <v>46250</v>
      </c>
      <c r="I99">
        <v>1800</v>
      </c>
      <c r="J99">
        <v>45</v>
      </c>
      <c r="K99">
        <v>36</v>
      </c>
      <c r="L99">
        <v>25</v>
      </c>
      <c r="M99">
        <v>13</v>
      </c>
      <c r="P99" t="s">
        <v>2272</v>
      </c>
      <c r="R99" t="s">
        <v>2273</v>
      </c>
      <c r="S99">
        <v>4</v>
      </c>
      <c r="T99" t="s">
        <v>2274</v>
      </c>
      <c r="U99" t="s">
        <v>2275</v>
      </c>
    </row>
    <row r="100" spans="1:21" x14ac:dyDescent="0.25">
      <c r="A100" t="s">
        <v>2389</v>
      </c>
      <c r="B100" t="s">
        <v>154</v>
      </c>
      <c r="C100" t="s">
        <v>53</v>
      </c>
      <c r="D100" t="s">
        <v>24</v>
      </c>
      <c r="E100" t="s">
        <v>292</v>
      </c>
      <c r="F100" t="s">
        <v>293</v>
      </c>
      <c r="G100" t="s">
        <v>2271</v>
      </c>
      <c r="H100" s="20">
        <v>46250</v>
      </c>
      <c r="I100">
        <v>1800</v>
      </c>
      <c r="J100">
        <v>45</v>
      </c>
      <c r="K100">
        <v>36</v>
      </c>
      <c r="L100">
        <v>25</v>
      </c>
      <c r="M100">
        <v>13</v>
      </c>
      <c r="P100" t="s">
        <v>2272</v>
      </c>
      <c r="R100" t="s">
        <v>2273</v>
      </c>
      <c r="S100">
        <v>4</v>
      </c>
      <c r="T100" t="s">
        <v>2274</v>
      </c>
      <c r="U100" t="s">
        <v>2275</v>
      </c>
    </row>
    <row r="101" spans="1:21" x14ac:dyDescent="0.25">
      <c r="A101" t="s">
        <v>2390</v>
      </c>
      <c r="B101" t="s">
        <v>154</v>
      </c>
      <c r="C101" t="s">
        <v>53</v>
      </c>
      <c r="D101" t="s">
        <v>24</v>
      </c>
      <c r="E101" t="s">
        <v>294</v>
      </c>
      <c r="F101" t="s">
        <v>295</v>
      </c>
      <c r="G101" t="s">
        <v>2271</v>
      </c>
      <c r="H101" s="20">
        <v>46250</v>
      </c>
      <c r="I101">
        <v>1800</v>
      </c>
      <c r="J101">
        <v>45</v>
      </c>
      <c r="K101">
        <v>36</v>
      </c>
      <c r="L101">
        <v>25</v>
      </c>
      <c r="M101">
        <v>13</v>
      </c>
      <c r="P101" t="s">
        <v>2272</v>
      </c>
      <c r="R101" t="s">
        <v>2273</v>
      </c>
      <c r="S101">
        <v>4</v>
      </c>
      <c r="T101" t="s">
        <v>2274</v>
      </c>
      <c r="U101" t="s">
        <v>2275</v>
      </c>
    </row>
    <row r="102" spans="1:21" x14ac:dyDescent="0.25">
      <c r="A102" t="s">
        <v>2391</v>
      </c>
      <c r="B102" t="s">
        <v>154</v>
      </c>
      <c r="C102" t="s">
        <v>53</v>
      </c>
      <c r="D102" t="s">
        <v>21</v>
      </c>
      <c r="E102" t="s">
        <v>296</v>
      </c>
      <c r="F102" t="s">
        <v>199</v>
      </c>
      <c r="G102" t="s">
        <v>2271</v>
      </c>
      <c r="H102" s="20">
        <v>46254</v>
      </c>
      <c r="I102">
        <v>1500</v>
      </c>
      <c r="J102">
        <v>49</v>
      </c>
      <c r="K102">
        <v>41</v>
      </c>
      <c r="L102">
        <v>14</v>
      </c>
      <c r="M102">
        <v>10</v>
      </c>
      <c r="P102" t="s">
        <v>2272</v>
      </c>
      <c r="R102" t="s">
        <v>2273</v>
      </c>
      <c r="S102">
        <v>5</v>
      </c>
      <c r="T102" t="s">
        <v>2319</v>
      </c>
      <c r="U102" t="s">
        <v>2320</v>
      </c>
    </row>
    <row r="103" spans="1:21" x14ac:dyDescent="0.25">
      <c r="A103" t="s">
        <v>2392</v>
      </c>
      <c r="B103" t="s">
        <v>154</v>
      </c>
      <c r="C103" t="s">
        <v>53</v>
      </c>
      <c r="D103" t="s">
        <v>21</v>
      </c>
      <c r="E103" t="s">
        <v>297</v>
      </c>
      <c r="F103" t="s">
        <v>298</v>
      </c>
      <c r="G103" t="s">
        <v>2271</v>
      </c>
      <c r="H103" s="20">
        <v>46254</v>
      </c>
      <c r="I103">
        <v>1500</v>
      </c>
      <c r="J103">
        <v>49</v>
      </c>
      <c r="K103">
        <v>41</v>
      </c>
      <c r="L103">
        <v>14</v>
      </c>
      <c r="M103">
        <v>10</v>
      </c>
      <c r="P103" t="s">
        <v>2272</v>
      </c>
      <c r="R103" t="s">
        <v>2273</v>
      </c>
      <c r="S103">
        <v>5</v>
      </c>
      <c r="T103" t="s">
        <v>2319</v>
      </c>
      <c r="U103" t="s">
        <v>2320</v>
      </c>
    </row>
    <row r="104" spans="1:21" x14ac:dyDescent="0.25">
      <c r="A104" t="s">
        <v>2393</v>
      </c>
      <c r="B104" t="s">
        <v>154</v>
      </c>
      <c r="C104" t="s">
        <v>53</v>
      </c>
      <c r="D104" t="s">
        <v>21</v>
      </c>
      <c r="E104" t="s">
        <v>299</v>
      </c>
      <c r="F104" t="s">
        <v>300</v>
      </c>
      <c r="G104" t="s">
        <v>2271</v>
      </c>
      <c r="H104" s="20">
        <v>46254</v>
      </c>
      <c r="I104">
        <v>1500</v>
      </c>
      <c r="J104">
        <v>49</v>
      </c>
      <c r="K104">
        <v>41</v>
      </c>
      <c r="L104">
        <v>14</v>
      </c>
      <c r="M104">
        <v>10</v>
      </c>
      <c r="P104" t="s">
        <v>2272</v>
      </c>
      <c r="R104" t="s">
        <v>2273</v>
      </c>
      <c r="S104">
        <v>5</v>
      </c>
      <c r="T104" t="s">
        <v>2319</v>
      </c>
      <c r="U104" t="s">
        <v>2320</v>
      </c>
    </row>
    <row r="105" spans="1:21" x14ac:dyDescent="0.25">
      <c r="A105" t="s">
        <v>2394</v>
      </c>
      <c r="B105" t="s">
        <v>154</v>
      </c>
      <c r="C105" t="s">
        <v>53</v>
      </c>
      <c r="D105" t="s">
        <v>21</v>
      </c>
      <c r="E105" t="s">
        <v>301</v>
      </c>
      <c r="F105" t="s">
        <v>60</v>
      </c>
      <c r="G105" t="s">
        <v>2271</v>
      </c>
      <c r="H105" s="20">
        <v>46254</v>
      </c>
      <c r="I105">
        <v>1500</v>
      </c>
      <c r="J105">
        <v>49</v>
      </c>
      <c r="K105">
        <v>41</v>
      </c>
      <c r="L105">
        <v>14</v>
      </c>
      <c r="M105">
        <v>10</v>
      </c>
      <c r="P105" t="s">
        <v>2272</v>
      </c>
      <c r="R105" t="s">
        <v>2273</v>
      </c>
      <c r="S105">
        <v>5</v>
      </c>
      <c r="T105" t="s">
        <v>2319</v>
      </c>
      <c r="U105" t="s">
        <v>2320</v>
      </c>
    </row>
    <row r="106" spans="1:21" x14ac:dyDescent="0.25">
      <c r="A106" t="s">
        <v>2395</v>
      </c>
      <c r="B106" t="s">
        <v>154</v>
      </c>
      <c r="C106" t="s">
        <v>53</v>
      </c>
      <c r="D106" t="s">
        <v>21</v>
      </c>
      <c r="E106" t="s">
        <v>302</v>
      </c>
      <c r="F106" t="s">
        <v>303</v>
      </c>
      <c r="G106" t="s">
        <v>2271</v>
      </c>
      <c r="H106" s="20">
        <v>46254</v>
      </c>
      <c r="I106">
        <v>1500</v>
      </c>
      <c r="J106">
        <v>49</v>
      </c>
      <c r="K106">
        <v>41</v>
      </c>
      <c r="L106">
        <v>14</v>
      </c>
      <c r="M106">
        <v>10</v>
      </c>
      <c r="P106" t="s">
        <v>2272</v>
      </c>
      <c r="R106" t="s">
        <v>2273</v>
      </c>
      <c r="S106">
        <v>5</v>
      </c>
      <c r="T106" t="s">
        <v>2319</v>
      </c>
      <c r="U106" t="s">
        <v>2320</v>
      </c>
    </row>
    <row r="107" spans="1:21" x14ac:dyDescent="0.25">
      <c r="A107" t="s">
        <v>2396</v>
      </c>
      <c r="B107" t="s">
        <v>154</v>
      </c>
      <c r="C107" t="s">
        <v>132</v>
      </c>
      <c r="D107" t="s">
        <v>24</v>
      </c>
      <c r="E107" t="s">
        <v>306</v>
      </c>
      <c r="F107" t="s">
        <v>307</v>
      </c>
      <c r="G107" t="s">
        <v>2271</v>
      </c>
      <c r="H107" s="20">
        <v>46250</v>
      </c>
      <c r="I107">
        <v>1800</v>
      </c>
      <c r="J107">
        <v>40</v>
      </c>
      <c r="K107">
        <v>32</v>
      </c>
      <c r="L107">
        <v>28</v>
      </c>
      <c r="M107">
        <v>13</v>
      </c>
      <c r="P107" t="s">
        <v>2272</v>
      </c>
      <c r="R107" t="s">
        <v>2273</v>
      </c>
      <c r="S107">
        <v>4</v>
      </c>
      <c r="T107" t="s">
        <v>2274</v>
      </c>
      <c r="U107" t="s">
        <v>2275</v>
      </c>
    </row>
    <row r="108" spans="1:21" x14ac:dyDescent="0.25">
      <c r="A108" t="s">
        <v>2397</v>
      </c>
      <c r="B108" t="s">
        <v>154</v>
      </c>
      <c r="C108" t="s">
        <v>132</v>
      </c>
      <c r="D108" t="s">
        <v>24</v>
      </c>
      <c r="E108" t="s">
        <v>308</v>
      </c>
      <c r="F108" t="s">
        <v>309</v>
      </c>
      <c r="G108" t="s">
        <v>2271</v>
      </c>
      <c r="H108" s="20">
        <v>46250</v>
      </c>
      <c r="I108">
        <v>1800</v>
      </c>
      <c r="J108">
        <v>40</v>
      </c>
      <c r="K108">
        <v>32</v>
      </c>
      <c r="L108">
        <v>28</v>
      </c>
      <c r="M108">
        <v>13</v>
      </c>
      <c r="P108" t="s">
        <v>2272</v>
      </c>
      <c r="R108" t="s">
        <v>2273</v>
      </c>
      <c r="S108">
        <v>4</v>
      </c>
      <c r="T108" t="s">
        <v>2274</v>
      </c>
      <c r="U108" t="s">
        <v>2275</v>
      </c>
    </row>
    <row r="109" spans="1:21" x14ac:dyDescent="0.25">
      <c r="A109" t="s">
        <v>2398</v>
      </c>
      <c r="B109" t="s">
        <v>154</v>
      </c>
      <c r="C109" t="s">
        <v>132</v>
      </c>
      <c r="D109" t="s">
        <v>24</v>
      </c>
      <c r="E109" t="s">
        <v>310</v>
      </c>
      <c r="F109" t="s">
        <v>212</v>
      </c>
      <c r="G109" t="s">
        <v>2271</v>
      </c>
      <c r="H109" s="20">
        <v>46250</v>
      </c>
      <c r="I109">
        <v>1800</v>
      </c>
      <c r="J109">
        <v>40</v>
      </c>
      <c r="K109">
        <v>32</v>
      </c>
      <c r="L109">
        <v>28</v>
      </c>
      <c r="M109">
        <v>13</v>
      </c>
      <c r="P109" t="s">
        <v>2272</v>
      </c>
      <c r="R109" t="s">
        <v>2273</v>
      </c>
      <c r="S109">
        <v>4</v>
      </c>
      <c r="T109" t="s">
        <v>2274</v>
      </c>
      <c r="U109" t="s">
        <v>2275</v>
      </c>
    </row>
    <row r="110" spans="1:21" x14ac:dyDescent="0.25">
      <c r="A110" t="s">
        <v>2399</v>
      </c>
      <c r="B110" t="s">
        <v>154</v>
      </c>
      <c r="C110" t="s">
        <v>132</v>
      </c>
      <c r="D110" t="s">
        <v>24</v>
      </c>
      <c r="E110" t="s">
        <v>311</v>
      </c>
      <c r="F110" t="s">
        <v>180</v>
      </c>
      <c r="G110" t="s">
        <v>2271</v>
      </c>
      <c r="H110" s="20">
        <v>46250</v>
      </c>
      <c r="I110">
        <v>1800</v>
      </c>
      <c r="J110">
        <v>40</v>
      </c>
      <c r="K110">
        <v>32</v>
      </c>
      <c r="L110">
        <v>28</v>
      </c>
      <c r="M110">
        <v>13</v>
      </c>
      <c r="P110" t="s">
        <v>2272</v>
      </c>
      <c r="R110" t="s">
        <v>2273</v>
      </c>
      <c r="S110">
        <v>4</v>
      </c>
      <c r="T110" t="s">
        <v>2274</v>
      </c>
      <c r="U110" t="s">
        <v>2275</v>
      </c>
    </row>
    <row r="111" spans="1:21" x14ac:dyDescent="0.25">
      <c r="A111" t="s">
        <v>2400</v>
      </c>
      <c r="B111" t="s">
        <v>154</v>
      </c>
      <c r="C111" t="s">
        <v>132</v>
      </c>
      <c r="D111" t="s">
        <v>21</v>
      </c>
      <c r="E111" t="s">
        <v>312</v>
      </c>
      <c r="F111" t="s">
        <v>272</v>
      </c>
      <c r="G111" t="s">
        <v>2271</v>
      </c>
      <c r="H111" s="20">
        <v>46254</v>
      </c>
      <c r="I111">
        <v>1500</v>
      </c>
      <c r="J111">
        <v>46</v>
      </c>
      <c r="K111">
        <v>23</v>
      </c>
      <c r="L111">
        <v>14</v>
      </c>
      <c r="M111">
        <v>10</v>
      </c>
      <c r="P111" t="s">
        <v>2272</v>
      </c>
      <c r="R111" t="s">
        <v>2273</v>
      </c>
      <c r="S111">
        <v>5</v>
      </c>
      <c r="T111" t="s">
        <v>2319</v>
      </c>
      <c r="U111" t="s">
        <v>2320</v>
      </c>
    </row>
    <row r="112" spans="1:21" x14ac:dyDescent="0.25">
      <c r="A112" t="s">
        <v>2401</v>
      </c>
      <c r="B112" t="s">
        <v>154</v>
      </c>
      <c r="C112" t="s">
        <v>134</v>
      </c>
      <c r="D112" t="s">
        <v>24</v>
      </c>
      <c r="E112" t="s">
        <v>314</v>
      </c>
      <c r="F112" t="s">
        <v>315</v>
      </c>
      <c r="G112" t="s">
        <v>2271</v>
      </c>
      <c r="H112" s="20">
        <v>46250</v>
      </c>
      <c r="I112">
        <v>1800</v>
      </c>
      <c r="J112">
        <v>42</v>
      </c>
      <c r="K112">
        <v>34</v>
      </c>
      <c r="L112">
        <v>30</v>
      </c>
      <c r="M112">
        <v>15</v>
      </c>
      <c r="P112" t="s">
        <v>2272</v>
      </c>
      <c r="R112" t="s">
        <v>2273</v>
      </c>
      <c r="S112">
        <v>4</v>
      </c>
      <c r="T112" t="s">
        <v>2274</v>
      </c>
      <c r="U112" t="s">
        <v>2275</v>
      </c>
    </row>
    <row r="113" spans="1:21" x14ac:dyDescent="0.25">
      <c r="A113" t="s">
        <v>2402</v>
      </c>
      <c r="B113" t="s">
        <v>154</v>
      </c>
      <c r="C113" t="s">
        <v>134</v>
      </c>
      <c r="D113" t="s">
        <v>24</v>
      </c>
      <c r="E113" t="s">
        <v>316</v>
      </c>
      <c r="F113" t="s">
        <v>317</v>
      </c>
      <c r="G113" t="s">
        <v>2271</v>
      </c>
      <c r="H113" s="20">
        <v>46250</v>
      </c>
      <c r="I113">
        <v>1800</v>
      </c>
      <c r="J113">
        <v>42</v>
      </c>
      <c r="K113">
        <v>34</v>
      </c>
      <c r="L113">
        <v>30</v>
      </c>
      <c r="M113">
        <v>15</v>
      </c>
      <c r="P113" t="s">
        <v>2272</v>
      </c>
      <c r="R113" t="s">
        <v>2273</v>
      </c>
      <c r="S113">
        <v>4</v>
      </c>
      <c r="T113" t="s">
        <v>2274</v>
      </c>
      <c r="U113" t="s">
        <v>2275</v>
      </c>
    </row>
    <row r="114" spans="1:21" x14ac:dyDescent="0.25">
      <c r="A114" t="s">
        <v>2403</v>
      </c>
      <c r="B114" t="s">
        <v>154</v>
      </c>
      <c r="C114" t="s">
        <v>134</v>
      </c>
      <c r="D114" t="s">
        <v>21</v>
      </c>
      <c r="E114" t="s">
        <v>318</v>
      </c>
      <c r="F114" t="s">
        <v>319</v>
      </c>
      <c r="G114" t="s">
        <v>2271</v>
      </c>
      <c r="H114" s="20">
        <v>46254</v>
      </c>
      <c r="I114">
        <v>1500</v>
      </c>
      <c r="J114">
        <v>57</v>
      </c>
      <c r="K114">
        <v>23</v>
      </c>
      <c r="L114">
        <v>18</v>
      </c>
      <c r="M114">
        <v>15</v>
      </c>
      <c r="P114" t="s">
        <v>2272</v>
      </c>
      <c r="R114" t="s">
        <v>2273</v>
      </c>
      <c r="S114">
        <v>5</v>
      </c>
      <c r="T114" t="s">
        <v>2319</v>
      </c>
      <c r="U114" t="s">
        <v>2320</v>
      </c>
    </row>
    <row r="115" spans="1:21" x14ac:dyDescent="0.25">
      <c r="A115" t="s">
        <v>2404</v>
      </c>
      <c r="B115" t="s">
        <v>154</v>
      </c>
      <c r="C115" t="s">
        <v>134</v>
      </c>
      <c r="D115" t="s">
        <v>21</v>
      </c>
      <c r="E115" t="s">
        <v>320</v>
      </c>
      <c r="F115" t="s">
        <v>262</v>
      </c>
      <c r="G115" t="s">
        <v>2271</v>
      </c>
      <c r="H115" s="20">
        <v>46254</v>
      </c>
      <c r="I115">
        <v>1500</v>
      </c>
      <c r="J115">
        <v>57</v>
      </c>
      <c r="K115">
        <v>23</v>
      </c>
      <c r="L115">
        <v>18</v>
      </c>
      <c r="M115">
        <v>15</v>
      </c>
      <c r="P115" t="s">
        <v>2272</v>
      </c>
      <c r="R115" t="s">
        <v>2273</v>
      </c>
      <c r="S115">
        <v>5</v>
      </c>
      <c r="T115" t="s">
        <v>2319</v>
      </c>
      <c r="U115" t="s">
        <v>2320</v>
      </c>
    </row>
    <row r="116" spans="1:21" x14ac:dyDescent="0.25">
      <c r="A116" t="s">
        <v>2405</v>
      </c>
      <c r="B116" t="s">
        <v>154</v>
      </c>
      <c r="C116" t="s">
        <v>134</v>
      </c>
      <c r="D116" t="s">
        <v>21</v>
      </c>
      <c r="E116" t="s">
        <v>321</v>
      </c>
      <c r="F116" t="s">
        <v>322</v>
      </c>
      <c r="G116" t="s">
        <v>2271</v>
      </c>
      <c r="H116" s="20">
        <v>46254</v>
      </c>
      <c r="I116">
        <v>1500</v>
      </c>
      <c r="J116">
        <v>57</v>
      </c>
      <c r="K116">
        <v>23</v>
      </c>
      <c r="L116">
        <v>18</v>
      </c>
      <c r="M116">
        <v>15</v>
      </c>
      <c r="P116" t="s">
        <v>2272</v>
      </c>
      <c r="R116" t="s">
        <v>2273</v>
      </c>
      <c r="S116">
        <v>5</v>
      </c>
      <c r="T116" t="s">
        <v>2319</v>
      </c>
      <c r="U116" t="s">
        <v>2320</v>
      </c>
    </row>
    <row r="117" spans="1:21" x14ac:dyDescent="0.25">
      <c r="A117" t="s">
        <v>2406</v>
      </c>
      <c r="B117" t="s">
        <v>154</v>
      </c>
      <c r="C117" t="s">
        <v>140</v>
      </c>
      <c r="D117" t="s">
        <v>24</v>
      </c>
      <c r="E117" t="s">
        <v>325</v>
      </c>
      <c r="F117" t="s">
        <v>326</v>
      </c>
      <c r="G117" t="s">
        <v>2271</v>
      </c>
      <c r="H117" s="20">
        <v>46250</v>
      </c>
      <c r="I117">
        <v>1800</v>
      </c>
      <c r="J117">
        <v>76</v>
      </c>
      <c r="K117">
        <v>62</v>
      </c>
      <c r="L117">
        <v>54</v>
      </c>
      <c r="P117" t="s">
        <v>2272</v>
      </c>
      <c r="R117" t="s">
        <v>2273</v>
      </c>
      <c r="S117">
        <v>4</v>
      </c>
      <c r="T117" t="s">
        <v>2274</v>
      </c>
      <c r="U117" t="s">
        <v>2275</v>
      </c>
    </row>
    <row r="118" spans="1:21" x14ac:dyDescent="0.25">
      <c r="A118" t="s">
        <v>2407</v>
      </c>
      <c r="B118" t="s">
        <v>154</v>
      </c>
      <c r="C118" t="s">
        <v>140</v>
      </c>
      <c r="D118" t="s">
        <v>24</v>
      </c>
      <c r="E118" t="s">
        <v>327</v>
      </c>
      <c r="F118" t="s">
        <v>242</v>
      </c>
      <c r="G118" t="s">
        <v>2271</v>
      </c>
      <c r="H118" s="20">
        <v>46250</v>
      </c>
      <c r="I118">
        <v>1800</v>
      </c>
      <c r="J118">
        <v>76</v>
      </c>
      <c r="K118">
        <v>62</v>
      </c>
      <c r="L118">
        <v>54</v>
      </c>
      <c r="P118" t="s">
        <v>2272</v>
      </c>
      <c r="R118" t="s">
        <v>2273</v>
      </c>
      <c r="S118">
        <v>4</v>
      </c>
      <c r="T118" t="s">
        <v>2274</v>
      </c>
      <c r="U118" t="s">
        <v>2275</v>
      </c>
    </row>
    <row r="119" spans="1:21" x14ac:dyDescent="0.25">
      <c r="A119" t="s">
        <v>2408</v>
      </c>
      <c r="B119" t="s">
        <v>154</v>
      </c>
      <c r="C119" t="s">
        <v>144</v>
      </c>
      <c r="D119" t="s">
        <v>24</v>
      </c>
      <c r="E119" t="s">
        <v>329</v>
      </c>
      <c r="F119" t="s">
        <v>330</v>
      </c>
      <c r="G119" t="s">
        <v>2271</v>
      </c>
      <c r="H119" s="20">
        <v>46250</v>
      </c>
      <c r="I119">
        <v>1800</v>
      </c>
      <c r="J119">
        <v>57</v>
      </c>
      <c r="K119">
        <v>46</v>
      </c>
      <c r="L119">
        <v>41</v>
      </c>
      <c r="P119" t="s">
        <v>2272</v>
      </c>
      <c r="R119" t="s">
        <v>2273</v>
      </c>
      <c r="S119">
        <v>4</v>
      </c>
      <c r="T119" t="s">
        <v>2274</v>
      </c>
      <c r="U119" t="s">
        <v>2275</v>
      </c>
    </row>
    <row r="120" spans="1:21" x14ac:dyDescent="0.25">
      <c r="A120" t="s">
        <v>2409</v>
      </c>
      <c r="B120" t="s">
        <v>154</v>
      </c>
      <c r="C120" t="s">
        <v>144</v>
      </c>
      <c r="D120" t="s">
        <v>24</v>
      </c>
      <c r="E120" t="s">
        <v>331</v>
      </c>
      <c r="F120" t="s">
        <v>293</v>
      </c>
      <c r="G120" t="s">
        <v>2271</v>
      </c>
      <c r="H120" s="20">
        <v>46250</v>
      </c>
      <c r="I120">
        <v>1800</v>
      </c>
      <c r="J120">
        <v>57</v>
      </c>
      <c r="K120">
        <v>46</v>
      </c>
      <c r="L120">
        <v>41</v>
      </c>
      <c r="P120" t="s">
        <v>2272</v>
      </c>
      <c r="R120" t="s">
        <v>2273</v>
      </c>
      <c r="S120">
        <v>4</v>
      </c>
      <c r="T120" t="s">
        <v>2274</v>
      </c>
      <c r="U120" t="s">
        <v>2275</v>
      </c>
    </row>
    <row r="121" spans="1:21" x14ac:dyDescent="0.25">
      <c r="A121" t="s">
        <v>2410</v>
      </c>
      <c r="B121" t="s">
        <v>154</v>
      </c>
      <c r="C121" t="s">
        <v>144</v>
      </c>
      <c r="D121" t="s">
        <v>26</v>
      </c>
      <c r="E121" t="s">
        <v>332</v>
      </c>
      <c r="F121" t="s">
        <v>333</v>
      </c>
      <c r="H121" s="20"/>
      <c r="P121" t="s">
        <v>2291</v>
      </c>
      <c r="R121" t="s">
        <v>2292</v>
      </c>
    </row>
    <row r="122" spans="1:21" x14ac:dyDescent="0.25">
      <c r="A122" t="s">
        <v>2411</v>
      </c>
      <c r="B122" t="s">
        <v>154</v>
      </c>
      <c r="C122" t="s">
        <v>144</v>
      </c>
      <c r="D122" t="s">
        <v>21</v>
      </c>
      <c r="E122" t="s">
        <v>334</v>
      </c>
      <c r="F122" t="s">
        <v>335</v>
      </c>
      <c r="G122" t="s">
        <v>2271</v>
      </c>
      <c r="H122" s="20">
        <v>46254</v>
      </c>
      <c r="I122">
        <v>1500</v>
      </c>
      <c r="J122">
        <v>78</v>
      </c>
      <c r="K122">
        <v>53</v>
      </c>
      <c r="L122">
        <v>30</v>
      </c>
      <c r="P122" t="s">
        <v>2272</v>
      </c>
      <c r="R122" t="s">
        <v>2273</v>
      </c>
      <c r="S122">
        <v>5</v>
      </c>
      <c r="T122" t="s">
        <v>2319</v>
      </c>
      <c r="U122" t="s">
        <v>2320</v>
      </c>
    </row>
    <row r="123" spans="1:21" x14ac:dyDescent="0.25">
      <c r="A123" t="s">
        <v>2412</v>
      </c>
      <c r="B123" t="s">
        <v>154</v>
      </c>
      <c r="C123" t="s">
        <v>150</v>
      </c>
      <c r="D123" t="s">
        <v>24</v>
      </c>
      <c r="E123" t="s">
        <v>338</v>
      </c>
      <c r="F123" t="s">
        <v>339</v>
      </c>
      <c r="G123" t="s">
        <v>2271</v>
      </c>
      <c r="H123" s="20">
        <v>46250</v>
      </c>
      <c r="I123">
        <v>1800</v>
      </c>
      <c r="J123">
        <v>40</v>
      </c>
      <c r="K123">
        <v>32</v>
      </c>
      <c r="L123">
        <v>28</v>
      </c>
      <c r="M123">
        <v>13</v>
      </c>
      <c r="P123" t="s">
        <v>2272</v>
      </c>
      <c r="R123" t="s">
        <v>2273</v>
      </c>
      <c r="S123">
        <v>4</v>
      </c>
      <c r="T123" t="s">
        <v>2274</v>
      </c>
      <c r="U123" t="s">
        <v>2275</v>
      </c>
    </row>
    <row r="124" spans="1:21" x14ac:dyDescent="0.25">
      <c r="A124" t="s">
        <v>2413</v>
      </c>
      <c r="B124" t="s">
        <v>154</v>
      </c>
      <c r="C124" t="s">
        <v>150</v>
      </c>
      <c r="D124" t="s">
        <v>24</v>
      </c>
      <c r="E124" t="s">
        <v>340</v>
      </c>
      <c r="F124" t="s">
        <v>56</v>
      </c>
      <c r="G124" t="s">
        <v>2271</v>
      </c>
      <c r="H124" s="20">
        <v>46250</v>
      </c>
      <c r="I124">
        <v>1800</v>
      </c>
      <c r="J124">
        <v>40</v>
      </c>
      <c r="K124">
        <v>32</v>
      </c>
      <c r="L124">
        <v>28</v>
      </c>
      <c r="M124">
        <v>13</v>
      </c>
      <c r="P124" t="s">
        <v>2272</v>
      </c>
      <c r="R124" t="s">
        <v>2273</v>
      </c>
      <c r="S124">
        <v>4</v>
      </c>
      <c r="T124" t="s">
        <v>2274</v>
      </c>
      <c r="U124" t="s">
        <v>2275</v>
      </c>
    </row>
    <row r="125" spans="1:21" x14ac:dyDescent="0.25">
      <c r="A125" t="s">
        <v>2414</v>
      </c>
      <c r="B125" t="s">
        <v>154</v>
      </c>
      <c r="C125" t="s">
        <v>150</v>
      </c>
      <c r="D125" t="s">
        <v>24</v>
      </c>
      <c r="E125" t="s">
        <v>341</v>
      </c>
      <c r="F125" t="s">
        <v>342</v>
      </c>
      <c r="G125" t="s">
        <v>2271</v>
      </c>
      <c r="H125" s="20">
        <v>46250</v>
      </c>
      <c r="I125">
        <v>1800</v>
      </c>
      <c r="J125">
        <v>40</v>
      </c>
      <c r="K125">
        <v>32</v>
      </c>
      <c r="L125">
        <v>28</v>
      </c>
      <c r="M125">
        <v>13</v>
      </c>
      <c r="P125" t="s">
        <v>2272</v>
      </c>
      <c r="R125" t="s">
        <v>2273</v>
      </c>
      <c r="S125">
        <v>4</v>
      </c>
      <c r="T125" t="s">
        <v>2274</v>
      </c>
      <c r="U125" t="s">
        <v>2275</v>
      </c>
    </row>
    <row r="126" spans="1:21" x14ac:dyDescent="0.25">
      <c r="A126" t="s">
        <v>2415</v>
      </c>
      <c r="B126" t="s">
        <v>154</v>
      </c>
      <c r="C126" t="s">
        <v>150</v>
      </c>
      <c r="D126" t="s">
        <v>21</v>
      </c>
      <c r="E126" t="s">
        <v>343</v>
      </c>
      <c r="F126" t="s">
        <v>215</v>
      </c>
      <c r="G126" t="s">
        <v>2271</v>
      </c>
      <c r="H126" s="20">
        <v>46254</v>
      </c>
      <c r="I126">
        <v>1500</v>
      </c>
      <c r="J126">
        <v>36</v>
      </c>
      <c r="K126">
        <v>29</v>
      </c>
      <c r="L126">
        <v>25</v>
      </c>
      <c r="M126">
        <v>12</v>
      </c>
      <c r="P126" t="s">
        <v>2272</v>
      </c>
      <c r="R126" t="s">
        <v>2273</v>
      </c>
      <c r="S126">
        <v>5</v>
      </c>
      <c r="T126" t="s">
        <v>2319</v>
      </c>
      <c r="U126" t="s">
        <v>2320</v>
      </c>
    </row>
    <row r="127" spans="1:21" x14ac:dyDescent="0.25">
      <c r="A127" t="s">
        <v>2416</v>
      </c>
      <c r="B127" t="s">
        <v>154</v>
      </c>
      <c r="C127" t="s">
        <v>152</v>
      </c>
      <c r="D127" t="s">
        <v>24</v>
      </c>
      <c r="E127" t="s">
        <v>345</v>
      </c>
      <c r="F127" t="s">
        <v>70</v>
      </c>
      <c r="G127" t="s">
        <v>2271</v>
      </c>
      <c r="H127" s="20">
        <v>46250</v>
      </c>
      <c r="I127">
        <v>1800</v>
      </c>
      <c r="J127">
        <v>40</v>
      </c>
      <c r="K127">
        <v>32</v>
      </c>
      <c r="L127">
        <v>28</v>
      </c>
      <c r="M127">
        <v>13</v>
      </c>
      <c r="P127" t="s">
        <v>2272</v>
      </c>
      <c r="R127" t="s">
        <v>2273</v>
      </c>
      <c r="S127">
        <v>4</v>
      </c>
      <c r="T127" t="s">
        <v>2274</v>
      </c>
      <c r="U127" t="s">
        <v>2275</v>
      </c>
    </row>
    <row r="128" spans="1:21" x14ac:dyDescent="0.25">
      <c r="A128" t="s">
        <v>2417</v>
      </c>
      <c r="B128" t="s">
        <v>154</v>
      </c>
      <c r="C128" t="s">
        <v>152</v>
      </c>
      <c r="D128" t="s">
        <v>24</v>
      </c>
      <c r="E128" t="s">
        <v>346</v>
      </c>
      <c r="F128" t="s">
        <v>347</v>
      </c>
      <c r="G128" t="s">
        <v>2271</v>
      </c>
      <c r="H128" s="20">
        <v>46250</v>
      </c>
      <c r="I128">
        <v>1800</v>
      </c>
      <c r="J128">
        <v>40</v>
      </c>
      <c r="K128">
        <v>32</v>
      </c>
      <c r="L128">
        <v>28</v>
      </c>
      <c r="M128">
        <v>13</v>
      </c>
      <c r="P128" t="s">
        <v>2272</v>
      </c>
      <c r="R128" t="s">
        <v>2273</v>
      </c>
      <c r="S128">
        <v>4</v>
      </c>
      <c r="T128" t="s">
        <v>2274</v>
      </c>
      <c r="U128" t="s">
        <v>2275</v>
      </c>
    </row>
    <row r="129" spans="1:21" x14ac:dyDescent="0.25">
      <c r="A129" t="s">
        <v>2418</v>
      </c>
      <c r="B129" t="s">
        <v>154</v>
      </c>
      <c r="C129" t="s">
        <v>152</v>
      </c>
      <c r="D129" t="s">
        <v>24</v>
      </c>
      <c r="E129" t="s">
        <v>348</v>
      </c>
      <c r="F129" t="s">
        <v>349</v>
      </c>
      <c r="G129" t="s">
        <v>2271</v>
      </c>
      <c r="H129" s="20">
        <v>46250</v>
      </c>
      <c r="I129">
        <v>1800</v>
      </c>
      <c r="J129">
        <v>40</v>
      </c>
      <c r="K129">
        <v>32</v>
      </c>
      <c r="L129">
        <v>28</v>
      </c>
      <c r="M129">
        <v>13</v>
      </c>
      <c r="P129" t="s">
        <v>2272</v>
      </c>
      <c r="R129" t="s">
        <v>2273</v>
      </c>
      <c r="S129">
        <v>4</v>
      </c>
      <c r="T129" t="s">
        <v>2274</v>
      </c>
      <c r="U129" t="s">
        <v>2275</v>
      </c>
    </row>
    <row r="130" spans="1:21" x14ac:dyDescent="0.25">
      <c r="A130" t="s">
        <v>2419</v>
      </c>
      <c r="B130" t="s">
        <v>154</v>
      </c>
      <c r="C130" t="s">
        <v>152</v>
      </c>
      <c r="D130" t="s">
        <v>21</v>
      </c>
      <c r="E130" t="s">
        <v>350</v>
      </c>
      <c r="F130" t="s">
        <v>182</v>
      </c>
      <c r="G130" t="s">
        <v>2271</v>
      </c>
      <c r="H130" s="20">
        <v>46254</v>
      </c>
      <c r="I130">
        <v>1500</v>
      </c>
      <c r="J130">
        <v>40</v>
      </c>
      <c r="K130">
        <v>32</v>
      </c>
      <c r="L130">
        <v>28</v>
      </c>
      <c r="P130" t="s">
        <v>2272</v>
      </c>
      <c r="R130" t="s">
        <v>2273</v>
      </c>
      <c r="S130">
        <v>5</v>
      </c>
      <c r="T130" t="s">
        <v>2319</v>
      </c>
      <c r="U130" t="s">
        <v>2320</v>
      </c>
    </row>
    <row r="131" spans="1:21" x14ac:dyDescent="0.25">
      <c r="A131" t="s">
        <v>2420</v>
      </c>
      <c r="B131" t="s">
        <v>154</v>
      </c>
      <c r="C131" t="s">
        <v>152</v>
      </c>
      <c r="D131" t="s">
        <v>21</v>
      </c>
      <c r="E131" t="s">
        <v>351</v>
      </c>
      <c r="F131" t="s">
        <v>352</v>
      </c>
      <c r="G131" t="s">
        <v>2271</v>
      </c>
      <c r="H131" s="20">
        <v>46254</v>
      </c>
      <c r="I131">
        <v>1500</v>
      </c>
      <c r="J131">
        <v>40</v>
      </c>
      <c r="K131">
        <v>32</v>
      </c>
      <c r="L131">
        <v>28</v>
      </c>
      <c r="P131" t="s">
        <v>2272</v>
      </c>
      <c r="R131" t="s">
        <v>2273</v>
      </c>
      <c r="S131">
        <v>5</v>
      </c>
      <c r="T131" t="s">
        <v>2319</v>
      </c>
      <c r="U131" t="s">
        <v>2320</v>
      </c>
    </row>
    <row r="132" spans="1:21" x14ac:dyDescent="0.25">
      <c r="A132" t="s">
        <v>2421</v>
      </c>
      <c r="B132" t="s">
        <v>353</v>
      </c>
      <c r="C132" t="s">
        <v>46</v>
      </c>
      <c r="D132" t="s">
        <v>24</v>
      </c>
      <c r="E132" t="s">
        <v>355</v>
      </c>
      <c r="F132" t="s">
        <v>356</v>
      </c>
      <c r="G132" t="s">
        <v>2271</v>
      </c>
      <c r="H132" s="20">
        <v>46250</v>
      </c>
      <c r="I132">
        <v>1800</v>
      </c>
      <c r="J132">
        <v>68</v>
      </c>
      <c r="K132">
        <v>56</v>
      </c>
      <c r="L132">
        <v>49</v>
      </c>
      <c r="P132" t="s">
        <v>2272</v>
      </c>
      <c r="Q132" t="s">
        <v>2422</v>
      </c>
      <c r="R132" t="s">
        <v>2423</v>
      </c>
      <c r="S132">
        <v>4</v>
      </c>
      <c r="T132" t="s">
        <v>2274</v>
      </c>
      <c r="U132" t="s">
        <v>2275</v>
      </c>
    </row>
    <row r="133" spans="1:21" x14ac:dyDescent="0.25">
      <c r="A133" t="s">
        <v>2424</v>
      </c>
      <c r="B133" t="s">
        <v>353</v>
      </c>
      <c r="C133" t="s">
        <v>46</v>
      </c>
      <c r="D133" t="s">
        <v>24</v>
      </c>
      <c r="E133" t="s">
        <v>357</v>
      </c>
      <c r="F133" t="s">
        <v>262</v>
      </c>
      <c r="G133" t="s">
        <v>2425</v>
      </c>
      <c r="H133" s="20">
        <v>46250</v>
      </c>
      <c r="I133">
        <v>1800</v>
      </c>
      <c r="J133">
        <v>63</v>
      </c>
      <c r="K133">
        <v>51</v>
      </c>
      <c r="L133">
        <v>44</v>
      </c>
      <c r="P133" t="s">
        <v>2272</v>
      </c>
      <c r="Q133" t="s">
        <v>2426</v>
      </c>
      <c r="R133" t="s">
        <v>2423</v>
      </c>
      <c r="S133">
        <v>4</v>
      </c>
      <c r="T133" t="s">
        <v>2274</v>
      </c>
      <c r="U133" t="s">
        <v>2275</v>
      </c>
    </row>
    <row r="134" spans="1:21" x14ac:dyDescent="0.25">
      <c r="A134" t="s">
        <v>2427</v>
      </c>
      <c r="B134" t="s">
        <v>353</v>
      </c>
      <c r="C134" t="s">
        <v>46</v>
      </c>
      <c r="D134" t="s">
        <v>24</v>
      </c>
      <c r="E134" t="s">
        <v>358</v>
      </c>
      <c r="F134" t="s">
        <v>359</v>
      </c>
      <c r="G134" t="s">
        <v>2425</v>
      </c>
      <c r="H134" s="20">
        <v>46250</v>
      </c>
      <c r="I134">
        <v>1800</v>
      </c>
      <c r="J134">
        <v>63</v>
      </c>
      <c r="K134">
        <v>51</v>
      </c>
      <c r="L134">
        <v>44</v>
      </c>
      <c r="P134" t="s">
        <v>2272</v>
      </c>
      <c r="Q134" t="s">
        <v>2426</v>
      </c>
      <c r="R134" t="s">
        <v>2423</v>
      </c>
      <c r="S134">
        <v>4</v>
      </c>
      <c r="T134" t="s">
        <v>2274</v>
      </c>
      <c r="U134" t="s">
        <v>2275</v>
      </c>
    </row>
    <row r="135" spans="1:21" x14ac:dyDescent="0.25">
      <c r="A135" t="s">
        <v>2428</v>
      </c>
      <c r="B135" t="s">
        <v>353</v>
      </c>
      <c r="C135" t="s">
        <v>46</v>
      </c>
      <c r="D135" t="s">
        <v>21</v>
      </c>
      <c r="E135" t="s">
        <v>360</v>
      </c>
      <c r="F135" t="s">
        <v>186</v>
      </c>
      <c r="G135" t="s">
        <v>2271</v>
      </c>
      <c r="H135" s="20">
        <v>46254</v>
      </c>
      <c r="I135">
        <v>1500</v>
      </c>
      <c r="J135">
        <v>57</v>
      </c>
      <c r="K135">
        <v>46</v>
      </c>
      <c r="L135">
        <v>35</v>
      </c>
      <c r="P135" t="s">
        <v>2272</v>
      </c>
      <c r="R135" t="s">
        <v>2273</v>
      </c>
      <c r="S135">
        <v>13</v>
      </c>
      <c r="T135" t="s">
        <v>2429</v>
      </c>
      <c r="U135" t="s">
        <v>2430</v>
      </c>
    </row>
    <row r="136" spans="1:21" x14ac:dyDescent="0.25">
      <c r="A136" t="s">
        <v>2431</v>
      </c>
      <c r="B136" t="s">
        <v>353</v>
      </c>
      <c r="C136" t="s">
        <v>50</v>
      </c>
      <c r="D136" t="s">
        <v>24</v>
      </c>
      <c r="E136" t="s">
        <v>362</v>
      </c>
      <c r="F136" t="s">
        <v>217</v>
      </c>
      <c r="G136" t="s">
        <v>2271</v>
      </c>
      <c r="H136" s="20">
        <v>46250</v>
      </c>
      <c r="I136">
        <v>1800</v>
      </c>
      <c r="J136">
        <v>56</v>
      </c>
      <c r="K136">
        <v>48</v>
      </c>
      <c r="L136">
        <v>43</v>
      </c>
      <c r="P136" t="s">
        <v>2272</v>
      </c>
      <c r="R136" t="s">
        <v>2273</v>
      </c>
      <c r="S136">
        <v>4</v>
      </c>
      <c r="T136" t="s">
        <v>2274</v>
      </c>
      <c r="U136" t="s">
        <v>2275</v>
      </c>
    </row>
    <row r="137" spans="1:21" x14ac:dyDescent="0.25">
      <c r="A137" t="s">
        <v>2432</v>
      </c>
      <c r="B137" t="s">
        <v>353</v>
      </c>
      <c r="C137" t="s">
        <v>50</v>
      </c>
      <c r="D137" t="s">
        <v>24</v>
      </c>
      <c r="E137" t="s">
        <v>363</v>
      </c>
      <c r="F137" t="s">
        <v>364</v>
      </c>
      <c r="G137" t="s">
        <v>2271</v>
      </c>
      <c r="H137" s="20">
        <v>46250</v>
      </c>
      <c r="I137">
        <v>1800</v>
      </c>
      <c r="J137">
        <v>56</v>
      </c>
      <c r="K137">
        <v>48</v>
      </c>
      <c r="L137">
        <v>43</v>
      </c>
      <c r="P137" t="s">
        <v>2272</v>
      </c>
      <c r="R137" t="s">
        <v>2273</v>
      </c>
      <c r="S137">
        <v>4</v>
      </c>
      <c r="T137" t="s">
        <v>2274</v>
      </c>
      <c r="U137" t="s">
        <v>2275</v>
      </c>
    </row>
    <row r="138" spans="1:21" x14ac:dyDescent="0.25">
      <c r="A138" t="s">
        <v>2433</v>
      </c>
      <c r="B138" t="s">
        <v>353</v>
      </c>
      <c r="C138" t="s">
        <v>50</v>
      </c>
      <c r="D138" t="s">
        <v>21</v>
      </c>
      <c r="E138" t="s">
        <v>365</v>
      </c>
      <c r="F138" t="s">
        <v>366</v>
      </c>
      <c r="G138" t="s">
        <v>2271</v>
      </c>
      <c r="H138" s="20">
        <v>46254</v>
      </c>
      <c r="I138">
        <v>1500</v>
      </c>
      <c r="J138">
        <v>58</v>
      </c>
      <c r="K138">
        <v>47</v>
      </c>
      <c r="L138">
        <v>38</v>
      </c>
      <c r="P138" t="s">
        <v>2272</v>
      </c>
      <c r="R138" t="s">
        <v>2273</v>
      </c>
      <c r="S138">
        <v>16</v>
      </c>
      <c r="T138" t="s">
        <v>2434</v>
      </c>
      <c r="U138" t="s">
        <v>2435</v>
      </c>
    </row>
    <row r="139" spans="1:21" x14ac:dyDescent="0.25">
      <c r="A139" t="s">
        <v>2436</v>
      </c>
      <c r="B139" t="s">
        <v>353</v>
      </c>
      <c r="C139" t="s">
        <v>50</v>
      </c>
      <c r="D139" t="s">
        <v>21</v>
      </c>
      <c r="E139" t="s">
        <v>367</v>
      </c>
      <c r="F139" t="s">
        <v>368</v>
      </c>
      <c r="G139" t="s">
        <v>2271</v>
      </c>
      <c r="H139" s="20">
        <v>46254</v>
      </c>
      <c r="I139">
        <v>1500</v>
      </c>
      <c r="J139">
        <v>58</v>
      </c>
      <c r="K139">
        <v>47</v>
      </c>
      <c r="L139">
        <v>38</v>
      </c>
      <c r="P139" t="s">
        <v>2272</v>
      </c>
      <c r="R139" t="s">
        <v>2273</v>
      </c>
      <c r="S139">
        <v>16</v>
      </c>
      <c r="T139" t="s">
        <v>2434</v>
      </c>
      <c r="U139" t="s">
        <v>2435</v>
      </c>
    </row>
    <row r="140" spans="1:21" x14ac:dyDescent="0.25">
      <c r="A140" t="s">
        <v>2437</v>
      </c>
      <c r="B140" t="s">
        <v>353</v>
      </c>
      <c r="C140" t="s">
        <v>50</v>
      </c>
      <c r="D140" t="s">
        <v>21</v>
      </c>
      <c r="E140" t="s">
        <v>369</v>
      </c>
      <c r="F140" t="s">
        <v>232</v>
      </c>
      <c r="G140" t="s">
        <v>2271</v>
      </c>
      <c r="H140" s="20">
        <v>46254</v>
      </c>
      <c r="I140">
        <v>1500</v>
      </c>
      <c r="J140">
        <v>58</v>
      </c>
      <c r="K140">
        <v>47</v>
      </c>
      <c r="L140">
        <v>38</v>
      </c>
      <c r="P140" t="s">
        <v>2272</v>
      </c>
      <c r="R140" t="s">
        <v>2273</v>
      </c>
      <c r="S140">
        <v>16</v>
      </c>
      <c r="T140" t="s">
        <v>2434</v>
      </c>
      <c r="U140" t="s">
        <v>2435</v>
      </c>
    </row>
    <row r="141" spans="1:21" x14ac:dyDescent="0.25">
      <c r="A141" t="s">
        <v>2438</v>
      </c>
      <c r="B141" t="s">
        <v>353</v>
      </c>
      <c r="C141" t="s">
        <v>53</v>
      </c>
      <c r="D141" t="s">
        <v>24</v>
      </c>
      <c r="E141" t="s">
        <v>371</v>
      </c>
      <c r="F141" t="s">
        <v>372</v>
      </c>
      <c r="G141" t="s">
        <v>2271</v>
      </c>
      <c r="H141" s="20">
        <v>46250</v>
      </c>
      <c r="I141">
        <v>1800</v>
      </c>
      <c r="J141">
        <v>63</v>
      </c>
      <c r="K141">
        <v>52</v>
      </c>
      <c r="L141">
        <v>28</v>
      </c>
      <c r="P141" t="s">
        <v>2272</v>
      </c>
      <c r="R141" t="s">
        <v>2273</v>
      </c>
      <c r="S141">
        <v>4</v>
      </c>
      <c r="T141" t="s">
        <v>2274</v>
      </c>
      <c r="U141" t="s">
        <v>2275</v>
      </c>
    </row>
    <row r="142" spans="1:21" x14ac:dyDescent="0.25">
      <c r="A142" t="s">
        <v>2439</v>
      </c>
      <c r="B142" t="s">
        <v>353</v>
      </c>
      <c r="C142" t="s">
        <v>53</v>
      </c>
      <c r="D142" t="s">
        <v>24</v>
      </c>
      <c r="E142" t="s">
        <v>373</v>
      </c>
      <c r="F142" t="s">
        <v>374</v>
      </c>
      <c r="G142" t="s">
        <v>2271</v>
      </c>
      <c r="H142" s="20">
        <v>46250</v>
      </c>
      <c r="I142">
        <v>1800</v>
      </c>
      <c r="J142">
        <v>63</v>
      </c>
      <c r="K142">
        <v>52</v>
      </c>
      <c r="L142">
        <v>28</v>
      </c>
      <c r="P142" t="s">
        <v>2272</v>
      </c>
      <c r="R142" t="s">
        <v>2273</v>
      </c>
      <c r="S142">
        <v>4</v>
      </c>
      <c r="T142" t="s">
        <v>2274</v>
      </c>
      <c r="U142" t="s">
        <v>2275</v>
      </c>
    </row>
    <row r="143" spans="1:21" x14ac:dyDescent="0.25">
      <c r="A143" t="s">
        <v>2440</v>
      </c>
      <c r="B143" t="s">
        <v>353</v>
      </c>
      <c r="C143" t="s">
        <v>53</v>
      </c>
      <c r="D143" t="s">
        <v>24</v>
      </c>
      <c r="E143" t="s">
        <v>375</v>
      </c>
      <c r="F143" t="s">
        <v>376</v>
      </c>
      <c r="G143" t="s">
        <v>2271</v>
      </c>
      <c r="H143" s="20">
        <v>46250</v>
      </c>
      <c r="I143">
        <v>1800</v>
      </c>
      <c r="J143">
        <v>63</v>
      </c>
      <c r="K143">
        <v>52</v>
      </c>
      <c r="L143">
        <v>28</v>
      </c>
      <c r="P143" t="s">
        <v>2272</v>
      </c>
      <c r="R143" t="s">
        <v>2273</v>
      </c>
      <c r="S143">
        <v>4</v>
      </c>
      <c r="T143" t="s">
        <v>2274</v>
      </c>
      <c r="U143" t="s">
        <v>2275</v>
      </c>
    </row>
    <row r="144" spans="1:21" x14ac:dyDescent="0.25">
      <c r="A144" t="s">
        <v>2441</v>
      </c>
      <c r="B144" t="s">
        <v>353</v>
      </c>
      <c r="C144" t="s">
        <v>53</v>
      </c>
      <c r="D144" t="s">
        <v>24</v>
      </c>
      <c r="E144" t="s">
        <v>377</v>
      </c>
      <c r="F144" t="s">
        <v>378</v>
      </c>
      <c r="G144" t="s">
        <v>2271</v>
      </c>
      <c r="H144" s="20">
        <v>46250</v>
      </c>
      <c r="I144">
        <v>1800</v>
      </c>
      <c r="J144">
        <v>63</v>
      </c>
      <c r="K144">
        <v>52</v>
      </c>
      <c r="L144">
        <v>28</v>
      </c>
      <c r="P144" t="s">
        <v>2272</v>
      </c>
      <c r="R144" t="s">
        <v>2273</v>
      </c>
      <c r="S144">
        <v>4</v>
      </c>
      <c r="T144" t="s">
        <v>2274</v>
      </c>
      <c r="U144" t="s">
        <v>2275</v>
      </c>
    </row>
    <row r="145" spans="1:21" x14ac:dyDescent="0.25">
      <c r="A145" t="s">
        <v>2442</v>
      </c>
      <c r="B145" t="s">
        <v>353</v>
      </c>
      <c r="C145" t="s">
        <v>53</v>
      </c>
      <c r="D145" t="s">
        <v>24</v>
      </c>
      <c r="E145" t="s">
        <v>379</v>
      </c>
      <c r="F145" t="s">
        <v>232</v>
      </c>
      <c r="G145" t="s">
        <v>2271</v>
      </c>
      <c r="H145" s="20">
        <v>46250</v>
      </c>
      <c r="I145">
        <v>1800</v>
      </c>
      <c r="J145">
        <v>63</v>
      </c>
      <c r="K145">
        <v>52</v>
      </c>
      <c r="L145">
        <v>28</v>
      </c>
      <c r="P145" t="s">
        <v>2272</v>
      </c>
      <c r="R145" t="s">
        <v>2273</v>
      </c>
      <c r="S145">
        <v>4</v>
      </c>
      <c r="T145" t="s">
        <v>2274</v>
      </c>
      <c r="U145" t="s">
        <v>2275</v>
      </c>
    </row>
    <row r="146" spans="1:21" x14ac:dyDescent="0.25">
      <c r="A146" t="s">
        <v>2443</v>
      </c>
      <c r="B146" t="s">
        <v>353</v>
      </c>
      <c r="C146" t="s">
        <v>53</v>
      </c>
      <c r="D146" t="s">
        <v>21</v>
      </c>
      <c r="E146" t="s">
        <v>380</v>
      </c>
      <c r="F146" t="s">
        <v>258</v>
      </c>
      <c r="G146" t="s">
        <v>2444</v>
      </c>
      <c r="H146" s="20">
        <v>46254</v>
      </c>
      <c r="I146">
        <v>1500</v>
      </c>
      <c r="J146">
        <v>60</v>
      </c>
      <c r="K146">
        <v>50</v>
      </c>
      <c r="L146">
        <v>40</v>
      </c>
      <c r="M146">
        <v>30</v>
      </c>
      <c r="P146" t="s">
        <v>2272</v>
      </c>
      <c r="Q146" t="s">
        <v>2445</v>
      </c>
      <c r="R146" t="s">
        <v>2446</v>
      </c>
      <c r="S146">
        <v>13</v>
      </c>
      <c r="T146" t="s">
        <v>2429</v>
      </c>
      <c r="U146" t="s">
        <v>2430</v>
      </c>
    </row>
    <row r="147" spans="1:21" x14ac:dyDescent="0.25">
      <c r="A147" t="s">
        <v>2447</v>
      </c>
      <c r="B147" t="s">
        <v>353</v>
      </c>
      <c r="C147" t="s">
        <v>53</v>
      </c>
      <c r="D147" t="s">
        <v>21</v>
      </c>
      <c r="E147" t="s">
        <v>381</v>
      </c>
      <c r="F147" t="s">
        <v>382</v>
      </c>
      <c r="G147" t="s">
        <v>2271</v>
      </c>
      <c r="H147" s="20">
        <v>46254</v>
      </c>
      <c r="I147">
        <v>1500</v>
      </c>
      <c r="J147">
        <v>66</v>
      </c>
      <c r="K147">
        <v>55</v>
      </c>
      <c r="L147">
        <v>43</v>
      </c>
      <c r="M147">
        <v>22</v>
      </c>
      <c r="P147" t="s">
        <v>2272</v>
      </c>
      <c r="R147" t="s">
        <v>2273</v>
      </c>
      <c r="S147">
        <v>13</v>
      </c>
      <c r="T147" t="s">
        <v>2429</v>
      </c>
      <c r="U147" t="s">
        <v>2430</v>
      </c>
    </row>
    <row r="148" spans="1:21" x14ac:dyDescent="0.25">
      <c r="A148" t="s">
        <v>2448</v>
      </c>
      <c r="B148" t="s">
        <v>353</v>
      </c>
      <c r="C148" t="s">
        <v>53</v>
      </c>
      <c r="D148" t="s">
        <v>21</v>
      </c>
      <c r="E148" t="s">
        <v>383</v>
      </c>
      <c r="F148" t="s">
        <v>225</v>
      </c>
      <c r="G148" t="s">
        <v>2271</v>
      </c>
      <c r="H148" s="20">
        <v>46254</v>
      </c>
      <c r="I148">
        <v>1500</v>
      </c>
      <c r="J148">
        <v>66</v>
      </c>
      <c r="K148">
        <v>55</v>
      </c>
      <c r="L148">
        <v>43</v>
      </c>
      <c r="M148">
        <v>22</v>
      </c>
      <c r="P148" t="s">
        <v>2272</v>
      </c>
      <c r="R148" t="s">
        <v>2273</v>
      </c>
      <c r="S148">
        <v>13</v>
      </c>
      <c r="T148" t="s">
        <v>2429</v>
      </c>
      <c r="U148" t="s">
        <v>2430</v>
      </c>
    </row>
    <row r="149" spans="1:21" x14ac:dyDescent="0.25">
      <c r="A149" t="s">
        <v>2449</v>
      </c>
      <c r="B149" t="s">
        <v>353</v>
      </c>
      <c r="C149" t="s">
        <v>53</v>
      </c>
      <c r="D149" t="s">
        <v>26</v>
      </c>
      <c r="E149" t="s">
        <v>384</v>
      </c>
      <c r="F149" t="s">
        <v>131</v>
      </c>
      <c r="H149" s="20"/>
      <c r="P149" t="s">
        <v>2291</v>
      </c>
      <c r="R149" t="s">
        <v>2292</v>
      </c>
    </row>
    <row r="150" spans="1:21" x14ac:dyDescent="0.25">
      <c r="A150" t="s">
        <v>2450</v>
      </c>
      <c r="B150" t="s">
        <v>353</v>
      </c>
      <c r="C150" t="s">
        <v>53</v>
      </c>
      <c r="D150" t="s">
        <v>21</v>
      </c>
      <c r="E150" t="s">
        <v>385</v>
      </c>
      <c r="F150" t="s">
        <v>386</v>
      </c>
      <c r="G150" t="s">
        <v>2444</v>
      </c>
      <c r="H150" s="20">
        <v>46254</v>
      </c>
      <c r="I150">
        <v>1500</v>
      </c>
      <c r="J150">
        <v>60</v>
      </c>
      <c r="K150">
        <v>50</v>
      </c>
      <c r="L150">
        <v>40</v>
      </c>
      <c r="M150">
        <v>30</v>
      </c>
      <c r="P150" t="s">
        <v>2272</v>
      </c>
      <c r="Q150" t="s">
        <v>2445</v>
      </c>
      <c r="R150" t="s">
        <v>2446</v>
      </c>
      <c r="S150">
        <v>13</v>
      </c>
      <c r="T150" t="s">
        <v>2429</v>
      </c>
      <c r="U150" t="s">
        <v>2430</v>
      </c>
    </row>
    <row r="151" spans="1:21" x14ac:dyDescent="0.25">
      <c r="A151" t="s">
        <v>2451</v>
      </c>
      <c r="B151" t="s">
        <v>353</v>
      </c>
      <c r="C151" t="s">
        <v>53</v>
      </c>
      <c r="D151" t="s">
        <v>21</v>
      </c>
      <c r="E151" t="s">
        <v>387</v>
      </c>
      <c r="F151" t="s">
        <v>388</v>
      </c>
      <c r="G151" t="s">
        <v>2271</v>
      </c>
      <c r="H151" s="20">
        <v>46254</v>
      </c>
      <c r="I151">
        <v>1500</v>
      </c>
      <c r="J151">
        <v>66</v>
      </c>
      <c r="K151">
        <v>55</v>
      </c>
      <c r="L151">
        <v>43</v>
      </c>
      <c r="M151">
        <v>22</v>
      </c>
      <c r="P151" t="s">
        <v>2272</v>
      </c>
      <c r="R151" t="s">
        <v>2273</v>
      </c>
      <c r="S151">
        <v>13</v>
      </c>
      <c r="T151" t="s">
        <v>2429</v>
      </c>
      <c r="U151" t="s">
        <v>2430</v>
      </c>
    </row>
    <row r="152" spans="1:21" x14ac:dyDescent="0.25">
      <c r="A152" t="s">
        <v>2452</v>
      </c>
      <c r="B152" t="s">
        <v>353</v>
      </c>
      <c r="C152" t="s">
        <v>53</v>
      </c>
      <c r="D152" t="s">
        <v>21</v>
      </c>
      <c r="E152" t="s">
        <v>389</v>
      </c>
      <c r="F152" t="s">
        <v>390</v>
      </c>
      <c r="G152" t="s">
        <v>2271</v>
      </c>
      <c r="H152" s="20">
        <v>46254</v>
      </c>
      <c r="I152">
        <v>1500</v>
      </c>
      <c r="J152">
        <v>66</v>
      </c>
      <c r="K152">
        <v>55</v>
      </c>
      <c r="L152">
        <v>43</v>
      </c>
      <c r="M152">
        <v>22</v>
      </c>
      <c r="P152" t="s">
        <v>2272</v>
      </c>
      <c r="R152" t="s">
        <v>2273</v>
      </c>
      <c r="S152">
        <v>13</v>
      </c>
      <c r="T152" t="s">
        <v>2429</v>
      </c>
      <c r="U152" t="s">
        <v>2430</v>
      </c>
    </row>
    <row r="153" spans="1:21" x14ac:dyDescent="0.25">
      <c r="A153" t="s">
        <v>2453</v>
      </c>
      <c r="B153" t="s">
        <v>353</v>
      </c>
      <c r="C153" t="s">
        <v>53</v>
      </c>
      <c r="D153" t="s">
        <v>21</v>
      </c>
      <c r="E153" t="s">
        <v>391</v>
      </c>
      <c r="F153" t="s">
        <v>392</v>
      </c>
      <c r="G153" t="s">
        <v>2271</v>
      </c>
      <c r="H153" s="20">
        <v>46254</v>
      </c>
      <c r="I153">
        <v>1500</v>
      </c>
      <c r="J153">
        <v>66</v>
      </c>
      <c r="K153">
        <v>55</v>
      </c>
      <c r="L153">
        <v>43</v>
      </c>
      <c r="M153">
        <v>22</v>
      </c>
      <c r="P153" t="s">
        <v>2272</v>
      </c>
      <c r="R153" t="s">
        <v>2273</v>
      </c>
      <c r="S153">
        <v>13</v>
      </c>
      <c r="T153" t="s">
        <v>2429</v>
      </c>
      <c r="U153" t="s">
        <v>2430</v>
      </c>
    </row>
    <row r="154" spans="1:21" x14ac:dyDescent="0.25">
      <c r="A154" t="s">
        <v>2454</v>
      </c>
      <c r="B154" t="s">
        <v>353</v>
      </c>
      <c r="C154" t="s">
        <v>57</v>
      </c>
      <c r="D154" t="s">
        <v>24</v>
      </c>
      <c r="E154" t="s">
        <v>394</v>
      </c>
      <c r="F154" t="s">
        <v>395</v>
      </c>
      <c r="G154" t="s">
        <v>2271</v>
      </c>
      <c r="H154" s="20">
        <v>46250</v>
      </c>
      <c r="I154">
        <v>1800</v>
      </c>
      <c r="J154">
        <v>35</v>
      </c>
      <c r="K154">
        <v>29</v>
      </c>
      <c r="L154">
        <v>25</v>
      </c>
      <c r="P154" t="s">
        <v>2272</v>
      </c>
      <c r="R154" t="s">
        <v>2273</v>
      </c>
      <c r="S154">
        <v>4</v>
      </c>
      <c r="T154" t="s">
        <v>2274</v>
      </c>
      <c r="U154" t="s">
        <v>2275</v>
      </c>
    </row>
    <row r="155" spans="1:21" x14ac:dyDescent="0.25">
      <c r="A155" t="s">
        <v>2455</v>
      </c>
      <c r="B155" t="s">
        <v>353</v>
      </c>
      <c r="C155" t="s">
        <v>57</v>
      </c>
      <c r="D155" t="s">
        <v>24</v>
      </c>
      <c r="E155" t="s">
        <v>115</v>
      </c>
      <c r="F155" t="s">
        <v>396</v>
      </c>
      <c r="G155" t="s">
        <v>2271</v>
      </c>
      <c r="H155" s="20">
        <v>46250</v>
      </c>
      <c r="I155">
        <v>1800</v>
      </c>
      <c r="J155">
        <v>35</v>
      </c>
      <c r="K155">
        <v>29</v>
      </c>
      <c r="L155">
        <v>25</v>
      </c>
      <c r="P155" t="s">
        <v>2272</v>
      </c>
      <c r="R155" t="s">
        <v>2273</v>
      </c>
      <c r="S155">
        <v>4</v>
      </c>
      <c r="T155" t="s">
        <v>2274</v>
      </c>
      <c r="U155" t="s">
        <v>2275</v>
      </c>
    </row>
    <row r="156" spans="1:21" x14ac:dyDescent="0.25">
      <c r="A156" t="s">
        <v>2456</v>
      </c>
      <c r="B156" t="s">
        <v>353</v>
      </c>
      <c r="C156" t="s">
        <v>57</v>
      </c>
      <c r="D156" t="s">
        <v>24</v>
      </c>
      <c r="E156" t="s">
        <v>397</v>
      </c>
      <c r="F156" t="s">
        <v>398</v>
      </c>
      <c r="G156" t="s">
        <v>2271</v>
      </c>
      <c r="H156" s="20">
        <v>46250</v>
      </c>
      <c r="I156">
        <v>1800</v>
      </c>
      <c r="J156">
        <v>35</v>
      </c>
      <c r="K156">
        <v>29</v>
      </c>
      <c r="L156">
        <v>25</v>
      </c>
      <c r="P156" t="s">
        <v>2272</v>
      </c>
      <c r="R156" t="s">
        <v>2273</v>
      </c>
      <c r="S156">
        <v>4</v>
      </c>
      <c r="T156" t="s">
        <v>2274</v>
      </c>
      <c r="U156" t="s">
        <v>2275</v>
      </c>
    </row>
    <row r="157" spans="1:21" x14ac:dyDescent="0.25">
      <c r="A157" t="s">
        <v>2457</v>
      </c>
      <c r="B157" t="s">
        <v>353</v>
      </c>
      <c r="C157" t="s">
        <v>57</v>
      </c>
      <c r="D157" t="s">
        <v>24</v>
      </c>
      <c r="E157" t="s">
        <v>399</v>
      </c>
      <c r="F157" t="s">
        <v>400</v>
      </c>
      <c r="G157" t="s">
        <v>2271</v>
      </c>
      <c r="H157" s="20">
        <v>46250</v>
      </c>
      <c r="I157">
        <v>1800</v>
      </c>
      <c r="J157">
        <v>35</v>
      </c>
      <c r="K157">
        <v>29</v>
      </c>
      <c r="L157">
        <v>25</v>
      </c>
      <c r="P157" t="s">
        <v>2272</v>
      </c>
      <c r="R157" t="s">
        <v>2273</v>
      </c>
      <c r="S157">
        <v>4</v>
      </c>
      <c r="T157" t="s">
        <v>2274</v>
      </c>
      <c r="U157" t="s">
        <v>2275</v>
      </c>
    </row>
    <row r="158" spans="1:21" x14ac:dyDescent="0.25">
      <c r="A158" t="s">
        <v>2458</v>
      </c>
      <c r="B158" t="s">
        <v>353</v>
      </c>
      <c r="C158" t="s">
        <v>57</v>
      </c>
      <c r="D158" t="s">
        <v>24</v>
      </c>
      <c r="E158" t="s">
        <v>401</v>
      </c>
      <c r="F158" t="s">
        <v>402</v>
      </c>
      <c r="G158" t="s">
        <v>2271</v>
      </c>
      <c r="H158" s="20">
        <v>46250</v>
      </c>
      <c r="I158">
        <v>1800</v>
      </c>
      <c r="J158">
        <v>35</v>
      </c>
      <c r="K158">
        <v>29</v>
      </c>
      <c r="L158">
        <v>25</v>
      </c>
      <c r="P158" t="s">
        <v>2272</v>
      </c>
      <c r="R158" t="s">
        <v>2273</v>
      </c>
      <c r="S158">
        <v>4</v>
      </c>
      <c r="T158" t="s">
        <v>2274</v>
      </c>
      <c r="U158" t="s">
        <v>2275</v>
      </c>
    </row>
    <row r="159" spans="1:21" x14ac:dyDescent="0.25">
      <c r="A159" t="s">
        <v>2459</v>
      </c>
      <c r="B159" t="s">
        <v>353</v>
      </c>
      <c r="C159" t="s">
        <v>57</v>
      </c>
      <c r="D159" t="s">
        <v>21</v>
      </c>
      <c r="E159" t="s">
        <v>403</v>
      </c>
      <c r="F159" t="s">
        <v>395</v>
      </c>
      <c r="G159" t="s">
        <v>2271</v>
      </c>
      <c r="H159" s="20">
        <v>46254</v>
      </c>
      <c r="I159">
        <v>1500</v>
      </c>
      <c r="J159">
        <v>36</v>
      </c>
      <c r="K159">
        <v>25</v>
      </c>
      <c r="L159">
        <v>15</v>
      </c>
      <c r="P159" t="s">
        <v>2272</v>
      </c>
      <c r="R159" t="s">
        <v>2273</v>
      </c>
      <c r="S159">
        <v>13</v>
      </c>
      <c r="T159" t="s">
        <v>2429</v>
      </c>
      <c r="U159" t="s">
        <v>2430</v>
      </c>
    </row>
    <row r="160" spans="1:21" x14ac:dyDescent="0.25">
      <c r="A160" t="s">
        <v>2460</v>
      </c>
      <c r="B160" t="s">
        <v>353</v>
      </c>
      <c r="C160" t="s">
        <v>57</v>
      </c>
      <c r="D160" t="s">
        <v>21</v>
      </c>
      <c r="E160" t="s">
        <v>404</v>
      </c>
      <c r="F160" t="s">
        <v>396</v>
      </c>
      <c r="G160" t="s">
        <v>2271</v>
      </c>
      <c r="H160" s="20">
        <v>46254</v>
      </c>
      <c r="I160">
        <v>1500</v>
      </c>
      <c r="J160">
        <v>36</v>
      </c>
      <c r="K160">
        <v>25</v>
      </c>
      <c r="L160">
        <v>15</v>
      </c>
      <c r="P160" t="s">
        <v>2272</v>
      </c>
      <c r="R160" t="s">
        <v>2273</v>
      </c>
      <c r="S160">
        <v>13</v>
      </c>
      <c r="T160" t="s">
        <v>2429</v>
      </c>
      <c r="U160" t="s">
        <v>2430</v>
      </c>
    </row>
    <row r="161" spans="1:21" x14ac:dyDescent="0.25">
      <c r="A161" t="s">
        <v>2461</v>
      </c>
      <c r="B161" t="s">
        <v>353</v>
      </c>
      <c r="C161" t="s">
        <v>57</v>
      </c>
      <c r="D161" t="s">
        <v>21</v>
      </c>
      <c r="E161" t="s">
        <v>405</v>
      </c>
      <c r="F161" t="s">
        <v>396</v>
      </c>
      <c r="G161" t="s">
        <v>2271</v>
      </c>
      <c r="H161" s="20">
        <v>46254</v>
      </c>
      <c r="I161">
        <v>1500</v>
      </c>
      <c r="J161">
        <v>36</v>
      </c>
      <c r="K161">
        <v>25</v>
      </c>
      <c r="L161">
        <v>15</v>
      </c>
      <c r="P161" t="s">
        <v>2272</v>
      </c>
      <c r="R161" t="s">
        <v>2273</v>
      </c>
      <c r="S161">
        <v>13</v>
      </c>
      <c r="T161" t="s">
        <v>2429</v>
      </c>
      <c r="U161" t="s">
        <v>2430</v>
      </c>
    </row>
    <row r="162" spans="1:21" x14ac:dyDescent="0.25">
      <c r="A162" t="s">
        <v>2462</v>
      </c>
      <c r="B162" t="s">
        <v>353</v>
      </c>
      <c r="C162" t="s">
        <v>57</v>
      </c>
      <c r="D162" t="s">
        <v>21</v>
      </c>
      <c r="E162" t="s">
        <v>406</v>
      </c>
      <c r="F162" t="s">
        <v>186</v>
      </c>
      <c r="G162" t="s">
        <v>2271</v>
      </c>
      <c r="H162" s="20">
        <v>46254</v>
      </c>
      <c r="I162">
        <v>1500</v>
      </c>
      <c r="J162">
        <v>36</v>
      </c>
      <c r="K162">
        <v>25</v>
      </c>
      <c r="L162">
        <v>15</v>
      </c>
      <c r="P162" t="s">
        <v>2272</v>
      </c>
      <c r="R162" t="s">
        <v>2273</v>
      </c>
      <c r="S162">
        <v>13</v>
      </c>
      <c r="T162" t="s">
        <v>2429</v>
      </c>
      <c r="U162" t="s">
        <v>2430</v>
      </c>
    </row>
    <row r="163" spans="1:21" x14ac:dyDescent="0.25">
      <c r="A163" t="s">
        <v>2463</v>
      </c>
      <c r="B163" t="s">
        <v>353</v>
      </c>
      <c r="C163" t="s">
        <v>57</v>
      </c>
      <c r="D163" t="s">
        <v>21</v>
      </c>
      <c r="E163" t="s">
        <v>407</v>
      </c>
      <c r="F163" t="s">
        <v>390</v>
      </c>
      <c r="G163" t="s">
        <v>2271</v>
      </c>
      <c r="H163" s="20">
        <v>46254</v>
      </c>
      <c r="I163">
        <v>1500</v>
      </c>
      <c r="J163">
        <v>36</v>
      </c>
      <c r="K163">
        <v>25</v>
      </c>
      <c r="L163">
        <v>15</v>
      </c>
      <c r="P163" t="s">
        <v>2272</v>
      </c>
      <c r="R163" t="s">
        <v>2273</v>
      </c>
      <c r="S163">
        <v>13</v>
      </c>
      <c r="T163" t="s">
        <v>2429</v>
      </c>
      <c r="U163" t="s">
        <v>2430</v>
      </c>
    </row>
    <row r="164" spans="1:21" x14ac:dyDescent="0.25">
      <c r="A164" t="s">
        <v>2464</v>
      </c>
      <c r="B164" t="s">
        <v>353</v>
      </c>
      <c r="C164" t="s">
        <v>57</v>
      </c>
      <c r="D164" t="s">
        <v>21</v>
      </c>
      <c r="E164" t="s">
        <v>408</v>
      </c>
      <c r="F164" t="s">
        <v>349</v>
      </c>
      <c r="G164" t="s">
        <v>2271</v>
      </c>
      <c r="H164" s="20">
        <v>46254</v>
      </c>
      <c r="I164">
        <v>1500</v>
      </c>
      <c r="J164">
        <v>36</v>
      </c>
      <c r="K164">
        <v>25</v>
      </c>
      <c r="L164">
        <v>15</v>
      </c>
      <c r="P164" t="s">
        <v>2272</v>
      </c>
      <c r="R164" t="s">
        <v>2273</v>
      </c>
      <c r="S164">
        <v>13</v>
      </c>
      <c r="T164" t="s">
        <v>2429</v>
      </c>
      <c r="U164" t="s">
        <v>2430</v>
      </c>
    </row>
    <row r="165" spans="1:21" x14ac:dyDescent="0.25">
      <c r="A165" t="s">
        <v>2465</v>
      </c>
      <c r="B165" t="s">
        <v>353</v>
      </c>
      <c r="C165" t="s">
        <v>57</v>
      </c>
      <c r="D165" t="s">
        <v>21</v>
      </c>
      <c r="E165" t="s">
        <v>409</v>
      </c>
      <c r="F165" t="s">
        <v>349</v>
      </c>
      <c r="G165" t="s">
        <v>2271</v>
      </c>
      <c r="H165" s="20">
        <v>46254</v>
      </c>
      <c r="I165">
        <v>1500</v>
      </c>
      <c r="J165">
        <v>36</v>
      </c>
      <c r="K165">
        <v>25</v>
      </c>
      <c r="L165">
        <v>15</v>
      </c>
      <c r="P165" t="s">
        <v>2272</v>
      </c>
      <c r="R165" t="s">
        <v>2273</v>
      </c>
      <c r="S165">
        <v>13</v>
      </c>
      <c r="T165" t="s">
        <v>2429</v>
      </c>
      <c r="U165" t="s">
        <v>2430</v>
      </c>
    </row>
    <row r="166" spans="1:21" x14ac:dyDescent="0.25">
      <c r="A166" t="s">
        <v>2466</v>
      </c>
      <c r="B166" t="s">
        <v>353</v>
      </c>
      <c r="C166" t="s">
        <v>57</v>
      </c>
      <c r="D166" t="s">
        <v>21</v>
      </c>
      <c r="E166" t="s">
        <v>410</v>
      </c>
      <c r="F166" t="s">
        <v>411</v>
      </c>
      <c r="G166" t="s">
        <v>2271</v>
      </c>
      <c r="H166" s="20">
        <v>46254</v>
      </c>
      <c r="I166">
        <v>1500</v>
      </c>
      <c r="J166">
        <v>36</v>
      </c>
      <c r="K166">
        <v>25</v>
      </c>
      <c r="L166">
        <v>15</v>
      </c>
      <c r="P166" t="s">
        <v>2272</v>
      </c>
      <c r="R166" t="s">
        <v>2273</v>
      </c>
      <c r="S166">
        <v>13</v>
      </c>
      <c r="T166" t="s">
        <v>2429</v>
      </c>
      <c r="U166" t="s">
        <v>2430</v>
      </c>
    </row>
    <row r="167" spans="1:21" x14ac:dyDescent="0.25">
      <c r="A167" t="s">
        <v>2467</v>
      </c>
      <c r="B167" t="s">
        <v>353</v>
      </c>
      <c r="C167" t="s">
        <v>57</v>
      </c>
      <c r="D167" t="s">
        <v>21</v>
      </c>
      <c r="E167" t="s">
        <v>412</v>
      </c>
      <c r="F167" t="s">
        <v>413</v>
      </c>
      <c r="G167" t="s">
        <v>2271</v>
      </c>
      <c r="H167" s="20">
        <v>46254</v>
      </c>
      <c r="I167">
        <v>1500</v>
      </c>
      <c r="J167">
        <v>36</v>
      </c>
      <c r="K167">
        <v>25</v>
      </c>
      <c r="L167">
        <v>15</v>
      </c>
      <c r="P167" t="s">
        <v>2272</v>
      </c>
      <c r="R167" t="s">
        <v>2273</v>
      </c>
      <c r="S167">
        <v>13</v>
      </c>
      <c r="T167" t="s">
        <v>2429</v>
      </c>
      <c r="U167" t="s">
        <v>2430</v>
      </c>
    </row>
    <row r="168" spans="1:21" x14ac:dyDescent="0.25">
      <c r="A168" t="s">
        <v>2468</v>
      </c>
      <c r="B168" t="s">
        <v>353</v>
      </c>
      <c r="C168" t="s">
        <v>67</v>
      </c>
      <c r="D168" t="s">
        <v>24</v>
      </c>
      <c r="E168" t="s">
        <v>415</v>
      </c>
      <c r="F168" t="s">
        <v>168</v>
      </c>
      <c r="G168" t="s">
        <v>2271</v>
      </c>
      <c r="H168" s="20">
        <v>46250</v>
      </c>
      <c r="I168">
        <v>1800</v>
      </c>
      <c r="J168">
        <v>50</v>
      </c>
      <c r="K168">
        <v>40</v>
      </c>
      <c r="L168">
        <v>35</v>
      </c>
      <c r="P168" t="s">
        <v>2272</v>
      </c>
      <c r="Q168" t="s">
        <v>2469</v>
      </c>
      <c r="R168" t="s">
        <v>2446</v>
      </c>
      <c r="S168">
        <v>4</v>
      </c>
      <c r="T168" t="s">
        <v>2274</v>
      </c>
      <c r="U168" t="s">
        <v>2275</v>
      </c>
    </row>
    <row r="169" spans="1:21" x14ac:dyDescent="0.25">
      <c r="A169" t="s">
        <v>2470</v>
      </c>
      <c r="B169" t="s">
        <v>353</v>
      </c>
      <c r="C169" t="s">
        <v>67</v>
      </c>
      <c r="D169" t="s">
        <v>24</v>
      </c>
      <c r="E169" t="s">
        <v>416</v>
      </c>
      <c r="F169" t="s">
        <v>208</v>
      </c>
      <c r="G169" t="s">
        <v>2425</v>
      </c>
      <c r="H169" s="20">
        <v>46250</v>
      </c>
      <c r="I169">
        <v>1800</v>
      </c>
      <c r="J169">
        <v>43</v>
      </c>
      <c r="K169">
        <v>35</v>
      </c>
      <c r="L169">
        <v>25</v>
      </c>
      <c r="P169" t="s">
        <v>2272</v>
      </c>
      <c r="Q169" t="s">
        <v>2471</v>
      </c>
      <c r="R169" t="s">
        <v>2472</v>
      </c>
      <c r="S169">
        <v>4</v>
      </c>
      <c r="T169" t="s">
        <v>2274</v>
      </c>
      <c r="U169" t="s">
        <v>2275</v>
      </c>
    </row>
    <row r="170" spans="1:21" x14ac:dyDescent="0.25">
      <c r="A170" t="s">
        <v>2473</v>
      </c>
      <c r="B170" t="s">
        <v>353</v>
      </c>
      <c r="C170" t="s">
        <v>67</v>
      </c>
      <c r="D170" t="s">
        <v>24</v>
      </c>
      <c r="E170" t="s">
        <v>417</v>
      </c>
      <c r="F170" t="s">
        <v>262</v>
      </c>
      <c r="G170" t="s">
        <v>2425</v>
      </c>
      <c r="H170" s="20">
        <v>46250</v>
      </c>
      <c r="I170">
        <v>1800</v>
      </c>
      <c r="J170">
        <v>43</v>
      </c>
      <c r="K170">
        <v>35</v>
      </c>
      <c r="L170">
        <v>25</v>
      </c>
      <c r="P170" t="s">
        <v>2272</v>
      </c>
      <c r="Q170" t="s">
        <v>2471</v>
      </c>
      <c r="R170" t="s">
        <v>2472</v>
      </c>
      <c r="S170">
        <v>4</v>
      </c>
      <c r="T170" t="s">
        <v>2274</v>
      </c>
      <c r="U170" t="s">
        <v>2275</v>
      </c>
    </row>
    <row r="171" spans="1:21" x14ac:dyDescent="0.25">
      <c r="A171" t="s">
        <v>2474</v>
      </c>
      <c r="B171" t="s">
        <v>353</v>
      </c>
      <c r="C171" t="s">
        <v>67</v>
      </c>
      <c r="D171" t="s">
        <v>24</v>
      </c>
      <c r="E171" t="s">
        <v>418</v>
      </c>
      <c r="F171" t="s">
        <v>419</v>
      </c>
      <c r="G171" t="s">
        <v>2425</v>
      </c>
      <c r="H171" s="20">
        <v>46250</v>
      </c>
      <c r="I171">
        <v>1800</v>
      </c>
      <c r="J171">
        <v>43</v>
      </c>
      <c r="K171">
        <v>35</v>
      </c>
      <c r="L171">
        <v>25</v>
      </c>
      <c r="P171" t="s">
        <v>2272</v>
      </c>
      <c r="Q171" t="s">
        <v>2471</v>
      </c>
      <c r="R171" t="s">
        <v>2472</v>
      </c>
      <c r="S171">
        <v>4</v>
      </c>
      <c r="T171" t="s">
        <v>2274</v>
      </c>
      <c r="U171" t="s">
        <v>2275</v>
      </c>
    </row>
    <row r="172" spans="1:21" x14ac:dyDescent="0.25">
      <c r="A172" t="s">
        <v>2475</v>
      </c>
      <c r="B172" t="s">
        <v>353</v>
      </c>
      <c r="C172" t="s">
        <v>67</v>
      </c>
      <c r="D172" t="s">
        <v>24</v>
      </c>
      <c r="E172" t="s">
        <v>420</v>
      </c>
      <c r="F172" t="s">
        <v>322</v>
      </c>
      <c r="G172" t="s">
        <v>2425</v>
      </c>
      <c r="H172" s="20">
        <v>46250</v>
      </c>
      <c r="I172">
        <v>1800</v>
      </c>
      <c r="J172">
        <v>43</v>
      </c>
      <c r="K172">
        <v>35</v>
      </c>
      <c r="L172">
        <v>25</v>
      </c>
      <c r="P172" t="s">
        <v>2272</v>
      </c>
      <c r="Q172" t="s">
        <v>2471</v>
      </c>
      <c r="R172" t="s">
        <v>2472</v>
      </c>
      <c r="S172">
        <v>4</v>
      </c>
      <c r="T172" t="s">
        <v>2274</v>
      </c>
      <c r="U172" t="s">
        <v>2275</v>
      </c>
    </row>
    <row r="173" spans="1:21" x14ac:dyDescent="0.25">
      <c r="A173" t="s">
        <v>2476</v>
      </c>
      <c r="B173" t="s">
        <v>353</v>
      </c>
      <c r="C173" t="s">
        <v>67</v>
      </c>
      <c r="D173" t="s">
        <v>21</v>
      </c>
      <c r="E173" t="s">
        <v>421</v>
      </c>
      <c r="F173" t="s">
        <v>422</v>
      </c>
      <c r="G173" t="s">
        <v>2271</v>
      </c>
      <c r="H173" s="20">
        <v>46254</v>
      </c>
      <c r="I173">
        <v>1500</v>
      </c>
      <c r="J173">
        <v>60</v>
      </c>
      <c r="K173">
        <v>47</v>
      </c>
      <c r="L173">
        <v>42</v>
      </c>
      <c r="P173" t="s">
        <v>2272</v>
      </c>
      <c r="R173" t="s">
        <v>2273</v>
      </c>
      <c r="S173">
        <v>13</v>
      </c>
      <c r="T173" t="s">
        <v>2429</v>
      </c>
      <c r="U173" t="s">
        <v>2430</v>
      </c>
    </row>
    <row r="174" spans="1:21" x14ac:dyDescent="0.25">
      <c r="A174" t="s">
        <v>2477</v>
      </c>
      <c r="B174" t="s">
        <v>353</v>
      </c>
      <c r="C174" t="s">
        <v>67</v>
      </c>
      <c r="D174" t="s">
        <v>21</v>
      </c>
      <c r="E174" t="s">
        <v>423</v>
      </c>
      <c r="F174" t="s">
        <v>424</v>
      </c>
      <c r="G174" t="s">
        <v>2271</v>
      </c>
      <c r="H174" s="20">
        <v>46254</v>
      </c>
      <c r="I174">
        <v>1500</v>
      </c>
      <c r="J174">
        <v>60</v>
      </c>
      <c r="K174">
        <v>47</v>
      </c>
      <c r="L174">
        <v>42</v>
      </c>
      <c r="P174" t="s">
        <v>2272</v>
      </c>
      <c r="R174" t="s">
        <v>2273</v>
      </c>
      <c r="S174">
        <v>13</v>
      </c>
      <c r="T174" t="s">
        <v>2429</v>
      </c>
      <c r="U174" t="s">
        <v>2430</v>
      </c>
    </row>
    <row r="175" spans="1:21" x14ac:dyDescent="0.25">
      <c r="A175" t="s">
        <v>2478</v>
      </c>
      <c r="B175" t="s">
        <v>353</v>
      </c>
      <c r="C175" t="s">
        <v>67</v>
      </c>
      <c r="D175" t="s">
        <v>21</v>
      </c>
      <c r="E175" t="s">
        <v>425</v>
      </c>
      <c r="F175" t="s">
        <v>426</v>
      </c>
      <c r="G175" t="s">
        <v>2271</v>
      </c>
      <c r="H175" s="20">
        <v>46254</v>
      </c>
      <c r="I175">
        <v>1500</v>
      </c>
      <c r="J175">
        <v>60</v>
      </c>
      <c r="K175">
        <v>47</v>
      </c>
      <c r="L175">
        <v>42</v>
      </c>
      <c r="P175" t="s">
        <v>2272</v>
      </c>
      <c r="R175" t="s">
        <v>2273</v>
      </c>
      <c r="S175">
        <v>13</v>
      </c>
      <c r="T175" t="s">
        <v>2429</v>
      </c>
      <c r="U175" t="s">
        <v>2430</v>
      </c>
    </row>
    <row r="176" spans="1:21" x14ac:dyDescent="0.25">
      <c r="A176" t="s">
        <v>2479</v>
      </c>
      <c r="B176" t="s">
        <v>353</v>
      </c>
      <c r="C176" t="s">
        <v>73</v>
      </c>
      <c r="D176" t="s">
        <v>24</v>
      </c>
      <c r="E176" t="s">
        <v>428</v>
      </c>
      <c r="F176" t="s">
        <v>356</v>
      </c>
      <c r="G176" t="s">
        <v>2271</v>
      </c>
      <c r="H176" s="20">
        <v>46250</v>
      </c>
      <c r="I176">
        <v>1800</v>
      </c>
      <c r="J176">
        <v>101</v>
      </c>
      <c r="K176">
        <v>78</v>
      </c>
      <c r="L176">
        <v>43</v>
      </c>
      <c r="P176" t="s">
        <v>2272</v>
      </c>
      <c r="R176" t="s">
        <v>2273</v>
      </c>
      <c r="S176">
        <v>4</v>
      </c>
      <c r="T176" t="s">
        <v>2274</v>
      </c>
      <c r="U176" t="s">
        <v>2275</v>
      </c>
    </row>
    <row r="177" spans="1:21" x14ac:dyDescent="0.25">
      <c r="A177" t="s">
        <v>2480</v>
      </c>
      <c r="B177" t="s">
        <v>353</v>
      </c>
      <c r="C177" t="s">
        <v>73</v>
      </c>
      <c r="D177" t="s">
        <v>26</v>
      </c>
      <c r="E177" t="s">
        <v>429</v>
      </c>
      <c r="F177" t="s">
        <v>430</v>
      </c>
      <c r="H177" s="20"/>
      <c r="P177" t="s">
        <v>2291</v>
      </c>
      <c r="R177" t="s">
        <v>2292</v>
      </c>
    </row>
    <row r="178" spans="1:21" x14ac:dyDescent="0.25">
      <c r="A178" t="s">
        <v>2481</v>
      </c>
      <c r="B178" t="s">
        <v>353</v>
      </c>
      <c r="C178" t="s">
        <v>73</v>
      </c>
      <c r="D178" t="s">
        <v>21</v>
      </c>
      <c r="E178" t="s">
        <v>431</v>
      </c>
      <c r="F178" t="s">
        <v>432</v>
      </c>
      <c r="G178" t="s">
        <v>2271</v>
      </c>
      <c r="H178" s="20">
        <v>46254</v>
      </c>
      <c r="I178">
        <v>1500</v>
      </c>
      <c r="J178">
        <v>101</v>
      </c>
      <c r="K178">
        <v>65</v>
      </c>
      <c r="L178">
        <v>40</v>
      </c>
      <c r="M178">
        <v>30</v>
      </c>
      <c r="N178">
        <v>25</v>
      </c>
      <c r="P178" t="s">
        <v>2272</v>
      </c>
      <c r="R178" t="s">
        <v>2273</v>
      </c>
      <c r="S178">
        <v>13</v>
      </c>
      <c r="T178" t="s">
        <v>2429</v>
      </c>
      <c r="U178" t="s">
        <v>2430</v>
      </c>
    </row>
    <row r="179" spans="1:21" x14ac:dyDescent="0.25">
      <c r="A179" t="s">
        <v>2482</v>
      </c>
      <c r="B179" t="s">
        <v>353</v>
      </c>
      <c r="C179" t="s">
        <v>79</v>
      </c>
      <c r="D179" t="s">
        <v>24</v>
      </c>
      <c r="E179" t="s">
        <v>434</v>
      </c>
      <c r="F179" t="s">
        <v>435</v>
      </c>
      <c r="G179" t="s">
        <v>2271</v>
      </c>
      <c r="H179" s="20">
        <v>46250</v>
      </c>
      <c r="I179">
        <v>1800</v>
      </c>
      <c r="J179">
        <v>63</v>
      </c>
      <c r="K179">
        <v>51</v>
      </c>
      <c r="L179">
        <v>32</v>
      </c>
      <c r="P179" t="s">
        <v>2272</v>
      </c>
      <c r="R179" t="s">
        <v>2273</v>
      </c>
      <c r="S179">
        <v>4</v>
      </c>
      <c r="T179" t="s">
        <v>2274</v>
      </c>
      <c r="U179" t="s">
        <v>2275</v>
      </c>
    </row>
    <row r="180" spans="1:21" x14ac:dyDescent="0.25">
      <c r="A180" t="s">
        <v>2483</v>
      </c>
      <c r="B180" t="s">
        <v>353</v>
      </c>
      <c r="C180" t="s">
        <v>81</v>
      </c>
      <c r="D180" t="s">
        <v>24</v>
      </c>
      <c r="E180" t="s">
        <v>437</v>
      </c>
      <c r="F180" t="s">
        <v>366</v>
      </c>
      <c r="G180" t="s">
        <v>2271</v>
      </c>
      <c r="H180" s="20">
        <v>46250</v>
      </c>
      <c r="I180">
        <v>1800</v>
      </c>
      <c r="J180">
        <v>106</v>
      </c>
      <c r="K180">
        <v>102</v>
      </c>
      <c r="L180">
        <v>101</v>
      </c>
      <c r="P180" t="s">
        <v>2272</v>
      </c>
      <c r="R180" t="s">
        <v>2273</v>
      </c>
      <c r="S180">
        <v>9</v>
      </c>
      <c r="T180" t="s">
        <v>2304</v>
      </c>
      <c r="U180" t="s">
        <v>2305</v>
      </c>
    </row>
    <row r="181" spans="1:21" x14ac:dyDescent="0.25">
      <c r="A181" t="s">
        <v>2484</v>
      </c>
      <c r="B181" t="s">
        <v>353</v>
      </c>
      <c r="C181" t="s">
        <v>83</v>
      </c>
      <c r="D181" t="s">
        <v>24</v>
      </c>
      <c r="E181" t="s">
        <v>439</v>
      </c>
      <c r="F181" t="s">
        <v>298</v>
      </c>
      <c r="G181" t="s">
        <v>2271</v>
      </c>
      <c r="H181" s="20">
        <v>46250</v>
      </c>
      <c r="I181">
        <v>1800</v>
      </c>
      <c r="J181">
        <v>60</v>
      </c>
      <c r="K181">
        <v>55</v>
      </c>
      <c r="L181">
        <v>50</v>
      </c>
      <c r="P181" t="s">
        <v>2272</v>
      </c>
      <c r="Q181" t="s">
        <v>2485</v>
      </c>
      <c r="R181" t="s">
        <v>2446</v>
      </c>
      <c r="S181">
        <v>4</v>
      </c>
      <c r="T181" t="s">
        <v>2274</v>
      </c>
      <c r="U181" t="s">
        <v>2275</v>
      </c>
    </row>
    <row r="182" spans="1:21" x14ac:dyDescent="0.25">
      <c r="A182" t="s">
        <v>2486</v>
      </c>
      <c r="B182" t="s">
        <v>353</v>
      </c>
      <c r="C182" t="s">
        <v>83</v>
      </c>
      <c r="D182" t="s">
        <v>24</v>
      </c>
      <c r="E182" t="s">
        <v>440</v>
      </c>
      <c r="F182" t="s">
        <v>441</v>
      </c>
      <c r="G182" t="s">
        <v>2425</v>
      </c>
      <c r="H182" s="20">
        <v>46250</v>
      </c>
      <c r="I182">
        <v>1800</v>
      </c>
      <c r="J182">
        <v>43</v>
      </c>
      <c r="K182">
        <v>35</v>
      </c>
      <c r="L182">
        <v>25</v>
      </c>
      <c r="P182" t="s">
        <v>2272</v>
      </c>
      <c r="Q182" t="s">
        <v>2487</v>
      </c>
      <c r="R182" t="s">
        <v>2472</v>
      </c>
      <c r="S182">
        <v>4</v>
      </c>
      <c r="T182" t="s">
        <v>2274</v>
      </c>
      <c r="U182" t="s">
        <v>2275</v>
      </c>
    </row>
    <row r="183" spans="1:21" x14ac:dyDescent="0.25">
      <c r="A183" t="s">
        <v>2488</v>
      </c>
      <c r="B183" t="s">
        <v>353</v>
      </c>
      <c r="C183" t="s">
        <v>83</v>
      </c>
      <c r="D183" t="s">
        <v>21</v>
      </c>
      <c r="E183" t="s">
        <v>442</v>
      </c>
      <c r="F183" t="s">
        <v>443</v>
      </c>
      <c r="G183" t="s">
        <v>2271</v>
      </c>
      <c r="H183" s="20">
        <v>46254</v>
      </c>
      <c r="I183">
        <v>1500</v>
      </c>
      <c r="J183">
        <v>45</v>
      </c>
      <c r="K183">
        <v>35</v>
      </c>
      <c r="L183">
        <v>20</v>
      </c>
      <c r="P183" t="s">
        <v>2272</v>
      </c>
      <c r="R183" t="s">
        <v>2273</v>
      </c>
      <c r="S183">
        <v>13</v>
      </c>
      <c r="T183" t="s">
        <v>2429</v>
      </c>
      <c r="U183" t="s">
        <v>2430</v>
      </c>
    </row>
    <row r="184" spans="1:21" x14ac:dyDescent="0.25">
      <c r="A184" t="s">
        <v>2489</v>
      </c>
      <c r="B184" t="s">
        <v>353</v>
      </c>
      <c r="C184" t="s">
        <v>83</v>
      </c>
      <c r="D184" t="s">
        <v>21</v>
      </c>
      <c r="E184" t="s">
        <v>444</v>
      </c>
      <c r="F184" t="s">
        <v>392</v>
      </c>
      <c r="G184" t="s">
        <v>2271</v>
      </c>
      <c r="H184" s="20">
        <v>46254</v>
      </c>
      <c r="I184">
        <v>1500</v>
      </c>
      <c r="J184">
        <v>45</v>
      </c>
      <c r="K184">
        <v>35</v>
      </c>
      <c r="L184">
        <v>20</v>
      </c>
      <c r="P184" t="s">
        <v>2272</v>
      </c>
      <c r="R184" t="s">
        <v>2273</v>
      </c>
      <c r="S184">
        <v>13</v>
      </c>
      <c r="T184" t="s">
        <v>2429</v>
      </c>
      <c r="U184" t="s">
        <v>2430</v>
      </c>
    </row>
    <row r="185" spans="1:21" x14ac:dyDescent="0.25">
      <c r="A185" t="s">
        <v>2490</v>
      </c>
      <c r="B185" t="s">
        <v>353</v>
      </c>
      <c r="C185" t="s">
        <v>63</v>
      </c>
      <c r="D185" t="s">
        <v>24</v>
      </c>
      <c r="E185" t="s">
        <v>446</v>
      </c>
      <c r="F185" t="s">
        <v>395</v>
      </c>
      <c r="G185" t="s">
        <v>2271</v>
      </c>
      <c r="H185" s="20">
        <v>46250</v>
      </c>
      <c r="I185">
        <v>1800</v>
      </c>
      <c r="J185">
        <v>80</v>
      </c>
      <c r="P185" t="s">
        <v>2272</v>
      </c>
      <c r="Q185" t="s">
        <v>2422</v>
      </c>
      <c r="R185" t="s">
        <v>2423</v>
      </c>
      <c r="S185">
        <v>4</v>
      </c>
      <c r="T185" t="s">
        <v>2274</v>
      </c>
      <c r="U185" t="s">
        <v>2275</v>
      </c>
    </row>
    <row r="186" spans="1:21" x14ac:dyDescent="0.25">
      <c r="A186" t="s">
        <v>2491</v>
      </c>
      <c r="B186" t="s">
        <v>353</v>
      </c>
      <c r="C186" t="s">
        <v>63</v>
      </c>
      <c r="D186" t="s">
        <v>26</v>
      </c>
      <c r="E186" t="s">
        <v>447</v>
      </c>
      <c r="F186" t="s">
        <v>163</v>
      </c>
      <c r="H186" s="20"/>
      <c r="P186" t="s">
        <v>2291</v>
      </c>
      <c r="R186" t="s">
        <v>2292</v>
      </c>
    </row>
    <row r="187" spans="1:21" x14ac:dyDescent="0.25">
      <c r="A187" t="s">
        <v>2492</v>
      </c>
      <c r="B187" t="s">
        <v>353</v>
      </c>
      <c r="C187" t="s">
        <v>63</v>
      </c>
      <c r="D187" t="s">
        <v>24</v>
      </c>
      <c r="E187" t="s">
        <v>448</v>
      </c>
      <c r="F187" t="s">
        <v>242</v>
      </c>
      <c r="G187" t="s">
        <v>2425</v>
      </c>
      <c r="H187" s="20">
        <v>46250</v>
      </c>
      <c r="I187">
        <v>1800</v>
      </c>
      <c r="J187">
        <v>70</v>
      </c>
      <c r="P187" t="s">
        <v>2272</v>
      </c>
      <c r="Q187" t="s">
        <v>2426</v>
      </c>
      <c r="R187" t="s">
        <v>2423</v>
      </c>
      <c r="S187">
        <v>4</v>
      </c>
      <c r="T187" t="s">
        <v>2274</v>
      </c>
      <c r="U187" t="s">
        <v>2275</v>
      </c>
    </row>
    <row r="188" spans="1:21" x14ac:dyDescent="0.25">
      <c r="A188" t="s">
        <v>2493</v>
      </c>
      <c r="B188" t="s">
        <v>353</v>
      </c>
      <c r="C188" t="s">
        <v>91</v>
      </c>
      <c r="D188" t="s">
        <v>24</v>
      </c>
      <c r="E188" t="s">
        <v>450</v>
      </c>
      <c r="F188" t="s">
        <v>451</v>
      </c>
      <c r="G188" t="s">
        <v>2271</v>
      </c>
      <c r="H188" s="20">
        <v>46250</v>
      </c>
      <c r="I188">
        <v>1800</v>
      </c>
      <c r="J188">
        <v>55</v>
      </c>
      <c r="K188">
        <v>44</v>
      </c>
      <c r="L188">
        <v>33</v>
      </c>
      <c r="P188" t="s">
        <v>2272</v>
      </c>
      <c r="R188" t="s">
        <v>2273</v>
      </c>
      <c r="S188">
        <v>4</v>
      </c>
      <c r="T188" t="s">
        <v>2274</v>
      </c>
      <c r="U188" t="s">
        <v>2275</v>
      </c>
    </row>
    <row r="189" spans="1:21" x14ac:dyDescent="0.25">
      <c r="A189" t="s">
        <v>2494</v>
      </c>
      <c r="B189" t="s">
        <v>353</v>
      </c>
      <c r="C189" t="s">
        <v>91</v>
      </c>
      <c r="D189" t="s">
        <v>24</v>
      </c>
      <c r="E189" t="s">
        <v>452</v>
      </c>
      <c r="F189" t="s">
        <v>247</v>
      </c>
      <c r="G189" t="s">
        <v>2271</v>
      </c>
      <c r="H189" s="20">
        <v>46250</v>
      </c>
      <c r="I189">
        <v>1800</v>
      </c>
      <c r="J189">
        <v>55</v>
      </c>
      <c r="K189">
        <v>44</v>
      </c>
      <c r="L189">
        <v>33</v>
      </c>
      <c r="P189" t="s">
        <v>2272</v>
      </c>
      <c r="R189" t="s">
        <v>2273</v>
      </c>
      <c r="S189">
        <v>4</v>
      </c>
      <c r="T189" t="s">
        <v>2274</v>
      </c>
      <c r="U189" t="s">
        <v>2275</v>
      </c>
    </row>
    <row r="190" spans="1:21" x14ac:dyDescent="0.25">
      <c r="A190" t="s">
        <v>2495</v>
      </c>
      <c r="B190" t="s">
        <v>353</v>
      </c>
      <c r="C190" t="s">
        <v>91</v>
      </c>
      <c r="D190" t="s">
        <v>24</v>
      </c>
      <c r="E190" t="s">
        <v>453</v>
      </c>
      <c r="F190" t="s">
        <v>76</v>
      </c>
      <c r="G190" t="s">
        <v>2271</v>
      </c>
      <c r="H190" s="20">
        <v>46250</v>
      </c>
      <c r="I190">
        <v>1800</v>
      </c>
      <c r="J190">
        <v>55</v>
      </c>
      <c r="K190">
        <v>44</v>
      </c>
      <c r="L190">
        <v>33</v>
      </c>
      <c r="P190" t="s">
        <v>2272</v>
      </c>
      <c r="R190" t="s">
        <v>2273</v>
      </c>
      <c r="S190">
        <v>4</v>
      </c>
      <c r="T190" t="s">
        <v>2274</v>
      </c>
      <c r="U190" t="s">
        <v>2275</v>
      </c>
    </row>
    <row r="191" spans="1:21" x14ac:dyDescent="0.25">
      <c r="A191" t="s">
        <v>2496</v>
      </c>
      <c r="B191" t="s">
        <v>353</v>
      </c>
      <c r="C191" t="s">
        <v>91</v>
      </c>
      <c r="D191" t="s">
        <v>24</v>
      </c>
      <c r="E191" t="s">
        <v>454</v>
      </c>
      <c r="F191" t="s">
        <v>455</v>
      </c>
      <c r="G191" t="s">
        <v>2271</v>
      </c>
      <c r="H191" s="20">
        <v>46250</v>
      </c>
      <c r="I191">
        <v>1800</v>
      </c>
      <c r="J191">
        <v>55</v>
      </c>
      <c r="K191">
        <v>44</v>
      </c>
      <c r="L191">
        <v>33</v>
      </c>
      <c r="P191" t="s">
        <v>2272</v>
      </c>
      <c r="R191" t="s">
        <v>2273</v>
      </c>
      <c r="S191">
        <v>4</v>
      </c>
      <c r="T191" t="s">
        <v>2274</v>
      </c>
      <c r="U191" t="s">
        <v>2275</v>
      </c>
    </row>
    <row r="192" spans="1:21" x14ac:dyDescent="0.25">
      <c r="A192" t="s">
        <v>2497</v>
      </c>
      <c r="B192" t="s">
        <v>353</v>
      </c>
      <c r="C192" t="s">
        <v>91</v>
      </c>
      <c r="D192" t="s">
        <v>24</v>
      </c>
      <c r="E192" t="s">
        <v>456</v>
      </c>
      <c r="F192" t="s">
        <v>342</v>
      </c>
      <c r="G192" t="s">
        <v>2271</v>
      </c>
      <c r="H192" s="20">
        <v>46250</v>
      </c>
      <c r="I192">
        <v>1800</v>
      </c>
      <c r="J192">
        <v>55</v>
      </c>
      <c r="K192">
        <v>44</v>
      </c>
      <c r="L192">
        <v>33</v>
      </c>
      <c r="P192" t="s">
        <v>2272</v>
      </c>
      <c r="R192" t="s">
        <v>2273</v>
      </c>
      <c r="S192">
        <v>4</v>
      </c>
      <c r="T192" t="s">
        <v>2274</v>
      </c>
      <c r="U192" t="s">
        <v>2275</v>
      </c>
    </row>
    <row r="193" spans="1:21" x14ac:dyDescent="0.25">
      <c r="A193" t="s">
        <v>2498</v>
      </c>
      <c r="B193" t="s">
        <v>353</v>
      </c>
      <c r="C193" t="s">
        <v>91</v>
      </c>
      <c r="D193" t="s">
        <v>24</v>
      </c>
      <c r="E193" t="s">
        <v>457</v>
      </c>
      <c r="F193" t="s">
        <v>458</v>
      </c>
      <c r="G193" t="s">
        <v>2271</v>
      </c>
      <c r="H193" s="20">
        <v>46250</v>
      </c>
      <c r="I193">
        <v>1800</v>
      </c>
      <c r="J193">
        <v>55</v>
      </c>
      <c r="K193">
        <v>44</v>
      </c>
      <c r="L193">
        <v>33</v>
      </c>
      <c r="P193" t="s">
        <v>2272</v>
      </c>
      <c r="R193" t="s">
        <v>2273</v>
      </c>
      <c r="S193">
        <v>4</v>
      </c>
      <c r="T193" t="s">
        <v>2274</v>
      </c>
      <c r="U193" t="s">
        <v>2275</v>
      </c>
    </row>
    <row r="194" spans="1:21" x14ac:dyDescent="0.25">
      <c r="A194" t="s">
        <v>2499</v>
      </c>
      <c r="B194" t="s">
        <v>353</v>
      </c>
      <c r="C194" t="s">
        <v>91</v>
      </c>
      <c r="D194" t="s">
        <v>21</v>
      </c>
      <c r="E194" t="s">
        <v>459</v>
      </c>
      <c r="F194" t="s">
        <v>78</v>
      </c>
      <c r="G194" t="s">
        <v>2271</v>
      </c>
      <c r="H194" s="20">
        <v>46254</v>
      </c>
      <c r="I194">
        <v>1500</v>
      </c>
      <c r="J194">
        <v>35</v>
      </c>
      <c r="K194">
        <v>25</v>
      </c>
      <c r="L194">
        <v>20</v>
      </c>
      <c r="P194" t="s">
        <v>2272</v>
      </c>
      <c r="R194" t="s">
        <v>2273</v>
      </c>
      <c r="S194">
        <v>13</v>
      </c>
      <c r="T194" t="s">
        <v>2429</v>
      </c>
      <c r="U194" t="s">
        <v>2430</v>
      </c>
    </row>
    <row r="195" spans="1:21" x14ac:dyDescent="0.25">
      <c r="A195" t="s">
        <v>2500</v>
      </c>
      <c r="B195" t="s">
        <v>353</v>
      </c>
      <c r="C195" t="s">
        <v>91</v>
      </c>
      <c r="D195" t="s">
        <v>26</v>
      </c>
      <c r="E195" t="s">
        <v>460</v>
      </c>
      <c r="F195" t="s">
        <v>298</v>
      </c>
      <c r="H195" s="20"/>
      <c r="P195" t="s">
        <v>2291</v>
      </c>
      <c r="R195" t="s">
        <v>2292</v>
      </c>
    </row>
    <row r="196" spans="1:21" x14ac:dyDescent="0.25">
      <c r="A196" t="s">
        <v>2501</v>
      </c>
      <c r="B196" t="s">
        <v>353</v>
      </c>
      <c r="C196" t="s">
        <v>91</v>
      </c>
      <c r="D196" t="s">
        <v>26</v>
      </c>
      <c r="E196" t="s">
        <v>461</v>
      </c>
      <c r="F196" t="s">
        <v>462</v>
      </c>
      <c r="H196" s="20"/>
      <c r="P196" t="s">
        <v>2291</v>
      </c>
      <c r="R196" t="s">
        <v>2292</v>
      </c>
    </row>
    <row r="197" spans="1:21" x14ac:dyDescent="0.25">
      <c r="A197" t="s">
        <v>2502</v>
      </c>
      <c r="B197" t="s">
        <v>353</v>
      </c>
      <c r="C197" t="s">
        <v>91</v>
      </c>
      <c r="D197" t="s">
        <v>21</v>
      </c>
      <c r="E197" t="s">
        <v>463</v>
      </c>
      <c r="F197" t="s">
        <v>464</v>
      </c>
      <c r="G197" t="s">
        <v>2271</v>
      </c>
      <c r="H197" s="20">
        <v>46254</v>
      </c>
      <c r="I197">
        <v>1500</v>
      </c>
      <c r="J197">
        <v>35</v>
      </c>
      <c r="K197">
        <v>25</v>
      </c>
      <c r="L197">
        <v>20</v>
      </c>
      <c r="P197" t="s">
        <v>2272</v>
      </c>
      <c r="Q197" t="s">
        <v>2503</v>
      </c>
      <c r="R197" t="s">
        <v>2446</v>
      </c>
      <c r="S197">
        <v>16</v>
      </c>
      <c r="T197" t="s">
        <v>2504</v>
      </c>
      <c r="U197" t="s">
        <v>2505</v>
      </c>
    </row>
    <row r="198" spans="1:21" x14ac:dyDescent="0.25">
      <c r="A198" t="s">
        <v>2506</v>
      </c>
      <c r="B198" t="s">
        <v>353</v>
      </c>
      <c r="C198" t="s">
        <v>91</v>
      </c>
      <c r="D198" t="s">
        <v>21</v>
      </c>
      <c r="E198" t="s">
        <v>465</v>
      </c>
      <c r="F198" t="s">
        <v>466</v>
      </c>
      <c r="G198" t="s">
        <v>2271</v>
      </c>
      <c r="H198" s="20">
        <v>46254</v>
      </c>
      <c r="I198">
        <v>1500</v>
      </c>
      <c r="J198">
        <v>35</v>
      </c>
      <c r="K198">
        <v>25</v>
      </c>
      <c r="L198">
        <v>20</v>
      </c>
      <c r="P198" t="s">
        <v>2272</v>
      </c>
      <c r="R198" t="s">
        <v>2273</v>
      </c>
      <c r="S198">
        <v>13</v>
      </c>
      <c r="T198" t="s">
        <v>2429</v>
      </c>
      <c r="U198" t="s">
        <v>2430</v>
      </c>
    </row>
    <row r="199" spans="1:21" x14ac:dyDescent="0.25">
      <c r="A199" t="s">
        <v>2507</v>
      </c>
      <c r="B199" t="s">
        <v>353</v>
      </c>
      <c r="C199" t="s">
        <v>97</v>
      </c>
      <c r="D199" t="s">
        <v>24</v>
      </c>
      <c r="E199" t="s">
        <v>468</v>
      </c>
      <c r="F199" t="s">
        <v>285</v>
      </c>
      <c r="G199" t="s">
        <v>2271</v>
      </c>
      <c r="H199" s="20">
        <v>46250</v>
      </c>
      <c r="I199">
        <v>1800</v>
      </c>
      <c r="J199">
        <v>41</v>
      </c>
      <c r="K199">
        <v>36</v>
      </c>
      <c r="L199">
        <v>31</v>
      </c>
      <c r="P199" t="s">
        <v>2272</v>
      </c>
      <c r="Q199" t="s">
        <v>2508</v>
      </c>
      <c r="R199" t="s">
        <v>2446</v>
      </c>
      <c r="S199">
        <v>4</v>
      </c>
      <c r="T199" t="s">
        <v>2274</v>
      </c>
      <c r="U199" t="s">
        <v>2275</v>
      </c>
    </row>
    <row r="200" spans="1:21" x14ac:dyDescent="0.25">
      <c r="A200" t="s">
        <v>2509</v>
      </c>
      <c r="B200" t="s">
        <v>353</v>
      </c>
      <c r="C200" t="s">
        <v>97</v>
      </c>
      <c r="D200" t="s">
        <v>24</v>
      </c>
      <c r="E200" t="s">
        <v>469</v>
      </c>
      <c r="F200" t="s">
        <v>223</v>
      </c>
      <c r="G200" t="s">
        <v>2425</v>
      </c>
      <c r="H200" s="20">
        <v>46250</v>
      </c>
      <c r="I200">
        <v>1800</v>
      </c>
      <c r="J200">
        <v>36</v>
      </c>
      <c r="K200">
        <v>31</v>
      </c>
      <c r="L200">
        <v>26</v>
      </c>
      <c r="P200" t="s">
        <v>2272</v>
      </c>
      <c r="Q200" t="s">
        <v>2510</v>
      </c>
      <c r="R200" t="s">
        <v>2472</v>
      </c>
      <c r="S200">
        <v>4</v>
      </c>
      <c r="T200" t="s">
        <v>2274</v>
      </c>
      <c r="U200" t="s">
        <v>2275</v>
      </c>
    </row>
    <row r="201" spans="1:21" x14ac:dyDescent="0.25">
      <c r="A201" t="s">
        <v>2511</v>
      </c>
      <c r="B201" t="s">
        <v>353</v>
      </c>
      <c r="C201" t="s">
        <v>97</v>
      </c>
      <c r="D201" t="s">
        <v>24</v>
      </c>
      <c r="E201" t="s">
        <v>470</v>
      </c>
      <c r="F201" t="s">
        <v>225</v>
      </c>
      <c r="G201" t="s">
        <v>2425</v>
      </c>
      <c r="H201" s="20">
        <v>46250</v>
      </c>
      <c r="I201">
        <v>1800</v>
      </c>
      <c r="J201">
        <v>36</v>
      </c>
      <c r="K201">
        <v>31</v>
      </c>
      <c r="L201">
        <v>26</v>
      </c>
      <c r="P201" t="s">
        <v>2272</v>
      </c>
      <c r="Q201" t="s">
        <v>2510</v>
      </c>
      <c r="R201" t="s">
        <v>2472</v>
      </c>
      <c r="S201">
        <v>4</v>
      </c>
      <c r="T201" t="s">
        <v>2274</v>
      </c>
      <c r="U201" t="s">
        <v>2275</v>
      </c>
    </row>
    <row r="202" spans="1:21" x14ac:dyDescent="0.25">
      <c r="A202" t="s">
        <v>2512</v>
      </c>
      <c r="B202" t="s">
        <v>353</v>
      </c>
      <c r="C202" t="s">
        <v>97</v>
      </c>
      <c r="D202" t="s">
        <v>24</v>
      </c>
      <c r="E202" t="s">
        <v>471</v>
      </c>
      <c r="F202" t="s">
        <v>419</v>
      </c>
      <c r="G202" t="s">
        <v>2425</v>
      </c>
      <c r="H202" s="20">
        <v>46250</v>
      </c>
      <c r="I202">
        <v>1800</v>
      </c>
      <c r="J202">
        <v>36</v>
      </c>
      <c r="K202">
        <v>31</v>
      </c>
      <c r="L202">
        <v>26</v>
      </c>
      <c r="P202" t="s">
        <v>2272</v>
      </c>
      <c r="Q202" t="s">
        <v>2510</v>
      </c>
      <c r="R202" t="s">
        <v>2472</v>
      </c>
      <c r="S202">
        <v>4</v>
      </c>
      <c r="T202" t="s">
        <v>2274</v>
      </c>
      <c r="U202" t="s">
        <v>2275</v>
      </c>
    </row>
    <row r="203" spans="1:21" x14ac:dyDescent="0.25">
      <c r="A203" t="s">
        <v>2513</v>
      </c>
      <c r="B203" t="s">
        <v>353</v>
      </c>
      <c r="C203" t="s">
        <v>97</v>
      </c>
      <c r="D203" t="s">
        <v>24</v>
      </c>
      <c r="E203" t="s">
        <v>472</v>
      </c>
      <c r="F203" t="s">
        <v>473</v>
      </c>
      <c r="G203" t="s">
        <v>2425</v>
      </c>
      <c r="H203" s="20">
        <v>46250</v>
      </c>
      <c r="I203">
        <v>1800</v>
      </c>
      <c r="J203">
        <v>36</v>
      </c>
      <c r="K203">
        <v>31</v>
      </c>
      <c r="L203">
        <v>26</v>
      </c>
      <c r="P203" t="s">
        <v>2272</v>
      </c>
      <c r="Q203" t="s">
        <v>2510</v>
      </c>
      <c r="R203" t="s">
        <v>2472</v>
      </c>
      <c r="S203">
        <v>4</v>
      </c>
      <c r="T203" t="s">
        <v>2274</v>
      </c>
      <c r="U203" t="s">
        <v>2275</v>
      </c>
    </row>
    <row r="204" spans="1:21" x14ac:dyDescent="0.25">
      <c r="A204" t="s">
        <v>2514</v>
      </c>
      <c r="B204" t="s">
        <v>353</v>
      </c>
      <c r="C204" t="s">
        <v>103</v>
      </c>
      <c r="D204" t="s">
        <v>24</v>
      </c>
      <c r="E204" t="s">
        <v>475</v>
      </c>
      <c r="F204" t="s">
        <v>476</v>
      </c>
      <c r="G204" t="s">
        <v>2271</v>
      </c>
      <c r="H204" s="20">
        <v>46250</v>
      </c>
      <c r="I204">
        <v>1800</v>
      </c>
      <c r="J204">
        <v>101</v>
      </c>
      <c r="K204">
        <v>66</v>
      </c>
      <c r="L204">
        <v>55</v>
      </c>
      <c r="P204" t="s">
        <v>2272</v>
      </c>
      <c r="R204" t="s">
        <v>2273</v>
      </c>
      <c r="S204">
        <v>4</v>
      </c>
      <c r="T204" t="s">
        <v>2274</v>
      </c>
      <c r="U204" t="s">
        <v>2275</v>
      </c>
    </row>
    <row r="205" spans="1:21" x14ac:dyDescent="0.25">
      <c r="A205" t="s">
        <v>2515</v>
      </c>
      <c r="B205" t="s">
        <v>353</v>
      </c>
      <c r="C205" t="s">
        <v>103</v>
      </c>
      <c r="D205" t="s">
        <v>24</v>
      </c>
      <c r="E205" t="s">
        <v>477</v>
      </c>
      <c r="F205" t="s">
        <v>478</v>
      </c>
      <c r="G205" t="s">
        <v>2271</v>
      </c>
      <c r="H205" s="20">
        <v>46250</v>
      </c>
      <c r="I205">
        <v>1800</v>
      </c>
      <c r="J205">
        <v>101</v>
      </c>
      <c r="K205">
        <v>66</v>
      </c>
      <c r="L205">
        <v>55</v>
      </c>
      <c r="P205" t="s">
        <v>2272</v>
      </c>
      <c r="R205" t="s">
        <v>2273</v>
      </c>
      <c r="S205">
        <v>4</v>
      </c>
      <c r="T205" t="s">
        <v>2274</v>
      </c>
      <c r="U205" t="s">
        <v>2275</v>
      </c>
    </row>
    <row r="206" spans="1:21" x14ac:dyDescent="0.25">
      <c r="A206" t="s">
        <v>2516</v>
      </c>
      <c r="B206" t="s">
        <v>353</v>
      </c>
      <c r="C206" t="s">
        <v>103</v>
      </c>
      <c r="D206" t="s">
        <v>21</v>
      </c>
      <c r="E206" t="s">
        <v>479</v>
      </c>
      <c r="F206" t="s">
        <v>480</v>
      </c>
      <c r="G206" t="s">
        <v>2271</v>
      </c>
      <c r="H206" s="20">
        <v>46254</v>
      </c>
      <c r="I206">
        <v>1500</v>
      </c>
      <c r="J206">
        <v>74</v>
      </c>
      <c r="K206">
        <v>54</v>
      </c>
      <c r="L206">
        <v>38</v>
      </c>
      <c r="P206" t="s">
        <v>2272</v>
      </c>
      <c r="R206" t="s">
        <v>2273</v>
      </c>
      <c r="S206">
        <v>13</v>
      </c>
      <c r="T206" t="s">
        <v>2429</v>
      </c>
      <c r="U206" t="s">
        <v>2430</v>
      </c>
    </row>
    <row r="207" spans="1:21" x14ac:dyDescent="0.25">
      <c r="A207" t="s">
        <v>2517</v>
      </c>
      <c r="B207" t="s">
        <v>353</v>
      </c>
      <c r="C207" t="s">
        <v>103</v>
      </c>
      <c r="D207" t="s">
        <v>21</v>
      </c>
      <c r="E207" t="s">
        <v>481</v>
      </c>
      <c r="F207" t="s">
        <v>56</v>
      </c>
      <c r="G207" t="s">
        <v>2271</v>
      </c>
      <c r="H207" s="20">
        <v>46254</v>
      </c>
      <c r="I207">
        <v>1500</v>
      </c>
      <c r="J207">
        <v>74</v>
      </c>
      <c r="K207">
        <v>54</v>
      </c>
      <c r="L207">
        <v>38</v>
      </c>
      <c r="P207" t="s">
        <v>2272</v>
      </c>
      <c r="R207" t="s">
        <v>2273</v>
      </c>
      <c r="S207">
        <v>13</v>
      </c>
      <c r="T207" t="s">
        <v>2429</v>
      </c>
      <c r="U207" t="s">
        <v>2430</v>
      </c>
    </row>
    <row r="208" spans="1:21" x14ac:dyDescent="0.25">
      <c r="A208" t="s">
        <v>2518</v>
      </c>
      <c r="B208" t="s">
        <v>353</v>
      </c>
      <c r="C208" t="s">
        <v>109</v>
      </c>
      <c r="D208" t="s">
        <v>24</v>
      </c>
      <c r="E208" t="s">
        <v>483</v>
      </c>
      <c r="F208" t="s">
        <v>484</v>
      </c>
      <c r="G208" t="s">
        <v>2271</v>
      </c>
      <c r="H208" s="20">
        <v>46250</v>
      </c>
      <c r="I208">
        <v>1800</v>
      </c>
      <c r="J208">
        <v>66</v>
      </c>
      <c r="K208">
        <v>51</v>
      </c>
      <c r="L208">
        <v>46</v>
      </c>
      <c r="P208" t="s">
        <v>2272</v>
      </c>
      <c r="R208" t="s">
        <v>2273</v>
      </c>
      <c r="S208">
        <v>9</v>
      </c>
      <c r="T208" t="s">
        <v>2304</v>
      </c>
      <c r="U208" t="s">
        <v>2305</v>
      </c>
    </row>
    <row r="209" spans="1:21" x14ac:dyDescent="0.25">
      <c r="A209" t="s">
        <v>2519</v>
      </c>
      <c r="B209" t="s">
        <v>353</v>
      </c>
      <c r="C209" t="s">
        <v>109</v>
      </c>
      <c r="D209" t="s">
        <v>21</v>
      </c>
      <c r="E209" t="s">
        <v>485</v>
      </c>
      <c r="F209" t="s">
        <v>319</v>
      </c>
      <c r="G209" t="s">
        <v>2444</v>
      </c>
      <c r="H209" s="20">
        <v>46254</v>
      </c>
      <c r="I209">
        <v>1500</v>
      </c>
      <c r="J209">
        <v>79</v>
      </c>
      <c r="K209">
        <v>59</v>
      </c>
      <c r="L209">
        <v>47</v>
      </c>
      <c r="P209" t="s">
        <v>2272</v>
      </c>
      <c r="Q209" t="s">
        <v>2520</v>
      </c>
      <c r="R209" t="s">
        <v>2446</v>
      </c>
      <c r="S209">
        <v>13</v>
      </c>
      <c r="T209" t="s">
        <v>2429</v>
      </c>
      <c r="U209" t="s">
        <v>2430</v>
      </c>
    </row>
    <row r="210" spans="1:21" x14ac:dyDescent="0.25">
      <c r="A210" t="s">
        <v>2521</v>
      </c>
      <c r="B210" t="s">
        <v>353</v>
      </c>
      <c r="C210" t="s">
        <v>113</v>
      </c>
      <c r="D210" t="s">
        <v>24</v>
      </c>
      <c r="E210" t="s">
        <v>487</v>
      </c>
      <c r="F210" t="s">
        <v>488</v>
      </c>
      <c r="G210" t="s">
        <v>2271</v>
      </c>
      <c r="H210" s="20">
        <v>46250</v>
      </c>
      <c r="I210">
        <v>1800</v>
      </c>
      <c r="J210">
        <v>100</v>
      </c>
      <c r="K210">
        <v>58</v>
      </c>
      <c r="L210">
        <v>54</v>
      </c>
      <c r="P210" t="s">
        <v>2272</v>
      </c>
      <c r="R210" t="s">
        <v>2273</v>
      </c>
      <c r="S210">
        <v>4</v>
      </c>
      <c r="T210" t="s">
        <v>2274</v>
      </c>
      <c r="U210" t="s">
        <v>2275</v>
      </c>
    </row>
    <row r="211" spans="1:21" x14ac:dyDescent="0.25">
      <c r="A211" t="s">
        <v>2522</v>
      </c>
      <c r="B211" t="s">
        <v>353</v>
      </c>
      <c r="C211" t="s">
        <v>113</v>
      </c>
      <c r="D211" t="s">
        <v>24</v>
      </c>
      <c r="E211" t="s">
        <v>489</v>
      </c>
      <c r="F211" t="s">
        <v>195</v>
      </c>
      <c r="G211" t="s">
        <v>2271</v>
      </c>
      <c r="H211" s="20">
        <v>46250</v>
      </c>
      <c r="I211">
        <v>1800</v>
      </c>
      <c r="J211">
        <v>100</v>
      </c>
      <c r="K211">
        <v>58</v>
      </c>
      <c r="L211">
        <v>54</v>
      </c>
      <c r="P211" t="s">
        <v>2272</v>
      </c>
      <c r="R211" t="s">
        <v>2273</v>
      </c>
      <c r="S211">
        <v>4</v>
      </c>
      <c r="T211" t="s">
        <v>2274</v>
      </c>
      <c r="U211" t="s">
        <v>2275</v>
      </c>
    </row>
    <row r="212" spans="1:21" x14ac:dyDescent="0.25">
      <c r="A212" t="s">
        <v>2523</v>
      </c>
      <c r="B212" t="s">
        <v>353</v>
      </c>
      <c r="C212" t="s">
        <v>113</v>
      </c>
      <c r="D212" t="s">
        <v>24</v>
      </c>
      <c r="E212" t="s">
        <v>490</v>
      </c>
      <c r="F212" t="s">
        <v>333</v>
      </c>
      <c r="G212" t="s">
        <v>2271</v>
      </c>
      <c r="H212" s="20">
        <v>46250</v>
      </c>
      <c r="I212">
        <v>1800</v>
      </c>
      <c r="J212">
        <v>100</v>
      </c>
      <c r="K212">
        <v>58</v>
      </c>
      <c r="L212">
        <v>54</v>
      </c>
      <c r="P212" t="s">
        <v>2272</v>
      </c>
      <c r="R212" t="s">
        <v>2273</v>
      </c>
      <c r="S212">
        <v>4</v>
      </c>
      <c r="T212" t="s">
        <v>2274</v>
      </c>
      <c r="U212" t="s">
        <v>2275</v>
      </c>
    </row>
    <row r="213" spans="1:21" x14ac:dyDescent="0.25">
      <c r="A213" t="s">
        <v>2524</v>
      </c>
      <c r="B213" t="s">
        <v>353</v>
      </c>
      <c r="C213" t="s">
        <v>116</v>
      </c>
      <c r="D213" t="s">
        <v>24</v>
      </c>
      <c r="E213" t="s">
        <v>452</v>
      </c>
      <c r="F213" t="s">
        <v>247</v>
      </c>
      <c r="G213" t="s">
        <v>2271</v>
      </c>
      <c r="H213" s="20">
        <v>46250</v>
      </c>
      <c r="I213">
        <v>1800</v>
      </c>
      <c r="J213">
        <v>63</v>
      </c>
      <c r="K213">
        <v>53</v>
      </c>
      <c r="L213">
        <v>40</v>
      </c>
      <c r="P213" t="s">
        <v>2272</v>
      </c>
      <c r="R213" t="s">
        <v>2273</v>
      </c>
      <c r="S213">
        <v>4</v>
      </c>
      <c r="T213" t="s">
        <v>2274</v>
      </c>
      <c r="U213" t="s">
        <v>2275</v>
      </c>
    </row>
    <row r="214" spans="1:21" x14ac:dyDescent="0.25">
      <c r="A214" t="s">
        <v>2525</v>
      </c>
      <c r="B214" t="s">
        <v>353</v>
      </c>
      <c r="C214" t="s">
        <v>116</v>
      </c>
      <c r="D214" t="s">
        <v>24</v>
      </c>
      <c r="E214" t="s">
        <v>492</v>
      </c>
      <c r="F214" t="s">
        <v>96</v>
      </c>
      <c r="G214" t="s">
        <v>2271</v>
      </c>
      <c r="H214" s="20">
        <v>46250</v>
      </c>
      <c r="I214">
        <v>1800</v>
      </c>
      <c r="J214">
        <v>63</v>
      </c>
      <c r="K214">
        <v>53</v>
      </c>
      <c r="L214">
        <v>40</v>
      </c>
      <c r="P214" t="s">
        <v>2272</v>
      </c>
      <c r="R214" t="s">
        <v>2273</v>
      </c>
      <c r="S214">
        <v>4</v>
      </c>
      <c r="T214" t="s">
        <v>2274</v>
      </c>
      <c r="U214" t="s">
        <v>2275</v>
      </c>
    </row>
    <row r="215" spans="1:21" x14ac:dyDescent="0.25">
      <c r="A215" t="s">
        <v>2526</v>
      </c>
      <c r="B215" t="s">
        <v>353</v>
      </c>
      <c r="C215" t="s">
        <v>116</v>
      </c>
      <c r="D215" t="s">
        <v>24</v>
      </c>
      <c r="E215" t="s">
        <v>493</v>
      </c>
      <c r="F215" t="s">
        <v>494</v>
      </c>
      <c r="G215" t="s">
        <v>2271</v>
      </c>
      <c r="H215" s="20">
        <v>46250</v>
      </c>
      <c r="I215">
        <v>1800</v>
      </c>
      <c r="J215">
        <v>63</v>
      </c>
      <c r="K215">
        <v>53</v>
      </c>
      <c r="L215">
        <v>40</v>
      </c>
      <c r="P215" t="s">
        <v>2272</v>
      </c>
      <c r="R215" t="s">
        <v>2273</v>
      </c>
      <c r="S215">
        <v>4</v>
      </c>
      <c r="T215" t="s">
        <v>2274</v>
      </c>
      <c r="U215" t="s">
        <v>2275</v>
      </c>
    </row>
    <row r="216" spans="1:21" x14ac:dyDescent="0.25">
      <c r="A216" t="s">
        <v>2527</v>
      </c>
      <c r="B216" t="s">
        <v>353</v>
      </c>
      <c r="C216" t="s">
        <v>116</v>
      </c>
      <c r="D216" t="s">
        <v>21</v>
      </c>
      <c r="E216" t="s">
        <v>495</v>
      </c>
      <c r="F216" t="s">
        <v>66</v>
      </c>
      <c r="G216" t="s">
        <v>2444</v>
      </c>
      <c r="H216" s="20">
        <v>46254</v>
      </c>
      <c r="I216">
        <v>1500</v>
      </c>
      <c r="J216">
        <v>63</v>
      </c>
      <c r="K216">
        <v>53</v>
      </c>
      <c r="L216">
        <v>38</v>
      </c>
      <c r="P216" t="s">
        <v>2272</v>
      </c>
      <c r="Q216" t="s">
        <v>2528</v>
      </c>
      <c r="R216" t="s">
        <v>2446</v>
      </c>
      <c r="S216">
        <v>13</v>
      </c>
      <c r="T216" t="s">
        <v>2429</v>
      </c>
      <c r="U216" t="s">
        <v>2430</v>
      </c>
    </row>
    <row r="217" spans="1:21" x14ac:dyDescent="0.25">
      <c r="A217" t="s">
        <v>2529</v>
      </c>
      <c r="B217" t="s">
        <v>353</v>
      </c>
      <c r="C217" t="s">
        <v>116</v>
      </c>
      <c r="D217" t="s">
        <v>21</v>
      </c>
      <c r="E217" t="s">
        <v>496</v>
      </c>
      <c r="F217" t="s">
        <v>347</v>
      </c>
      <c r="G217" t="s">
        <v>2271</v>
      </c>
      <c r="H217" s="20">
        <v>46254</v>
      </c>
      <c r="I217">
        <v>1500</v>
      </c>
      <c r="J217">
        <v>36</v>
      </c>
      <c r="K217">
        <v>32</v>
      </c>
      <c r="L217">
        <v>27</v>
      </c>
      <c r="P217" t="s">
        <v>2272</v>
      </c>
      <c r="R217" t="s">
        <v>2273</v>
      </c>
      <c r="S217">
        <v>13</v>
      </c>
      <c r="T217" t="s">
        <v>2429</v>
      </c>
      <c r="U217" t="s">
        <v>2430</v>
      </c>
    </row>
    <row r="218" spans="1:21" x14ac:dyDescent="0.25">
      <c r="A218" t="s">
        <v>2530</v>
      </c>
      <c r="B218" t="s">
        <v>353</v>
      </c>
      <c r="C218" t="s">
        <v>116</v>
      </c>
      <c r="D218" t="s">
        <v>21</v>
      </c>
      <c r="E218" t="s">
        <v>497</v>
      </c>
      <c r="F218" t="s">
        <v>293</v>
      </c>
      <c r="G218" t="s">
        <v>2271</v>
      </c>
      <c r="H218" s="20">
        <v>46254</v>
      </c>
      <c r="I218">
        <v>1500</v>
      </c>
      <c r="J218">
        <v>36</v>
      </c>
      <c r="K218">
        <v>32</v>
      </c>
      <c r="L218">
        <v>27</v>
      </c>
      <c r="P218" t="s">
        <v>2272</v>
      </c>
      <c r="R218" t="s">
        <v>2273</v>
      </c>
      <c r="S218">
        <v>13</v>
      </c>
      <c r="T218" t="s">
        <v>2429</v>
      </c>
      <c r="U218" t="s">
        <v>2430</v>
      </c>
    </row>
    <row r="219" spans="1:21" x14ac:dyDescent="0.25">
      <c r="A219" t="s">
        <v>2531</v>
      </c>
      <c r="B219" t="s">
        <v>353</v>
      </c>
      <c r="C219" t="s">
        <v>122</v>
      </c>
      <c r="D219" t="s">
        <v>24</v>
      </c>
      <c r="E219" t="s">
        <v>499</v>
      </c>
      <c r="F219" t="s">
        <v>86</v>
      </c>
      <c r="G219" t="s">
        <v>2271</v>
      </c>
      <c r="H219" s="20">
        <v>46250</v>
      </c>
      <c r="I219">
        <v>1800</v>
      </c>
      <c r="J219">
        <v>76</v>
      </c>
      <c r="K219">
        <v>56</v>
      </c>
      <c r="L219">
        <v>44</v>
      </c>
      <c r="P219" t="s">
        <v>2272</v>
      </c>
      <c r="R219" t="s">
        <v>2273</v>
      </c>
      <c r="S219">
        <v>4</v>
      </c>
      <c r="T219" t="s">
        <v>2274</v>
      </c>
      <c r="U219" t="s">
        <v>2275</v>
      </c>
    </row>
    <row r="220" spans="1:21" x14ac:dyDescent="0.25">
      <c r="A220" t="s">
        <v>2532</v>
      </c>
      <c r="B220" t="s">
        <v>353</v>
      </c>
      <c r="C220" t="s">
        <v>122</v>
      </c>
      <c r="D220" t="s">
        <v>24</v>
      </c>
      <c r="E220" t="s">
        <v>500</v>
      </c>
      <c r="F220" t="s">
        <v>364</v>
      </c>
      <c r="G220" t="s">
        <v>2271</v>
      </c>
      <c r="H220" s="20">
        <v>46250</v>
      </c>
      <c r="I220">
        <v>1800</v>
      </c>
      <c r="J220">
        <v>76</v>
      </c>
      <c r="K220">
        <v>56</v>
      </c>
      <c r="L220">
        <v>44</v>
      </c>
      <c r="P220" t="s">
        <v>2272</v>
      </c>
      <c r="R220" t="s">
        <v>2273</v>
      </c>
      <c r="S220">
        <v>4</v>
      </c>
      <c r="T220" t="s">
        <v>2274</v>
      </c>
      <c r="U220" t="s">
        <v>2275</v>
      </c>
    </row>
    <row r="221" spans="1:21" x14ac:dyDescent="0.25">
      <c r="A221" t="s">
        <v>2533</v>
      </c>
      <c r="B221" t="s">
        <v>353</v>
      </c>
      <c r="C221" t="s">
        <v>122</v>
      </c>
      <c r="D221" t="s">
        <v>24</v>
      </c>
      <c r="E221" t="s">
        <v>501</v>
      </c>
      <c r="F221" t="s">
        <v>426</v>
      </c>
      <c r="G221" t="s">
        <v>2271</v>
      </c>
      <c r="H221" s="20">
        <v>46250</v>
      </c>
      <c r="I221">
        <v>1800</v>
      </c>
      <c r="J221">
        <v>76</v>
      </c>
      <c r="K221">
        <v>56</v>
      </c>
      <c r="L221">
        <v>44</v>
      </c>
      <c r="P221" t="s">
        <v>2272</v>
      </c>
      <c r="R221" t="s">
        <v>2273</v>
      </c>
      <c r="S221">
        <v>4</v>
      </c>
      <c r="T221" t="s">
        <v>2274</v>
      </c>
      <c r="U221" t="s">
        <v>2275</v>
      </c>
    </row>
    <row r="222" spans="1:21" x14ac:dyDescent="0.25">
      <c r="A222" t="s">
        <v>2534</v>
      </c>
      <c r="B222" t="s">
        <v>353</v>
      </c>
      <c r="C222" t="s">
        <v>122</v>
      </c>
      <c r="D222" t="s">
        <v>21</v>
      </c>
      <c r="E222" t="s">
        <v>502</v>
      </c>
      <c r="F222" t="s">
        <v>503</v>
      </c>
      <c r="G222" t="s">
        <v>2271</v>
      </c>
      <c r="H222" s="20">
        <v>46254</v>
      </c>
      <c r="I222">
        <v>1500</v>
      </c>
      <c r="J222">
        <v>79</v>
      </c>
      <c r="K222">
        <v>59</v>
      </c>
      <c r="L222">
        <v>47</v>
      </c>
      <c r="P222" t="s">
        <v>2272</v>
      </c>
      <c r="R222" t="s">
        <v>2273</v>
      </c>
      <c r="S222">
        <v>13</v>
      </c>
      <c r="T222" t="s">
        <v>2429</v>
      </c>
      <c r="U222" t="s">
        <v>2430</v>
      </c>
    </row>
    <row r="223" spans="1:21" x14ac:dyDescent="0.25">
      <c r="A223" t="s">
        <v>2535</v>
      </c>
      <c r="B223" t="s">
        <v>353</v>
      </c>
      <c r="C223" t="s">
        <v>122</v>
      </c>
      <c r="D223" t="s">
        <v>21</v>
      </c>
      <c r="E223" t="s">
        <v>504</v>
      </c>
      <c r="F223" t="s">
        <v>195</v>
      </c>
      <c r="G223" t="s">
        <v>2271</v>
      </c>
      <c r="H223" s="20">
        <v>46254</v>
      </c>
      <c r="I223">
        <v>1500</v>
      </c>
      <c r="J223">
        <v>79</v>
      </c>
      <c r="K223">
        <v>59</v>
      </c>
      <c r="L223">
        <v>47</v>
      </c>
      <c r="P223" t="s">
        <v>2272</v>
      </c>
      <c r="R223" t="s">
        <v>2273</v>
      </c>
      <c r="S223">
        <v>13</v>
      </c>
      <c r="T223" t="s">
        <v>2429</v>
      </c>
      <c r="U223" t="s">
        <v>2430</v>
      </c>
    </row>
    <row r="224" spans="1:21" x14ac:dyDescent="0.25">
      <c r="A224" t="s">
        <v>2536</v>
      </c>
      <c r="B224" t="s">
        <v>353</v>
      </c>
      <c r="C224" t="s">
        <v>124</v>
      </c>
      <c r="D224" t="s">
        <v>24</v>
      </c>
      <c r="E224" t="s">
        <v>506</v>
      </c>
      <c r="F224" t="s">
        <v>315</v>
      </c>
      <c r="G224" t="s">
        <v>2271</v>
      </c>
      <c r="H224" s="20">
        <v>46250</v>
      </c>
      <c r="I224">
        <v>1800</v>
      </c>
      <c r="J224">
        <v>106</v>
      </c>
      <c r="K224">
        <v>81</v>
      </c>
      <c r="L224">
        <v>81</v>
      </c>
      <c r="P224" t="s">
        <v>2272</v>
      </c>
      <c r="R224" t="s">
        <v>2273</v>
      </c>
      <c r="S224">
        <v>4</v>
      </c>
      <c r="T224" t="s">
        <v>2274</v>
      </c>
      <c r="U224" t="s">
        <v>2275</v>
      </c>
    </row>
    <row r="225" spans="1:21" x14ac:dyDescent="0.25">
      <c r="A225" t="s">
        <v>2537</v>
      </c>
      <c r="B225" t="s">
        <v>353</v>
      </c>
      <c r="C225" t="s">
        <v>124</v>
      </c>
      <c r="D225" t="s">
        <v>21</v>
      </c>
      <c r="E225" t="s">
        <v>507</v>
      </c>
      <c r="F225" t="s">
        <v>208</v>
      </c>
      <c r="G225" t="s">
        <v>2271</v>
      </c>
      <c r="H225" s="20">
        <v>46254</v>
      </c>
      <c r="I225">
        <v>1500</v>
      </c>
      <c r="J225">
        <v>36</v>
      </c>
      <c r="K225">
        <v>32</v>
      </c>
      <c r="L225">
        <v>27</v>
      </c>
      <c r="P225" t="s">
        <v>2272</v>
      </c>
      <c r="R225" t="s">
        <v>2273</v>
      </c>
      <c r="S225">
        <v>13</v>
      </c>
      <c r="T225" t="s">
        <v>2429</v>
      </c>
      <c r="U225" t="s">
        <v>2430</v>
      </c>
    </row>
    <row r="226" spans="1:21" x14ac:dyDescent="0.25">
      <c r="A226" t="s">
        <v>2538</v>
      </c>
      <c r="B226" t="s">
        <v>353</v>
      </c>
      <c r="C226" t="s">
        <v>128</v>
      </c>
      <c r="D226" t="s">
        <v>24</v>
      </c>
      <c r="E226" t="s">
        <v>509</v>
      </c>
      <c r="F226" t="s">
        <v>112</v>
      </c>
      <c r="G226" t="s">
        <v>2271</v>
      </c>
      <c r="H226" s="20">
        <v>46250</v>
      </c>
      <c r="I226">
        <v>1800</v>
      </c>
      <c r="J226">
        <v>106</v>
      </c>
      <c r="K226">
        <v>81</v>
      </c>
      <c r="L226">
        <v>43</v>
      </c>
      <c r="P226" t="s">
        <v>2272</v>
      </c>
      <c r="R226" t="s">
        <v>2273</v>
      </c>
      <c r="S226">
        <v>4</v>
      </c>
      <c r="T226" t="s">
        <v>2274</v>
      </c>
      <c r="U226" t="s">
        <v>2275</v>
      </c>
    </row>
    <row r="227" spans="1:21" x14ac:dyDescent="0.25">
      <c r="A227" t="s">
        <v>2539</v>
      </c>
      <c r="B227" t="s">
        <v>353</v>
      </c>
      <c r="C227" t="s">
        <v>132</v>
      </c>
      <c r="D227" t="s">
        <v>24</v>
      </c>
      <c r="E227" t="s">
        <v>511</v>
      </c>
      <c r="F227" t="s">
        <v>170</v>
      </c>
      <c r="G227" t="s">
        <v>2271</v>
      </c>
      <c r="H227" s="20">
        <v>46250</v>
      </c>
      <c r="I227">
        <v>1800</v>
      </c>
      <c r="J227">
        <v>35</v>
      </c>
      <c r="P227" t="s">
        <v>2272</v>
      </c>
      <c r="R227" t="s">
        <v>2273</v>
      </c>
      <c r="S227">
        <v>4</v>
      </c>
      <c r="T227" t="s">
        <v>2274</v>
      </c>
      <c r="U227" t="s">
        <v>2275</v>
      </c>
    </row>
    <row r="228" spans="1:21" x14ac:dyDescent="0.25">
      <c r="A228" t="s">
        <v>2540</v>
      </c>
      <c r="B228" t="s">
        <v>353</v>
      </c>
      <c r="C228" t="s">
        <v>132</v>
      </c>
      <c r="D228" t="s">
        <v>24</v>
      </c>
      <c r="E228" t="s">
        <v>512</v>
      </c>
      <c r="F228" t="s">
        <v>513</v>
      </c>
      <c r="G228" t="s">
        <v>2271</v>
      </c>
      <c r="H228" s="20">
        <v>46250</v>
      </c>
      <c r="I228">
        <v>1800</v>
      </c>
      <c r="J228">
        <v>35</v>
      </c>
      <c r="P228" t="s">
        <v>2272</v>
      </c>
      <c r="R228" t="s">
        <v>2273</v>
      </c>
      <c r="S228">
        <v>4</v>
      </c>
      <c r="T228" t="s">
        <v>2274</v>
      </c>
      <c r="U228" t="s">
        <v>2275</v>
      </c>
    </row>
    <row r="229" spans="1:21" x14ac:dyDescent="0.25">
      <c r="A229" t="s">
        <v>2541</v>
      </c>
      <c r="B229" t="s">
        <v>353</v>
      </c>
      <c r="C229" t="s">
        <v>132</v>
      </c>
      <c r="D229" t="s">
        <v>21</v>
      </c>
      <c r="E229" t="s">
        <v>514</v>
      </c>
      <c r="F229" t="s">
        <v>515</v>
      </c>
      <c r="G229" t="s">
        <v>2271</v>
      </c>
      <c r="H229" s="20">
        <v>46254</v>
      </c>
      <c r="I229">
        <v>1500</v>
      </c>
      <c r="J229">
        <v>66</v>
      </c>
      <c r="K229">
        <v>51</v>
      </c>
      <c r="L229">
        <v>45</v>
      </c>
      <c r="P229" t="s">
        <v>2272</v>
      </c>
      <c r="R229" t="s">
        <v>2273</v>
      </c>
      <c r="S229">
        <v>13</v>
      </c>
      <c r="T229" t="s">
        <v>2429</v>
      </c>
      <c r="U229" t="s">
        <v>2430</v>
      </c>
    </row>
    <row r="230" spans="1:21" x14ac:dyDescent="0.25">
      <c r="A230" t="s">
        <v>2542</v>
      </c>
      <c r="B230" t="s">
        <v>353</v>
      </c>
      <c r="C230" t="s">
        <v>132</v>
      </c>
      <c r="D230" t="s">
        <v>21</v>
      </c>
      <c r="E230" t="s">
        <v>516</v>
      </c>
      <c r="F230" t="s">
        <v>426</v>
      </c>
      <c r="G230" t="s">
        <v>2271</v>
      </c>
      <c r="H230" s="20">
        <v>46254</v>
      </c>
      <c r="I230">
        <v>1500</v>
      </c>
      <c r="J230">
        <v>66</v>
      </c>
      <c r="K230">
        <v>51</v>
      </c>
      <c r="L230">
        <v>45</v>
      </c>
      <c r="P230" t="s">
        <v>2272</v>
      </c>
      <c r="R230" t="s">
        <v>2273</v>
      </c>
      <c r="S230">
        <v>13</v>
      </c>
      <c r="T230" t="s">
        <v>2429</v>
      </c>
      <c r="U230" t="s">
        <v>2430</v>
      </c>
    </row>
    <row r="231" spans="1:21" x14ac:dyDescent="0.25">
      <c r="A231" t="s">
        <v>2543</v>
      </c>
      <c r="B231" t="s">
        <v>353</v>
      </c>
      <c r="C231" t="s">
        <v>140</v>
      </c>
      <c r="D231" t="s">
        <v>24</v>
      </c>
      <c r="E231" t="s">
        <v>520</v>
      </c>
      <c r="F231" t="s">
        <v>157</v>
      </c>
      <c r="G231" t="s">
        <v>2271</v>
      </c>
      <c r="H231" s="20">
        <v>46250</v>
      </c>
      <c r="I231">
        <v>1800</v>
      </c>
      <c r="J231">
        <v>71</v>
      </c>
      <c r="K231">
        <v>50</v>
      </c>
      <c r="L231">
        <v>42</v>
      </c>
      <c r="P231" t="s">
        <v>2272</v>
      </c>
      <c r="R231" t="s">
        <v>2273</v>
      </c>
      <c r="S231">
        <v>4</v>
      </c>
      <c r="T231" t="s">
        <v>2274</v>
      </c>
      <c r="U231" t="s">
        <v>2275</v>
      </c>
    </row>
    <row r="232" spans="1:21" x14ac:dyDescent="0.25">
      <c r="A232" t="s">
        <v>2544</v>
      </c>
      <c r="B232" t="s">
        <v>353</v>
      </c>
      <c r="C232" t="s">
        <v>140</v>
      </c>
      <c r="D232" t="s">
        <v>24</v>
      </c>
      <c r="E232" t="s">
        <v>521</v>
      </c>
      <c r="F232" t="s">
        <v>291</v>
      </c>
      <c r="G232" t="s">
        <v>2271</v>
      </c>
      <c r="H232" s="20">
        <v>46250</v>
      </c>
      <c r="I232">
        <v>1800</v>
      </c>
      <c r="J232">
        <v>71</v>
      </c>
      <c r="K232">
        <v>50</v>
      </c>
      <c r="L232">
        <v>42</v>
      </c>
      <c r="P232" t="s">
        <v>2272</v>
      </c>
      <c r="R232" t="s">
        <v>2273</v>
      </c>
      <c r="S232">
        <v>4</v>
      </c>
      <c r="T232" t="s">
        <v>2274</v>
      </c>
      <c r="U232" t="s">
        <v>2275</v>
      </c>
    </row>
    <row r="233" spans="1:21" x14ac:dyDescent="0.25">
      <c r="A233" t="s">
        <v>2545</v>
      </c>
      <c r="B233" t="s">
        <v>353</v>
      </c>
      <c r="C233" t="s">
        <v>140</v>
      </c>
      <c r="D233" t="s">
        <v>21</v>
      </c>
      <c r="E233" t="s">
        <v>522</v>
      </c>
      <c r="F233" t="s">
        <v>396</v>
      </c>
      <c r="G233" t="s">
        <v>2271</v>
      </c>
      <c r="H233" s="20">
        <v>46254</v>
      </c>
      <c r="I233">
        <v>1500</v>
      </c>
      <c r="J233">
        <v>74</v>
      </c>
      <c r="K233">
        <v>53</v>
      </c>
      <c r="L233">
        <v>45</v>
      </c>
      <c r="P233" t="s">
        <v>2272</v>
      </c>
      <c r="R233" t="s">
        <v>2273</v>
      </c>
      <c r="S233">
        <v>13</v>
      </c>
      <c r="T233" t="s">
        <v>2429</v>
      </c>
      <c r="U233" t="s">
        <v>2430</v>
      </c>
    </row>
    <row r="234" spans="1:21" x14ac:dyDescent="0.25">
      <c r="A234" t="s">
        <v>2546</v>
      </c>
      <c r="B234" t="s">
        <v>353</v>
      </c>
      <c r="C234" t="s">
        <v>140</v>
      </c>
      <c r="D234" t="s">
        <v>21</v>
      </c>
      <c r="E234" t="s">
        <v>523</v>
      </c>
      <c r="F234" t="s">
        <v>170</v>
      </c>
      <c r="G234" t="s">
        <v>2271</v>
      </c>
      <c r="H234" s="20">
        <v>46254</v>
      </c>
      <c r="I234">
        <v>1500</v>
      </c>
      <c r="J234">
        <v>74</v>
      </c>
      <c r="K234">
        <v>53</v>
      </c>
      <c r="L234">
        <v>45</v>
      </c>
      <c r="P234" t="s">
        <v>2272</v>
      </c>
      <c r="R234" t="s">
        <v>2273</v>
      </c>
      <c r="S234">
        <v>13</v>
      </c>
      <c r="T234" t="s">
        <v>2429</v>
      </c>
      <c r="U234" t="s">
        <v>2430</v>
      </c>
    </row>
    <row r="235" spans="1:21" x14ac:dyDescent="0.25">
      <c r="A235" t="s">
        <v>2547</v>
      </c>
      <c r="B235" t="s">
        <v>353</v>
      </c>
      <c r="C235" t="s">
        <v>144</v>
      </c>
      <c r="D235" t="s">
        <v>24</v>
      </c>
      <c r="E235" t="s">
        <v>525</v>
      </c>
      <c r="F235" t="s">
        <v>356</v>
      </c>
      <c r="G235" t="s">
        <v>2271</v>
      </c>
      <c r="H235" s="20">
        <v>46250</v>
      </c>
      <c r="I235">
        <v>1800</v>
      </c>
      <c r="J235">
        <v>35</v>
      </c>
      <c r="P235" t="s">
        <v>2272</v>
      </c>
      <c r="R235" t="s">
        <v>2273</v>
      </c>
      <c r="S235">
        <v>4</v>
      </c>
      <c r="T235" t="s">
        <v>2274</v>
      </c>
      <c r="U235" t="s">
        <v>2275</v>
      </c>
    </row>
    <row r="236" spans="1:21" x14ac:dyDescent="0.25">
      <c r="A236" t="s">
        <v>2548</v>
      </c>
      <c r="B236" t="s">
        <v>353</v>
      </c>
      <c r="C236" t="s">
        <v>144</v>
      </c>
      <c r="D236" t="s">
        <v>24</v>
      </c>
      <c r="E236" t="s">
        <v>526</v>
      </c>
      <c r="F236" t="s">
        <v>256</v>
      </c>
      <c r="G236" t="s">
        <v>2271</v>
      </c>
      <c r="H236" s="20">
        <v>46250</v>
      </c>
      <c r="I236">
        <v>1800</v>
      </c>
      <c r="J236">
        <v>35</v>
      </c>
      <c r="P236" t="s">
        <v>2272</v>
      </c>
      <c r="R236" t="s">
        <v>2273</v>
      </c>
      <c r="S236">
        <v>4</v>
      </c>
      <c r="T236" t="s">
        <v>2274</v>
      </c>
      <c r="U236" t="s">
        <v>2275</v>
      </c>
    </row>
    <row r="237" spans="1:21" x14ac:dyDescent="0.25">
      <c r="A237" t="s">
        <v>2549</v>
      </c>
      <c r="B237" t="s">
        <v>353</v>
      </c>
      <c r="C237" t="s">
        <v>144</v>
      </c>
      <c r="D237" t="s">
        <v>26</v>
      </c>
      <c r="E237" t="s">
        <v>527</v>
      </c>
      <c r="F237" t="s">
        <v>528</v>
      </c>
      <c r="H237" s="20"/>
      <c r="P237" t="s">
        <v>2291</v>
      </c>
      <c r="R237" t="s">
        <v>2292</v>
      </c>
    </row>
    <row r="238" spans="1:21" x14ac:dyDescent="0.25">
      <c r="A238" t="s">
        <v>2550</v>
      </c>
      <c r="B238" t="s">
        <v>353</v>
      </c>
      <c r="C238" t="s">
        <v>144</v>
      </c>
      <c r="D238" t="s">
        <v>26</v>
      </c>
      <c r="E238" t="s">
        <v>529</v>
      </c>
      <c r="F238" t="s">
        <v>530</v>
      </c>
      <c r="H238" s="20"/>
      <c r="P238" t="s">
        <v>2291</v>
      </c>
      <c r="R238" t="s">
        <v>2292</v>
      </c>
    </row>
    <row r="239" spans="1:21" x14ac:dyDescent="0.25">
      <c r="A239" t="s">
        <v>2551</v>
      </c>
      <c r="B239" t="s">
        <v>353</v>
      </c>
      <c r="C239" t="s">
        <v>144</v>
      </c>
      <c r="D239" t="s">
        <v>21</v>
      </c>
      <c r="E239" t="s">
        <v>531</v>
      </c>
      <c r="F239" t="s">
        <v>157</v>
      </c>
      <c r="G239" t="s">
        <v>2271</v>
      </c>
      <c r="H239" s="20">
        <v>46254</v>
      </c>
      <c r="I239">
        <v>1500</v>
      </c>
      <c r="J239">
        <v>36</v>
      </c>
      <c r="K239">
        <v>32</v>
      </c>
      <c r="L239">
        <v>22</v>
      </c>
      <c r="P239" t="s">
        <v>2272</v>
      </c>
      <c r="R239" t="s">
        <v>2273</v>
      </c>
      <c r="S239">
        <v>13</v>
      </c>
      <c r="T239" t="s">
        <v>2429</v>
      </c>
      <c r="U239" t="s">
        <v>2430</v>
      </c>
    </row>
    <row r="240" spans="1:21" x14ac:dyDescent="0.25">
      <c r="A240" t="s">
        <v>2552</v>
      </c>
      <c r="B240" t="s">
        <v>353</v>
      </c>
      <c r="C240" t="s">
        <v>144</v>
      </c>
      <c r="D240" t="s">
        <v>21</v>
      </c>
      <c r="E240" t="s">
        <v>532</v>
      </c>
      <c r="F240" t="s">
        <v>60</v>
      </c>
      <c r="G240" t="s">
        <v>2271</v>
      </c>
      <c r="H240" s="20">
        <v>46254</v>
      </c>
      <c r="I240">
        <v>1500</v>
      </c>
      <c r="J240">
        <v>36</v>
      </c>
      <c r="K240">
        <v>32</v>
      </c>
      <c r="L240">
        <v>22</v>
      </c>
      <c r="P240" t="s">
        <v>2272</v>
      </c>
      <c r="R240" t="s">
        <v>2273</v>
      </c>
      <c r="S240">
        <v>13</v>
      </c>
      <c r="T240" t="s">
        <v>2429</v>
      </c>
      <c r="U240" t="s">
        <v>2430</v>
      </c>
    </row>
    <row r="241" spans="1:21" x14ac:dyDescent="0.25">
      <c r="A241" t="s">
        <v>2553</v>
      </c>
      <c r="B241" t="s">
        <v>353</v>
      </c>
      <c r="C241" t="s">
        <v>148</v>
      </c>
      <c r="D241" t="s">
        <v>24</v>
      </c>
      <c r="E241" t="s">
        <v>437</v>
      </c>
      <c r="F241" t="s">
        <v>534</v>
      </c>
      <c r="G241" t="s">
        <v>2271</v>
      </c>
      <c r="H241" s="20">
        <v>46250</v>
      </c>
      <c r="I241">
        <v>1800</v>
      </c>
      <c r="J241">
        <v>95</v>
      </c>
      <c r="P241" t="s">
        <v>2272</v>
      </c>
      <c r="R241" t="s">
        <v>2273</v>
      </c>
      <c r="S241">
        <v>9</v>
      </c>
      <c r="T241" t="s">
        <v>2304</v>
      </c>
      <c r="U241" t="s">
        <v>2305</v>
      </c>
    </row>
    <row r="242" spans="1:21" x14ac:dyDescent="0.25">
      <c r="A242" t="s">
        <v>2554</v>
      </c>
      <c r="B242" t="s">
        <v>353</v>
      </c>
      <c r="C242" t="s">
        <v>150</v>
      </c>
      <c r="D242" t="s">
        <v>21</v>
      </c>
      <c r="E242" t="s">
        <v>536</v>
      </c>
      <c r="F242" t="s">
        <v>537</v>
      </c>
      <c r="G242" t="s">
        <v>2271</v>
      </c>
      <c r="H242" s="20">
        <v>46254</v>
      </c>
      <c r="I242">
        <v>1500</v>
      </c>
      <c r="J242">
        <v>71</v>
      </c>
      <c r="K242">
        <v>54</v>
      </c>
      <c r="L242">
        <v>45</v>
      </c>
      <c r="P242" t="s">
        <v>2272</v>
      </c>
      <c r="R242" t="s">
        <v>2273</v>
      </c>
      <c r="S242">
        <v>13</v>
      </c>
      <c r="T242" t="s">
        <v>2429</v>
      </c>
      <c r="U242" t="s">
        <v>2430</v>
      </c>
    </row>
    <row r="243" spans="1:21" x14ac:dyDescent="0.25">
      <c r="A243" t="s">
        <v>2555</v>
      </c>
      <c r="B243" t="s">
        <v>353</v>
      </c>
      <c r="C243" t="s">
        <v>150</v>
      </c>
      <c r="D243" t="s">
        <v>24</v>
      </c>
      <c r="E243" t="s">
        <v>538</v>
      </c>
      <c r="F243" t="s">
        <v>172</v>
      </c>
      <c r="G243" t="s">
        <v>2271</v>
      </c>
      <c r="H243" s="20">
        <v>46250</v>
      </c>
      <c r="I243">
        <v>1800</v>
      </c>
      <c r="J243">
        <v>63</v>
      </c>
      <c r="K243">
        <v>49</v>
      </c>
      <c r="L243">
        <v>46</v>
      </c>
      <c r="P243" t="s">
        <v>2272</v>
      </c>
      <c r="R243" t="s">
        <v>2273</v>
      </c>
      <c r="S243">
        <v>4</v>
      </c>
      <c r="T243" t="s">
        <v>2274</v>
      </c>
      <c r="U243" t="s">
        <v>2275</v>
      </c>
    </row>
    <row r="244" spans="1:21" x14ac:dyDescent="0.25">
      <c r="A244" t="s">
        <v>2556</v>
      </c>
      <c r="B244" t="s">
        <v>353</v>
      </c>
      <c r="C244" t="s">
        <v>152</v>
      </c>
      <c r="D244" t="s">
        <v>24</v>
      </c>
      <c r="E244" t="s">
        <v>540</v>
      </c>
      <c r="F244" t="s">
        <v>163</v>
      </c>
      <c r="G244" t="s">
        <v>2271</v>
      </c>
      <c r="H244" s="20">
        <v>46250</v>
      </c>
      <c r="I244">
        <v>1800</v>
      </c>
      <c r="J244">
        <v>35</v>
      </c>
      <c r="P244" t="s">
        <v>2272</v>
      </c>
      <c r="R244" t="s">
        <v>2273</v>
      </c>
      <c r="S244">
        <v>4</v>
      </c>
      <c r="T244" t="s">
        <v>2274</v>
      </c>
      <c r="U244" t="s">
        <v>2275</v>
      </c>
    </row>
    <row r="245" spans="1:21" x14ac:dyDescent="0.25">
      <c r="A245" t="s">
        <v>2557</v>
      </c>
      <c r="B245" t="s">
        <v>541</v>
      </c>
      <c r="C245" t="s">
        <v>46</v>
      </c>
      <c r="D245" t="s">
        <v>24</v>
      </c>
      <c r="E245" t="s">
        <v>543</v>
      </c>
      <c r="F245" t="s">
        <v>356</v>
      </c>
      <c r="G245" t="s">
        <v>2271</v>
      </c>
      <c r="H245" s="20">
        <v>46250</v>
      </c>
      <c r="I245">
        <v>1800</v>
      </c>
      <c r="J245">
        <v>48</v>
      </c>
      <c r="K245">
        <v>29</v>
      </c>
      <c r="L245">
        <v>23</v>
      </c>
      <c r="P245" t="s">
        <v>2272</v>
      </c>
      <c r="R245" t="s">
        <v>2273</v>
      </c>
      <c r="S245">
        <v>4</v>
      </c>
      <c r="T245" t="s">
        <v>2274</v>
      </c>
      <c r="U245" t="s">
        <v>2275</v>
      </c>
    </row>
    <row r="246" spans="1:21" x14ac:dyDescent="0.25">
      <c r="A246" t="s">
        <v>2558</v>
      </c>
      <c r="B246" t="s">
        <v>541</v>
      </c>
      <c r="C246" t="s">
        <v>46</v>
      </c>
      <c r="D246" t="s">
        <v>24</v>
      </c>
      <c r="E246" t="s">
        <v>544</v>
      </c>
      <c r="F246" t="s">
        <v>195</v>
      </c>
      <c r="G246" t="s">
        <v>2271</v>
      </c>
      <c r="H246" s="20">
        <v>46250</v>
      </c>
      <c r="I246">
        <v>1800</v>
      </c>
      <c r="J246">
        <v>48</v>
      </c>
      <c r="K246">
        <v>29</v>
      </c>
      <c r="L246">
        <v>23</v>
      </c>
      <c r="P246" t="s">
        <v>2272</v>
      </c>
      <c r="R246" t="s">
        <v>2273</v>
      </c>
      <c r="S246">
        <v>4</v>
      </c>
      <c r="T246" t="s">
        <v>2274</v>
      </c>
      <c r="U246" t="s">
        <v>2275</v>
      </c>
    </row>
    <row r="247" spans="1:21" x14ac:dyDescent="0.25">
      <c r="A247" t="s">
        <v>2559</v>
      </c>
      <c r="B247" t="s">
        <v>541</v>
      </c>
      <c r="C247" t="s">
        <v>46</v>
      </c>
      <c r="D247" t="s">
        <v>24</v>
      </c>
      <c r="E247" t="s">
        <v>545</v>
      </c>
      <c r="F247" t="s">
        <v>108</v>
      </c>
      <c r="G247" t="s">
        <v>2271</v>
      </c>
      <c r="H247" s="20">
        <v>46250</v>
      </c>
      <c r="I247">
        <v>1800</v>
      </c>
      <c r="J247">
        <v>48</v>
      </c>
      <c r="K247">
        <v>29</v>
      </c>
      <c r="L247">
        <v>23</v>
      </c>
      <c r="P247" t="s">
        <v>2272</v>
      </c>
      <c r="R247" t="s">
        <v>2273</v>
      </c>
      <c r="S247">
        <v>4</v>
      </c>
      <c r="T247" t="s">
        <v>2274</v>
      </c>
      <c r="U247" t="s">
        <v>2275</v>
      </c>
    </row>
    <row r="248" spans="1:21" x14ac:dyDescent="0.25">
      <c r="A248" t="s">
        <v>2560</v>
      </c>
      <c r="B248" t="s">
        <v>541</v>
      </c>
      <c r="C248" t="s">
        <v>46</v>
      </c>
      <c r="D248" t="s">
        <v>24</v>
      </c>
      <c r="E248" t="s">
        <v>546</v>
      </c>
      <c r="F248" t="s">
        <v>419</v>
      </c>
      <c r="G248" t="s">
        <v>2271</v>
      </c>
      <c r="H248" s="20">
        <v>46250</v>
      </c>
      <c r="I248">
        <v>1800</v>
      </c>
      <c r="J248">
        <v>48</v>
      </c>
      <c r="K248">
        <v>29</v>
      </c>
      <c r="L248">
        <v>23</v>
      </c>
      <c r="P248" t="s">
        <v>2272</v>
      </c>
      <c r="R248" t="s">
        <v>2273</v>
      </c>
      <c r="S248">
        <v>4</v>
      </c>
      <c r="T248" t="s">
        <v>2274</v>
      </c>
      <c r="U248" t="s">
        <v>2275</v>
      </c>
    </row>
    <row r="249" spans="1:21" x14ac:dyDescent="0.25">
      <c r="A249" t="s">
        <v>2561</v>
      </c>
      <c r="B249" t="s">
        <v>541</v>
      </c>
      <c r="C249" t="s">
        <v>57</v>
      </c>
      <c r="D249" t="s">
        <v>24</v>
      </c>
      <c r="E249" t="s">
        <v>550</v>
      </c>
      <c r="F249" t="s">
        <v>237</v>
      </c>
      <c r="G249" t="s">
        <v>2271</v>
      </c>
      <c r="H249" s="20">
        <v>46250</v>
      </c>
      <c r="I249">
        <v>1800</v>
      </c>
      <c r="J249">
        <v>66</v>
      </c>
      <c r="K249">
        <v>56</v>
      </c>
      <c r="L249">
        <v>49</v>
      </c>
      <c r="P249" t="s">
        <v>2272</v>
      </c>
      <c r="R249" t="s">
        <v>2273</v>
      </c>
      <c r="S249">
        <v>4</v>
      </c>
      <c r="T249" t="s">
        <v>2274</v>
      </c>
      <c r="U249" t="s">
        <v>2275</v>
      </c>
    </row>
    <row r="250" spans="1:21" x14ac:dyDescent="0.25">
      <c r="A250" t="s">
        <v>2562</v>
      </c>
      <c r="B250" t="s">
        <v>541</v>
      </c>
      <c r="C250" t="s">
        <v>63</v>
      </c>
      <c r="D250" t="s">
        <v>24</v>
      </c>
      <c r="E250" t="s">
        <v>552</v>
      </c>
      <c r="F250" t="s">
        <v>66</v>
      </c>
      <c r="G250" t="s">
        <v>2271</v>
      </c>
      <c r="H250" s="20">
        <v>46250</v>
      </c>
      <c r="I250">
        <v>1800</v>
      </c>
      <c r="J250">
        <v>97</v>
      </c>
      <c r="K250">
        <v>81</v>
      </c>
      <c r="L250">
        <v>54</v>
      </c>
      <c r="P250" t="s">
        <v>2272</v>
      </c>
      <c r="Q250" t="s">
        <v>2563</v>
      </c>
      <c r="R250" t="s">
        <v>2423</v>
      </c>
      <c r="S250">
        <v>4</v>
      </c>
      <c r="T250" t="s">
        <v>2274</v>
      </c>
      <c r="U250" t="s">
        <v>2275</v>
      </c>
    </row>
    <row r="251" spans="1:21" x14ac:dyDescent="0.25">
      <c r="A251" t="s">
        <v>2564</v>
      </c>
      <c r="B251" t="s">
        <v>541</v>
      </c>
      <c r="C251" t="s">
        <v>63</v>
      </c>
      <c r="D251" t="s">
        <v>24</v>
      </c>
      <c r="E251" t="s">
        <v>553</v>
      </c>
      <c r="F251" t="s">
        <v>488</v>
      </c>
      <c r="G251" t="s">
        <v>2271</v>
      </c>
      <c r="H251" s="20">
        <v>46250</v>
      </c>
      <c r="I251">
        <v>1800</v>
      </c>
      <c r="J251">
        <v>97</v>
      </c>
      <c r="K251">
        <v>81</v>
      </c>
      <c r="L251">
        <v>54</v>
      </c>
      <c r="P251" t="s">
        <v>2272</v>
      </c>
      <c r="Q251" t="s">
        <v>2563</v>
      </c>
      <c r="R251" t="s">
        <v>2423</v>
      </c>
      <c r="S251">
        <v>4</v>
      </c>
      <c r="T251" t="s">
        <v>2274</v>
      </c>
      <c r="U251" t="s">
        <v>2275</v>
      </c>
    </row>
    <row r="252" spans="1:21" x14ac:dyDescent="0.25">
      <c r="A252" t="s">
        <v>2565</v>
      </c>
      <c r="B252" t="s">
        <v>541</v>
      </c>
      <c r="C252" t="s">
        <v>63</v>
      </c>
      <c r="D252" t="s">
        <v>24</v>
      </c>
      <c r="E252" t="s">
        <v>554</v>
      </c>
      <c r="F252" t="s">
        <v>131</v>
      </c>
      <c r="G252" t="s">
        <v>2425</v>
      </c>
      <c r="H252" s="20">
        <v>46250</v>
      </c>
      <c r="I252">
        <v>1800</v>
      </c>
      <c r="J252">
        <v>97</v>
      </c>
      <c r="K252">
        <v>81</v>
      </c>
      <c r="L252">
        <v>54</v>
      </c>
      <c r="M252">
        <v>35</v>
      </c>
      <c r="N252">
        <v>30</v>
      </c>
      <c r="P252" t="s">
        <v>2272</v>
      </c>
      <c r="Q252" t="s">
        <v>2566</v>
      </c>
      <c r="R252" t="s">
        <v>2423</v>
      </c>
      <c r="S252">
        <v>4</v>
      </c>
      <c r="T252" t="s">
        <v>2274</v>
      </c>
      <c r="U252" t="s">
        <v>2275</v>
      </c>
    </row>
    <row r="253" spans="1:21" x14ac:dyDescent="0.25">
      <c r="A253" t="s">
        <v>2567</v>
      </c>
      <c r="B253" t="s">
        <v>541</v>
      </c>
      <c r="C253" t="s">
        <v>63</v>
      </c>
      <c r="D253" t="s">
        <v>24</v>
      </c>
      <c r="E253" t="s">
        <v>555</v>
      </c>
      <c r="F253" t="s">
        <v>76</v>
      </c>
      <c r="G253" t="s">
        <v>2425</v>
      </c>
      <c r="H253" s="20">
        <v>46250</v>
      </c>
      <c r="I253">
        <v>1800</v>
      </c>
      <c r="J253">
        <v>97</v>
      </c>
      <c r="K253">
        <v>81</v>
      </c>
      <c r="L253">
        <v>54</v>
      </c>
      <c r="M253">
        <v>35</v>
      </c>
      <c r="N253">
        <v>30</v>
      </c>
      <c r="P253" t="s">
        <v>2272</v>
      </c>
      <c r="Q253" t="s">
        <v>2566</v>
      </c>
      <c r="R253" t="s">
        <v>2423</v>
      </c>
      <c r="S253">
        <v>4</v>
      </c>
      <c r="T253" t="s">
        <v>2274</v>
      </c>
      <c r="U253" t="s">
        <v>2275</v>
      </c>
    </row>
    <row r="254" spans="1:21" x14ac:dyDescent="0.25">
      <c r="A254" t="s">
        <v>2568</v>
      </c>
      <c r="B254" t="s">
        <v>541</v>
      </c>
      <c r="C254" t="s">
        <v>63</v>
      </c>
      <c r="D254" t="s">
        <v>24</v>
      </c>
      <c r="E254" t="s">
        <v>556</v>
      </c>
      <c r="F254" t="s">
        <v>60</v>
      </c>
      <c r="G254" t="s">
        <v>2425</v>
      </c>
      <c r="H254" s="20">
        <v>46250</v>
      </c>
      <c r="I254">
        <v>1800</v>
      </c>
      <c r="J254">
        <v>97</v>
      </c>
      <c r="K254">
        <v>81</v>
      </c>
      <c r="L254">
        <v>54</v>
      </c>
      <c r="M254">
        <v>35</v>
      </c>
      <c r="N254">
        <v>30</v>
      </c>
      <c r="P254" t="s">
        <v>2272</v>
      </c>
      <c r="Q254" t="s">
        <v>2566</v>
      </c>
      <c r="R254" t="s">
        <v>2423</v>
      </c>
      <c r="S254">
        <v>4</v>
      </c>
      <c r="T254" t="s">
        <v>2274</v>
      </c>
      <c r="U254" t="s">
        <v>2275</v>
      </c>
    </row>
    <row r="255" spans="1:21" x14ac:dyDescent="0.25">
      <c r="A255" t="s">
        <v>2569</v>
      </c>
      <c r="B255" t="s">
        <v>541</v>
      </c>
      <c r="C255" t="s">
        <v>63</v>
      </c>
      <c r="D255" t="s">
        <v>24</v>
      </c>
      <c r="E255" t="s">
        <v>557</v>
      </c>
      <c r="F255" t="s">
        <v>349</v>
      </c>
      <c r="G255" t="s">
        <v>2425</v>
      </c>
      <c r="H255" s="20">
        <v>46250</v>
      </c>
      <c r="I255">
        <v>1800</v>
      </c>
      <c r="J255">
        <v>97</v>
      </c>
      <c r="K255">
        <v>81</v>
      </c>
      <c r="L255">
        <v>54</v>
      </c>
      <c r="M255">
        <v>35</v>
      </c>
      <c r="N255">
        <v>30</v>
      </c>
      <c r="P255" t="s">
        <v>2272</v>
      </c>
      <c r="Q255" t="s">
        <v>2566</v>
      </c>
      <c r="R255" t="s">
        <v>2423</v>
      </c>
      <c r="S255">
        <v>4</v>
      </c>
      <c r="T255" t="s">
        <v>2274</v>
      </c>
      <c r="U255" t="s">
        <v>2275</v>
      </c>
    </row>
    <row r="256" spans="1:21" x14ac:dyDescent="0.25">
      <c r="A256" t="s">
        <v>2570</v>
      </c>
      <c r="B256" t="s">
        <v>541</v>
      </c>
      <c r="C256" t="s">
        <v>63</v>
      </c>
      <c r="D256" t="s">
        <v>21</v>
      </c>
      <c r="E256" t="s">
        <v>558</v>
      </c>
      <c r="F256" t="s">
        <v>307</v>
      </c>
      <c r="G256" t="s">
        <v>2271</v>
      </c>
      <c r="H256" s="20">
        <v>46254</v>
      </c>
      <c r="I256">
        <v>1500</v>
      </c>
      <c r="J256">
        <v>99</v>
      </c>
      <c r="K256">
        <v>82</v>
      </c>
      <c r="L256">
        <v>55</v>
      </c>
      <c r="M256">
        <v>45</v>
      </c>
      <c r="N256">
        <v>40</v>
      </c>
      <c r="O256">
        <v>30</v>
      </c>
      <c r="P256" t="s">
        <v>2272</v>
      </c>
      <c r="R256" t="s">
        <v>2273</v>
      </c>
      <c r="S256">
        <v>5</v>
      </c>
      <c r="T256" t="s">
        <v>2319</v>
      </c>
      <c r="U256" t="s">
        <v>2320</v>
      </c>
    </row>
    <row r="257" spans="1:21" x14ac:dyDescent="0.25">
      <c r="A257" t="s">
        <v>2571</v>
      </c>
      <c r="B257" t="s">
        <v>541</v>
      </c>
      <c r="C257" t="s">
        <v>63</v>
      </c>
      <c r="D257" t="s">
        <v>21</v>
      </c>
      <c r="E257" t="s">
        <v>559</v>
      </c>
      <c r="F257" t="s">
        <v>237</v>
      </c>
      <c r="G257" t="s">
        <v>2271</v>
      </c>
      <c r="H257" s="20">
        <v>46254</v>
      </c>
      <c r="I257">
        <v>1500</v>
      </c>
      <c r="J257">
        <v>99</v>
      </c>
      <c r="K257">
        <v>82</v>
      </c>
      <c r="L257">
        <v>55</v>
      </c>
      <c r="M257">
        <v>35</v>
      </c>
      <c r="N257">
        <v>30</v>
      </c>
      <c r="O257">
        <v>25</v>
      </c>
      <c r="P257" t="s">
        <v>2272</v>
      </c>
      <c r="Q257" t="s">
        <v>2572</v>
      </c>
      <c r="R257" t="s">
        <v>2446</v>
      </c>
      <c r="S257">
        <v>5</v>
      </c>
      <c r="T257" t="s">
        <v>2319</v>
      </c>
      <c r="U257" t="s">
        <v>2320</v>
      </c>
    </row>
    <row r="258" spans="1:21" x14ac:dyDescent="0.25">
      <c r="A258" t="s">
        <v>2573</v>
      </c>
      <c r="B258" t="s">
        <v>541</v>
      </c>
      <c r="C258" t="s">
        <v>67</v>
      </c>
      <c r="D258" t="s">
        <v>24</v>
      </c>
      <c r="E258" t="s">
        <v>561</v>
      </c>
      <c r="F258" t="s">
        <v>102</v>
      </c>
      <c r="G258" t="s">
        <v>2271</v>
      </c>
      <c r="H258" s="20">
        <v>46250</v>
      </c>
      <c r="I258">
        <v>1800</v>
      </c>
      <c r="J258">
        <v>66</v>
      </c>
      <c r="K258">
        <v>56</v>
      </c>
      <c r="L258">
        <v>52</v>
      </c>
      <c r="P258" t="s">
        <v>2272</v>
      </c>
      <c r="R258" t="s">
        <v>2273</v>
      </c>
      <c r="S258">
        <v>4</v>
      </c>
      <c r="T258" t="s">
        <v>2274</v>
      </c>
      <c r="U258" t="s">
        <v>2275</v>
      </c>
    </row>
    <row r="259" spans="1:21" x14ac:dyDescent="0.25">
      <c r="A259" t="s">
        <v>2574</v>
      </c>
      <c r="B259" t="s">
        <v>541</v>
      </c>
      <c r="C259" t="s">
        <v>73</v>
      </c>
      <c r="D259" t="s">
        <v>24</v>
      </c>
      <c r="E259" t="s">
        <v>563</v>
      </c>
      <c r="F259" t="s">
        <v>127</v>
      </c>
      <c r="G259" t="s">
        <v>2271</v>
      </c>
      <c r="H259" s="20">
        <v>46250</v>
      </c>
      <c r="I259">
        <v>1800</v>
      </c>
      <c r="J259">
        <v>40</v>
      </c>
      <c r="K259">
        <v>23</v>
      </c>
      <c r="L259">
        <v>14</v>
      </c>
      <c r="P259" t="s">
        <v>2272</v>
      </c>
      <c r="R259" t="s">
        <v>2273</v>
      </c>
      <c r="S259">
        <v>4</v>
      </c>
      <c r="T259" t="s">
        <v>2274</v>
      </c>
      <c r="U259" t="s">
        <v>2275</v>
      </c>
    </row>
    <row r="260" spans="1:21" x14ac:dyDescent="0.25">
      <c r="A260" t="s">
        <v>2575</v>
      </c>
      <c r="B260" t="s">
        <v>541</v>
      </c>
      <c r="C260" t="s">
        <v>73</v>
      </c>
      <c r="D260" t="s">
        <v>24</v>
      </c>
      <c r="E260" t="s">
        <v>564</v>
      </c>
      <c r="F260" t="s">
        <v>315</v>
      </c>
      <c r="G260" t="s">
        <v>2271</v>
      </c>
      <c r="H260" s="20">
        <v>46250</v>
      </c>
      <c r="I260">
        <v>1800</v>
      </c>
      <c r="J260">
        <v>40</v>
      </c>
      <c r="K260">
        <v>23</v>
      </c>
      <c r="L260">
        <v>14</v>
      </c>
      <c r="P260" t="s">
        <v>2272</v>
      </c>
      <c r="R260" t="s">
        <v>2273</v>
      </c>
      <c r="S260">
        <v>4</v>
      </c>
      <c r="T260" t="s">
        <v>2274</v>
      </c>
      <c r="U260" t="s">
        <v>2275</v>
      </c>
    </row>
    <row r="261" spans="1:21" x14ac:dyDescent="0.25">
      <c r="A261" t="s">
        <v>2576</v>
      </c>
      <c r="B261" t="s">
        <v>541</v>
      </c>
      <c r="C261" t="s">
        <v>73</v>
      </c>
      <c r="D261" t="s">
        <v>24</v>
      </c>
      <c r="E261" t="s">
        <v>565</v>
      </c>
      <c r="F261" t="s">
        <v>413</v>
      </c>
      <c r="G261" t="s">
        <v>2271</v>
      </c>
      <c r="H261" s="20">
        <v>46250</v>
      </c>
      <c r="I261">
        <v>1800</v>
      </c>
      <c r="J261">
        <v>40</v>
      </c>
      <c r="K261">
        <v>23</v>
      </c>
      <c r="L261">
        <v>14</v>
      </c>
      <c r="P261" t="s">
        <v>2272</v>
      </c>
      <c r="R261" t="s">
        <v>2273</v>
      </c>
      <c r="S261">
        <v>4</v>
      </c>
      <c r="T261" t="s">
        <v>2274</v>
      </c>
      <c r="U261" t="s">
        <v>2275</v>
      </c>
    </row>
    <row r="262" spans="1:21" x14ac:dyDescent="0.25">
      <c r="A262" t="s">
        <v>2577</v>
      </c>
      <c r="B262" t="s">
        <v>541</v>
      </c>
      <c r="C262" t="s">
        <v>73</v>
      </c>
      <c r="D262" t="s">
        <v>21</v>
      </c>
      <c r="E262" t="s">
        <v>566</v>
      </c>
      <c r="F262" t="s">
        <v>567</v>
      </c>
      <c r="G262" t="s">
        <v>2271</v>
      </c>
      <c r="H262" s="20">
        <v>46254</v>
      </c>
      <c r="I262">
        <v>1500</v>
      </c>
      <c r="J262">
        <v>46</v>
      </c>
      <c r="K262">
        <v>25</v>
      </c>
      <c r="L262">
        <v>14</v>
      </c>
      <c r="P262" t="s">
        <v>2272</v>
      </c>
      <c r="R262" t="s">
        <v>2273</v>
      </c>
      <c r="S262">
        <v>5</v>
      </c>
      <c r="T262" t="s">
        <v>2319</v>
      </c>
      <c r="U262" t="s">
        <v>2320</v>
      </c>
    </row>
    <row r="263" spans="1:21" x14ac:dyDescent="0.25">
      <c r="A263" t="s">
        <v>2578</v>
      </c>
      <c r="B263" t="s">
        <v>541</v>
      </c>
      <c r="C263" t="s">
        <v>73</v>
      </c>
      <c r="D263" t="s">
        <v>21</v>
      </c>
      <c r="E263" t="s">
        <v>568</v>
      </c>
      <c r="F263" t="s">
        <v>368</v>
      </c>
      <c r="G263" t="s">
        <v>2271</v>
      </c>
      <c r="H263" s="20">
        <v>46254</v>
      </c>
      <c r="I263">
        <v>1500</v>
      </c>
      <c r="J263">
        <v>46</v>
      </c>
      <c r="K263">
        <v>25</v>
      </c>
      <c r="L263">
        <v>14</v>
      </c>
      <c r="P263" t="s">
        <v>2272</v>
      </c>
      <c r="R263" t="s">
        <v>2273</v>
      </c>
      <c r="S263">
        <v>5</v>
      </c>
      <c r="T263" t="s">
        <v>2319</v>
      </c>
      <c r="U263" t="s">
        <v>2320</v>
      </c>
    </row>
    <row r="264" spans="1:21" x14ac:dyDescent="0.25">
      <c r="A264" t="s">
        <v>2579</v>
      </c>
      <c r="B264" t="s">
        <v>541</v>
      </c>
      <c r="C264" t="s">
        <v>73</v>
      </c>
      <c r="D264" t="s">
        <v>21</v>
      </c>
      <c r="E264" t="s">
        <v>569</v>
      </c>
      <c r="F264" t="s">
        <v>221</v>
      </c>
      <c r="G264" t="s">
        <v>2271</v>
      </c>
      <c r="H264" s="20">
        <v>46254</v>
      </c>
      <c r="I264">
        <v>1500</v>
      </c>
      <c r="J264">
        <v>46</v>
      </c>
      <c r="K264">
        <v>25</v>
      </c>
      <c r="L264">
        <v>14</v>
      </c>
      <c r="P264" t="s">
        <v>2272</v>
      </c>
      <c r="R264" t="s">
        <v>2273</v>
      </c>
      <c r="S264">
        <v>5</v>
      </c>
      <c r="T264" t="s">
        <v>2319</v>
      </c>
      <c r="U264" t="s">
        <v>2320</v>
      </c>
    </row>
    <row r="265" spans="1:21" x14ac:dyDescent="0.25">
      <c r="A265" t="s">
        <v>2580</v>
      </c>
      <c r="B265" t="s">
        <v>541</v>
      </c>
      <c r="C265" t="s">
        <v>81</v>
      </c>
      <c r="D265" t="s">
        <v>24</v>
      </c>
      <c r="E265" t="s">
        <v>572</v>
      </c>
      <c r="F265" t="s">
        <v>573</v>
      </c>
      <c r="G265" t="s">
        <v>2271</v>
      </c>
      <c r="H265" s="20">
        <v>46250</v>
      </c>
      <c r="I265">
        <v>1800</v>
      </c>
      <c r="J265">
        <v>80</v>
      </c>
      <c r="K265">
        <v>70</v>
      </c>
      <c r="L265">
        <v>60</v>
      </c>
      <c r="P265" t="s">
        <v>2272</v>
      </c>
      <c r="R265" t="s">
        <v>2273</v>
      </c>
      <c r="S265">
        <v>4</v>
      </c>
      <c r="T265" t="s">
        <v>2274</v>
      </c>
      <c r="U265" t="s">
        <v>2275</v>
      </c>
    </row>
    <row r="266" spans="1:21" x14ac:dyDescent="0.25">
      <c r="A266" t="s">
        <v>2581</v>
      </c>
      <c r="B266" t="s">
        <v>541</v>
      </c>
      <c r="C266" t="s">
        <v>81</v>
      </c>
      <c r="D266" t="s">
        <v>21</v>
      </c>
      <c r="E266" t="s">
        <v>574</v>
      </c>
      <c r="F266" t="s">
        <v>326</v>
      </c>
      <c r="G266" t="s">
        <v>2271</v>
      </c>
      <c r="H266" s="20">
        <v>46254</v>
      </c>
      <c r="I266">
        <v>1500</v>
      </c>
      <c r="J266">
        <v>96</v>
      </c>
      <c r="K266">
        <v>78</v>
      </c>
      <c r="L266">
        <v>50</v>
      </c>
      <c r="M266">
        <v>45</v>
      </c>
      <c r="P266" t="s">
        <v>2272</v>
      </c>
      <c r="R266" t="s">
        <v>2273</v>
      </c>
      <c r="S266">
        <v>5</v>
      </c>
      <c r="T266" t="s">
        <v>2319</v>
      </c>
      <c r="U266" t="s">
        <v>2320</v>
      </c>
    </row>
    <row r="267" spans="1:21" x14ac:dyDescent="0.25">
      <c r="A267" t="s">
        <v>2582</v>
      </c>
      <c r="B267" t="s">
        <v>541</v>
      </c>
      <c r="C267" t="s">
        <v>81</v>
      </c>
      <c r="D267" t="s">
        <v>26</v>
      </c>
      <c r="E267" t="s">
        <v>575</v>
      </c>
      <c r="F267" t="s">
        <v>106</v>
      </c>
      <c r="H267" s="20"/>
      <c r="P267" t="s">
        <v>2291</v>
      </c>
      <c r="R267" t="s">
        <v>2292</v>
      </c>
    </row>
    <row r="268" spans="1:21" x14ac:dyDescent="0.25">
      <c r="A268" t="s">
        <v>2583</v>
      </c>
      <c r="B268" t="s">
        <v>541</v>
      </c>
      <c r="C268" t="s">
        <v>83</v>
      </c>
      <c r="D268" t="s">
        <v>24</v>
      </c>
      <c r="E268" t="s">
        <v>577</v>
      </c>
      <c r="F268" t="s">
        <v>168</v>
      </c>
      <c r="G268" t="s">
        <v>2271</v>
      </c>
      <c r="H268" s="20">
        <v>46250</v>
      </c>
      <c r="I268">
        <v>1800</v>
      </c>
      <c r="J268">
        <v>72</v>
      </c>
      <c r="K268">
        <v>46</v>
      </c>
      <c r="L268">
        <v>28</v>
      </c>
      <c r="P268" t="s">
        <v>2272</v>
      </c>
      <c r="R268" t="s">
        <v>2273</v>
      </c>
      <c r="S268">
        <v>4</v>
      </c>
      <c r="T268" t="s">
        <v>2274</v>
      </c>
      <c r="U268" t="s">
        <v>2275</v>
      </c>
    </row>
    <row r="269" spans="1:21" x14ac:dyDescent="0.25">
      <c r="A269" t="s">
        <v>2584</v>
      </c>
      <c r="B269" t="s">
        <v>541</v>
      </c>
      <c r="C269" t="s">
        <v>83</v>
      </c>
      <c r="D269" t="s">
        <v>24</v>
      </c>
      <c r="E269" t="s">
        <v>578</v>
      </c>
      <c r="F269" t="s">
        <v>78</v>
      </c>
      <c r="G269" t="s">
        <v>2271</v>
      </c>
      <c r="H269" s="20">
        <v>46250</v>
      </c>
      <c r="I269">
        <v>1800</v>
      </c>
      <c r="J269">
        <v>72</v>
      </c>
      <c r="K269">
        <v>46</v>
      </c>
      <c r="L269">
        <v>28</v>
      </c>
      <c r="P269" t="s">
        <v>2272</v>
      </c>
      <c r="R269" t="s">
        <v>2273</v>
      </c>
      <c r="S269">
        <v>4</v>
      </c>
      <c r="T269" t="s">
        <v>2274</v>
      </c>
      <c r="U269" t="s">
        <v>2275</v>
      </c>
    </row>
    <row r="270" spans="1:21" x14ac:dyDescent="0.25">
      <c r="A270" t="s">
        <v>2585</v>
      </c>
      <c r="B270" t="s">
        <v>541</v>
      </c>
      <c r="C270" t="s">
        <v>83</v>
      </c>
      <c r="D270" t="s">
        <v>24</v>
      </c>
      <c r="E270" t="s">
        <v>579</v>
      </c>
      <c r="F270" t="s">
        <v>580</v>
      </c>
      <c r="G270" t="s">
        <v>2271</v>
      </c>
      <c r="H270" s="20">
        <v>46250</v>
      </c>
      <c r="I270">
        <v>1800</v>
      </c>
      <c r="J270">
        <v>72</v>
      </c>
      <c r="K270">
        <v>46</v>
      </c>
      <c r="L270">
        <v>28</v>
      </c>
      <c r="P270" t="s">
        <v>2272</v>
      </c>
      <c r="R270" t="s">
        <v>2273</v>
      </c>
      <c r="S270">
        <v>4</v>
      </c>
      <c r="T270" t="s">
        <v>2274</v>
      </c>
      <c r="U270" t="s">
        <v>2275</v>
      </c>
    </row>
    <row r="271" spans="1:21" x14ac:dyDescent="0.25">
      <c r="A271" t="s">
        <v>2586</v>
      </c>
      <c r="B271" t="s">
        <v>541</v>
      </c>
      <c r="C271" t="s">
        <v>91</v>
      </c>
      <c r="D271" t="s">
        <v>24</v>
      </c>
      <c r="E271" t="s">
        <v>582</v>
      </c>
      <c r="F271" t="s">
        <v>215</v>
      </c>
      <c r="G271" t="s">
        <v>2271</v>
      </c>
      <c r="H271" s="20">
        <v>46250</v>
      </c>
      <c r="I271">
        <v>1800</v>
      </c>
      <c r="J271">
        <v>52</v>
      </c>
      <c r="K271">
        <v>42</v>
      </c>
      <c r="L271">
        <v>39</v>
      </c>
      <c r="P271" t="s">
        <v>2272</v>
      </c>
      <c r="R271" t="s">
        <v>2273</v>
      </c>
      <c r="S271">
        <v>4</v>
      </c>
      <c r="T271" t="s">
        <v>2274</v>
      </c>
      <c r="U271" t="s">
        <v>2275</v>
      </c>
    </row>
    <row r="272" spans="1:21" x14ac:dyDescent="0.25">
      <c r="A272" t="s">
        <v>2587</v>
      </c>
      <c r="B272" t="s">
        <v>541</v>
      </c>
      <c r="C272" t="s">
        <v>91</v>
      </c>
      <c r="D272" t="s">
        <v>24</v>
      </c>
      <c r="E272" t="s">
        <v>583</v>
      </c>
      <c r="F272" t="s">
        <v>293</v>
      </c>
      <c r="G272" t="s">
        <v>2271</v>
      </c>
      <c r="H272" s="20">
        <v>46250</v>
      </c>
      <c r="I272">
        <v>1800</v>
      </c>
      <c r="J272">
        <v>52</v>
      </c>
      <c r="K272">
        <v>42</v>
      </c>
      <c r="L272">
        <v>39</v>
      </c>
      <c r="P272" t="s">
        <v>2272</v>
      </c>
      <c r="R272" t="s">
        <v>2273</v>
      </c>
      <c r="S272">
        <v>4</v>
      </c>
      <c r="T272" t="s">
        <v>2274</v>
      </c>
      <c r="U272" t="s">
        <v>2275</v>
      </c>
    </row>
    <row r="273" spans="1:21" x14ac:dyDescent="0.25">
      <c r="A273" t="s">
        <v>2588</v>
      </c>
      <c r="B273" t="s">
        <v>541</v>
      </c>
      <c r="C273" t="s">
        <v>97</v>
      </c>
      <c r="D273" t="s">
        <v>24</v>
      </c>
      <c r="E273" t="s">
        <v>585</v>
      </c>
      <c r="F273" t="s">
        <v>359</v>
      </c>
      <c r="G273" t="s">
        <v>2271</v>
      </c>
      <c r="H273" s="20">
        <v>46250</v>
      </c>
      <c r="I273">
        <v>1800</v>
      </c>
      <c r="J273">
        <v>66</v>
      </c>
      <c r="K273">
        <v>56</v>
      </c>
      <c r="L273">
        <v>49</v>
      </c>
      <c r="P273" t="s">
        <v>2272</v>
      </c>
      <c r="R273" t="s">
        <v>2273</v>
      </c>
      <c r="S273">
        <v>4</v>
      </c>
      <c r="T273" t="s">
        <v>2274</v>
      </c>
      <c r="U273" t="s">
        <v>2275</v>
      </c>
    </row>
    <row r="274" spans="1:21" x14ac:dyDescent="0.25">
      <c r="A274" t="s">
        <v>2589</v>
      </c>
      <c r="B274" t="s">
        <v>541</v>
      </c>
      <c r="C274" t="s">
        <v>103</v>
      </c>
      <c r="D274" t="s">
        <v>24</v>
      </c>
      <c r="E274" t="s">
        <v>587</v>
      </c>
      <c r="F274" t="s">
        <v>484</v>
      </c>
      <c r="G274" t="s">
        <v>2271</v>
      </c>
      <c r="H274" s="20">
        <v>46250</v>
      </c>
      <c r="I274">
        <v>1800</v>
      </c>
      <c r="J274">
        <v>49</v>
      </c>
      <c r="K274">
        <v>40</v>
      </c>
      <c r="L274">
        <v>34</v>
      </c>
      <c r="P274" t="s">
        <v>2272</v>
      </c>
      <c r="R274" t="s">
        <v>2273</v>
      </c>
      <c r="S274">
        <v>4</v>
      </c>
      <c r="T274" t="s">
        <v>2274</v>
      </c>
      <c r="U274" t="s">
        <v>2275</v>
      </c>
    </row>
    <row r="275" spans="1:21" x14ac:dyDescent="0.25">
      <c r="A275" t="s">
        <v>2590</v>
      </c>
      <c r="B275" t="s">
        <v>541</v>
      </c>
      <c r="C275" t="s">
        <v>103</v>
      </c>
      <c r="D275" t="s">
        <v>24</v>
      </c>
      <c r="E275" t="s">
        <v>588</v>
      </c>
      <c r="F275" t="s">
        <v>589</v>
      </c>
      <c r="G275" t="s">
        <v>2271</v>
      </c>
      <c r="H275" s="20">
        <v>46250</v>
      </c>
      <c r="I275">
        <v>1800</v>
      </c>
      <c r="J275">
        <v>49</v>
      </c>
      <c r="K275">
        <v>40</v>
      </c>
      <c r="L275">
        <v>34</v>
      </c>
      <c r="P275" t="s">
        <v>2272</v>
      </c>
      <c r="R275" t="s">
        <v>2273</v>
      </c>
      <c r="S275">
        <v>4</v>
      </c>
      <c r="T275" t="s">
        <v>2274</v>
      </c>
      <c r="U275" t="s">
        <v>2275</v>
      </c>
    </row>
    <row r="276" spans="1:21" x14ac:dyDescent="0.25">
      <c r="A276" t="s">
        <v>2591</v>
      </c>
      <c r="B276" t="s">
        <v>541</v>
      </c>
      <c r="C276" t="s">
        <v>109</v>
      </c>
      <c r="D276" t="s">
        <v>24</v>
      </c>
      <c r="E276" t="s">
        <v>591</v>
      </c>
      <c r="F276" t="s">
        <v>339</v>
      </c>
      <c r="G276" t="s">
        <v>2271</v>
      </c>
      <c r="H276" s="20">
        <v>46250</v>
      </c>
      <c r="I276">
        <v>1800</v>
      </c>
      <c r="J276">
        <v>49</v>
      </c>
      <c r="K276">
        <v>40</v>
      </c>
      <c r="L276">
        <v>34</v>
      </c>
      <c r="P276" t="s">
        <v>2272</v>
      </c>
      <c r="R276" t="s">
        <v>2273</v>
      </c>
      <c r="S276">
        <v>4</v>
      </c>
      <c r="T276" t="s">
        <v>2274</v>
      </c>
      <c r="U276" t="s">
        <v>2275</v>
      </c>
    </row>
    <row r="277" spans="1:21" x14ac:dyDescent="0.25">
      <c r="A277" t="s">
        <v>2592</v>
      </c>
      <c r="B277" t="s">
        <v>541</v>
      </c>
      <c r="C277" t="s">
        <v>109</v>
      </c>
      <c r="D277" t="s">
        <v>24</v>
      </c>
      <c r="E277" t="s">
        <v>592</v>
      </c>
      <c r="F277" t="s">
        <v>593</v>
      </c>
      <c r="G277" t="s">
        <v>2271</v>
      </c>
      <c r="H277" s="20">
        <v>46250</v>
      </c>
      <c r="I277">
        <v>1800</v>
      </c>
      <c r="J277">
        <v>49</v>
      </c>
      <c r="K277">
        <v>40</v>
      </c>
      <c r="L277">
        <v>34</v>
      </c>
      <c r="P277" t="s">
        <v>2272</v>
      </c>
      <c r="R277" t="s">
        <v>2273</v>
      </c>
      <c r="S277">
        <v>4</v>
      </c>
      <c r="T277" t="s">
        <v>2274</v>
      </c>
      <c r="U277" t="s">
        <v>2275</v>
      </c>
    </row>
    <row r="278" spans="1:21" x14ac:dyDescent="0.25">
      <c r="A278" t="s">
        <v>2593</v>
      </c>
      <c r="B278" t="s">
        <v>541</v>
      </c>
      <c r="C278" t="s">
        <v>109</v>
      </c>
      <c r="D278" t="s">
        <v>24</v>
      </c>
      <c r="E278" t="s">
        <v>594</v>
      </c>
      <c r="F278" t="s">
        <v>230</v>
      </c>
      <c r="G278" t="s">
        <v>2271</v>
      </c>
      <c r="H278" s="20">
        <v>46250</v>
      </c>
      <c r="I278">
        <v>1800</v>
      </c>
      <c r="J278">
        <v>49</v>
      </c>
      <c r="K278">
        <v>40</v>
      </c>
      <c r="L278">
        <v>34</v>
      </c>
      <c r="P278" t="s">
        <v>2272</v>
      </c>
      <c r="R278" t="s">
        <v>2273</v>
      </c>
      <c r="S278">
        <v>4</v>
      </c>
      <c r="T278" t="s">
        <v>2274</v>
      </c>
      <c r="U278" t="s">
        <v>2275</v>
      </c>
    </row>
    <row r="279" spans="1:21" x14ac:dyDescent="0.25">
      <c r="A279" t="s">
        <v>2594</v>
      </c>
      <c r="B279" t="s">
        <v>541</v>
      </c>
      <c r="C279" t="s">
        <v>109</v>
      </c>
      <c r="D279" t="s">
        <v>24</v>
      </c>
      <c r="E279" t="s">
        <v>595</v>
      </c>
      <c r="F279" t="s">
        <v>596</v>
      </c>
      <c r="G279" t="s">
        <v>2271</v>
      </c>
      <c r="H279" s="20">
        <v>46250</v>
      </c>
      <c r="I279">
        <v>1800</v>
      </c>
      <c r="J279">
        <v>49</v>
      </c>
      <c r="K279">
        <v>40</v>
      </c>
      <c r="L279">
        <v>34</v>
      </c>
      <c r="P279" t="s">
        <v>2272</v>
      </c>
      <c r="R279" t="s">
        <v>2273</v>
      </c>
      <c r="S279">
        <v>4</v>
      </c>
      <c r="T279" t="s">
        <v>2274</v>
      </c>
      <c r="U279" t="s">
        <v>2275</v>
      </c>
    </row>
    <row r="280" spans="1:21" x14ac:dyDescent="0.25">
      <c r="A280" t="s">
        <v>2595</v>
      </c>
      <c r="B280" t="s">
        <v>541</v>
      </c>
      <c r="C280" t="s">
        <v>113</v>
      </c>
      <c r="D280" t="s">
        <v>24</v>
      </c>
      <c r="E280" t="s">
        <v>598</v>
      </c>
      <c r="F280" t="s">
        <v>599</v>
      </c>
      <c r="G280" t="s">
        <v>2271</v>
      </c>
      <c r="H280" s="20">
        <v>46250</v>
      </c>
      <c r="I280">
        <v>1800</v>
      </c>
      <c r="J280">
        <v>66</v>
      </c>
      <c r="K280">
        <v>56</v>
      </c>
      <c r="L280">
        <v>52</v>
      </c>
      <c r="P280" t="s">
        <v>2272</v>
      </c>
      <c r="R280" t="s">
        <v>2273</v>
      </c>
      <c r="S280">
        <v>4</v>
      </c>
      <c r="T280" t="s">
        <v>2274</v>
      </c>
      <c r="U280" t="s">
        <v>2275</v>
      </c>
    </row>
    <row r="281" spans="1:21" x14ac:dyDescent="0.25">
      <c r="A281" t="s">
        <v>2596</v>
      </c>
      <c r="B281" t="s">
        <v>541</v>
      </c>
      <c r="C281" t="s">
        <v>113</v>
      </c>
      <c r="D281" t="s">
        <v>24</v>
      </c>
      <c r="E281" t="s">
        <v>600</v>
      </c>
      <c r="F281" t="s">
        <v>466</v>
      </c>
      <c r="G281" t="s">
        <v>2271</v>
      </c>
      <c r="H281" s="20">
        <v>46250</v>
      </c>
      <c r="I281">
        <v>1800</v>
      </c>
      <c r="J281">
        <v>66</v>
      </c>
      <c r="K281">
        <v>56</v>
      </c>
      <c r="L281">
        <v>52</v>
      </c>
      <c r="P281" t="s">
        <v>2272</v>
      </c>
      <c r="R281" t="s">
        <v>2273</v>
      </c>
      <c r="S281">
        <v>4</v>
      </c>
      <c r="T281" t="s">
        <v>2274</v>
      </c>
      <c r="U281" t="s">
        <v>2275</v>
      </c>
    </row>
    <row r="282" spans="1:21" x14ac:dyDescent="0.25">
      <c r="A282" t="s">
        <v>2597</v>
      </c>
      <c r="B282" t="s">
        <v>541</v>
      </c>
      <c r="C282" t="s">
        <v>113</v>
      </c>
      <c r="D282" t="s">
        <v>24</v>
      </c>
      <c r="E282" t="s">
        <v>601</v>
      </c>
      <c r="F282" t="s">
        <v>293</v>
      </c>
      <c r="G282" t="s">
        <v>2271</v>
      </c>
      <c r="H282" s="20">
        <v>46250</v>
      </c>
      <c r="I282">
        <v>1800</v>
      </c>
      <c r="J282">
        <v>66</v>
      </c>
      <c r="K282">
        <v>56</v>
      </c>
      <c r="L282">
        <v>52</v>
      </c>
      <c r="P282" t="s">
        <v>2272</v>
      </c>
      <c r="R282" t="s">
        <v>2273</v>
      </c>
      <c r="S282">
        <v>4</v>
      </c>
      <c r="T282" t="s">
        <v>2274</v>
      </c>
      <c r="U282" t="s">
        <v>2275</v>
      </c>
    </row>
    <row r="283" spans="1:21" x14ac:dyDescent="0.25">
      <c r="A283" t="s">
        <v>2598</v>
      </c>
      <c r="B283" t="s">
        <v>541</v>
      </c>
      <c r="C283" t="s">
        <v>116</v>
      </c>
      <c r="D283" t="s">
        <v>24</v>
      </c>
      <c r="E283" t="s">
        <v>603</v>
      </c>
      <c r="F283" t="s">
        <v>159</v>
      </c>
      <c r="G283" t="s">
        <v>2271</v>
      </c>
      <c r="H283" s="20">
        <v>46250</v>
      </c>
      <c r="I283">
        <v>1800</v>
      </c>
      <c r="J283">
        <v>58</v>
      </c>
      <c r="K283">
        <v>50</v>
      </c>
      <c r="L283">
        <v>45</v>
      </c>
      <c r="P283" t="s">
        <v>2272</v>
      </c>
      <c r="R283" t="s">
        <v>2273</v>
      </c>
      <c r="S283">
        <v>4</v>
      </c>
      <c r="T283" t="s">
        <v>2274</v>
      </c>
      <c r="U283" t="s">
        <v>2275</v>
      </c>
    </row>
    <row r="284" spans="1:21" x14ac:dyDescent="0.25">
      <c r="A284" t="s">
        <v>2599</v>
      </c>
      <c r="B284" t="s">
        <v>541</v>
      </c>
      <c r="C284" t="s">
        <v>134</v>
      </c>
      <c r="D284" t="s">
        <v>24</v>
      </c>
      <c r="E284" t="s">
        <v>609</v>
      </c>
      <c r="F284" t="s">
        <v>256</v>
      </c>
      <c r="G284" t="s">
        <v>2271</v>
      </c>
      <c r="H284" s="20">
        <v>46250</v>
      </c>
      <c r="I284">
        <v>1800</v>
      </c>
      <c r="J284">
        <v>56</v>
      </c>
      <c r="K284">
        <v>45</v>
      </c>
      <c r="L284">
        <v>38</v>
      </c>
      <c r="P284" t="s">
        <v>2272</v>
      </c>
      <c r="R284" t="s">
        <v>2273</v>
      </c>
      <c r="S284">
        <v>4</v>
      </c>
      <c r="T284" t="s">
        <v>2274</v>
      </c>
      <c r="U284" t="s">
        <v>2275</v>
      </c>
    </row>
    <row r="285" spans="1:21" x14ac:dyDescent="0.25">
      <c r="A285" t="s">
        <v>2600</v>
      </c>
      <c r="B285" t="s">
        <v>541</v>
      </c>
      <c r="C285" t="s">
        <v>138</v>
      </c>
      <c r="D285" t="s">
        <v>24</v>
      </c>
      <c r="E285" t="s">
        <v>611</v>
      </c>
      <c r="F285" t="s">
        <v>388</v>
      </c>
      <c r="G285" t="s">
        <v>2271</v>
      </c>
      <c r="H285" s="20">
        <v>46250</v>
      </c>
      <c r="I285">
        <v>1800</v>
      </c>
      <c r="J285">
        <v>110</v>
      </c>
      <c r="K285">
        <v>105</v>
      </c>
      <c r="L285">
        <v>100</v>
      </c>
      <c r="P285" t="s">
        <v>2272</v>
      </c>
      <c r="R285" t="s">
        <v>2273</v>
      </c>
      <c r="S285">
        <v>4</v>
      </c>
      <c r="T285" t="s">
        <v>2274</v>
      </c>
      <c r="U285" t="s">
        <v>2275</v>
      </c>
    </row>
    <row r="286" spans="1:21" x14ac:dyDescent="0.25">
      <c r="A286" t="s">
        <v>2601</v>
      </c>
      <c r="B286" t="s">
        <v>541</v>
      </c>
      <c r="C286" t="s">
        <v>144</v>
      </c>
      <c r="D286" t="s">
        <v>24</v>
      </c>
      <c r="E286" t="s">
        <v>614</v>
      </c>
      <c r="F286" t="s">
        <v>215</v>
      </c>
      <c r="G286" t="s">
        <v>2271</v>
      </c>
      <c r="H286" s="20">
        <v>46250</v>
      </c>
      <c r="I286">
        <v>1800</v>
      </c>
      <c r="J286">
        <v>50</v>
      </c>
      <c r="K286">
        <v>40</v>
      </c>
      <c r="L286">
        <v>30</v>
      </c>
      <c r="P286" t="s">
        <v>2272</v>
      </c>
      <c r="R286" t="s">
        <v>2273</v>
      </c>
      <c r="S286">
        <v>4</v>
      </c>
      <c r="T286" t="s">
        <v>2274</v>
      </c>
      <c r="U286" t="s">
        <v>2275</v>
      </c>
    </row>
    <row r="287" spans="1:21" x14ac:dyDescent="0.25">
      <c r="A287" t="s">
        <v>2602</v>
      </c>
      <c r="B287" t="s">
        <v>541</v>
      </c>
      <c r="C287" t="s">
        <v>144</v>
      </c>
      <c r="D287" t="s">
        <v>24</v>
      </c>
      <c r="E287" t="s">
        <v>615</v>
      </c>
      <c r="F287" t="s">
        <v>96</v>
      </c>
      <c r="G287" t="s">
        <v>2271</v>
      </c>
      <c r="H287" s="20">
        <v>46250</v>
      </c>
      <c r="I287">
        <v>1800</v>
      </c>
      <c r="J287">
        <v>50</v>
      </c>
      <c r="K287">
        <v>40</v>
      </c>
      <c r="L287">
        <v>30</v>
      </c>
      <c r="P287" t="s">
        <v>2272</v>
      </c>
      <c r="R287" t="s">
        <v>2273</v>
      </c>
      <c r="S287">
        <v>4</v>
      </c>
      <c r="T287" t="s">
        <v>2274</v>
      </c>
      <c r="U287" t="s">
        <v>2275</v>
      </c>
    </row>
    <row r="288" spans="1:21" x14ac:dyDescent="0.25">
      <c r="A288" t="s">
        <v>2603</v>
      </c>
      <c r="B288" t="s">
        <v>4</v>
      </c>
      <c r="C288" t="s">
        <v>46</v>
      </c>
      <c r="D288" t="s">
        <v>24</v>
      </c>
      <c r="E288" t="s">
        <v>620</v>
      </c>
      <c r="F288" t="s">
        <v>395</v>
      </c>
      <c r="G288" t="s">
        <v>2271</v>
      </c>
      <c r="H288" s="20">
        <v>46250</v>
      </c>
      <c r="I288">
        <v>1800</v>
      </c>
      <c r="J288">
        <v>74</v>
      </c>
      <c r="K288">
        <v>64</v>
      </c>
      <c r="L288">
        <v>40</v>
      </c>
      <c r="P288" t="s">
        <v>2272</v>
      </c>
      <c r="R288" t="s">
        <v>2273</v>
      </c>
      <c r="S288">
        <v>4</v>
      </c>
      <c r="T288" t="s">
        <v>2274</v>
      </c>
      <c r="U288" t="s">
        <v>2275</v>
      </c>
    </row>
    <row r="289" spans="1:21" x14ac:dyDescent="0.25">
      <c r="A289" t="s">
        <v>2604</v>
      </c>
      <c r="B289" t="s">
        <v>4</v>
      </c>
      <c r="C289" t="s">
        <v>46</v>
      </c>
      <c r="D289" t="s">
        <v>24</v>
      </c>
      <c r="E289" t="s">
        <v>621</v>
      </c>
      <c r="F289" t="s">
        <v>260</v>
      </c>
      <c r="G289" t="s">
        <v>2271</v>
      </c>
      <c r="H289" s="20">
        <v>46250</v>
      </c>
      <c r="I289">
        <v>1800</v>
      </c>
      <c r="J289">
        <v>74</v>
      </c>
      <c r="K289">
        <v>64</v>
      </c>
      <c r="L289">
        <v>40</v>
      </c>
      <c r="P289" t="s">
        <v>2272</v>
      </c>
      <c r="R289" t="s">
        <v>2273</v>
      </c>
      <c r="S289">
        <v>4</v>
      </c>
      <c r="T289" t="s">
        <v>2274</v>
      </c>
      <c r="U289" t="s">
        <v>2275</v>
      </c>
    </row>
    <row r="290" spans="1:21" x14ac:dyDescent="0.25">
      <c r="A290" t="s">
        <v>2605</v>
      </c>
      <c r="B290" t="s">
        <v>4</v>
      </c>
      <c r="C290" t="s">
        <v>46</v>
      </c>
      <c r="D290" t="s">
        <v>24</v>
      </c>
      <c r="E290" t="s">
        <v>622</v>
      </c>
      <c r="F290" t="s">
        <v>289</v>
      </c>
      <c r="G290" t="s">
        <v>2271</v>
      </c>
      <c r="H290" s="20">
        <v>46250</v>
      </c>
      <c r="I290">
        <v>1800</v>
      </c>
      <c r="J290">
        <v>74</v>
      </c>
      <c r="K290">
        <v>64</v>
      </c>
      <c r="L290">
        <v>40</v>
      </c>
      <c r="P290" t="s">
        <v>2272</v>
      </c>
      <c r="R290" t="s">
        <v>2273</v>
      </c>
      <c r="S290">
        <v>4</v>
      </c>
      <c r="T290" t="s">
        <v>2274</v>
      </c>
      <c r="U290" t="s">
        <v>2275</v>
      </c>
    </row>
    <row r="291" spans="1:21" x14ac:dyDescent="0.25">
      <c r="A291" t="s">
        <v>2606</v>
      </c>
      <c r="B291" t="s">
        <v>4</v>
      </c>
      <c r="C291" t="s">
        <v>46</v>
      </c>
      <c r="D291" t="s">
        <v>24</v>
      </c>
      <c r="E291" t="s">
        <v>623</v>
      </c>
      <c r="F291" t="s">
        <v>392</v>
      </c>
      <c r="G291" t="s">
        <v>2271</v>
      </c>
      <c r="H291" s="20">
        <v>46250</v>
      </c>
      <c r="I291">
        <v>1800</v>
      </c>
      <c r="J291">
        <v>74</v>
      </c>
      <c r="K291">
        <v>64</v>
      </c>
      <c r="L291">
        <v>40</v>
      </c>
      <c r="P291" t="s">
        <v>2272</v>
      </c>
      <c r="R291" t="s">
        <v>2273</v>
      </c>
      <c r="S291">
        <v>4</v>
      </c>
      <c r="T291" t="s">
        <v>2274</v>
      </c>
      <c r="U291" t="s">
        <v>2275</v>
      </c>
    </row>
    <row r="292" spans="1:21" x14ac:dyDescent="0.25">
      <c r="A292" t="s">
        <v>2607</v>
      </c>
      <c r="B292" t="s">
        <v>4</v>
      </c>
      <c r="C292" t="s">
        <v>46</v>
      </c>
      <c r="D292" t="s">
        <v>21</v>
      </c>
      <c r="E292" t="s">
        <v>624</v>
      </c>
      <c r="F292" t="s">
        <v>215</v>
      </c>
      <c r="G292" t="s">
        <v>2444</v>
      </c>
      <c r="H292" s="20">
        <v>46254</v>
      </c>
      <c r="I292">
        <v>1500</v>
      </c>
      <c r="J292">
        <v>75</v>
      </c>
      <c r="K292">
        <v>65</v>
      </c>
      <c r="L292">
        <v>43</v>
      </c>
      <c r="P292" t="s">
        <v>2272</v>
      </c>
      <c r="Q292" t="s">
        <v>2608</v>
      </c>
      <c r="R292" t="s">
        <v>2446</v>
      </c>
      <c r="S292">
        <v>10</v>
      </c>
      <c r="T292" t="s">
        <v>2609</v>
      </c>
      <c r="U292" t="s">
        <v>2610</v>
      </c>
    </row>
    <row r="293" spans="1:21" x14ac:dyDescent="0.25">
      <c r="A293" t="s">
        <v>2611</v>
      </c>
      <c r="B293" t="s">
        <v>4</v>
      </c>
      <c r="C293" t="s">
        <v>46</v>
      </c>
      <c r="D293" t="s">
        <v>21</v>
      </c>
      <c r="E293" t="s">
        <v>625</v>
      </c>
      <c r="F293" t="s">
        <v>309</v>
      </c>
      <c r="G293" t="s">
        <v>2271</v>
      </c>
      <c r="H293" s="20">
        <v>46254</v>
      </c>
      <c r="I293">
        <v>1500</v>
      </c>
      <c r="J293">
        <v>72</v>
      </c>
      <c r="K293">
        <v>62</v>
      </c>
      <c r="L293">
        <v>39</v>
      </c>
      <c r="P293" t="s">
        <v>2272</v>
      </c>
      <c r="R293" t="s">
        <v>2273</v>
      </c>
      <c r="S293">
        <v>7</v>
      </c>
      <c r="T293" t="s">
        <v>2612</v>
      </c>
      <c r="U293" t="s">
        <v>2613</v>
      </c>
    </row>
    <row r="294" spans="1:21" x14ac:dyDescent="0.25">
      <c r="A294" t="s">
        <v>2614</v>
      </c>
      <c r="B294" t="s">
        <v>4</v>
      </c>
      <c r="C294" t="s">
        <v>46</v>
      </c>
      <c r="D294" t="s">
        <v>21</v>
      </c>
      <c r="E294" t="s">
        <v>626</v>
      </c>
      <c r="F294" t="s">
        <v>309</v>
      </c>
      <c r="G294" t="s">
        <v>2271</v>
      </c>
      <c r="H294" s="20">
        <v>46254</v>
      </c>
      <c r="I294">
        <v>1500</v>
      </c>
      <c r="J294">
        <v>72</v>
      </c>
      <c r="K294">
        <v>62</v>
      </c>
      <c r="L294">
        <v>39</v>
      </c>
      <c r="P294" t="s">
        <v>2272</v>
      </c>
      <c r="R294" t="s">
        <v>2273</v>
      </c>
      <c r="S294">
        <v>7</v>
      </c>
      <c r="T294" t="s">
        <v>2612</v>
      </c>
      <c r="U294" t="s">
        <v>2613</v>
      </c>
    </row>
    <row r="295" spans="1:21" x14ac:dyDescent="0.25">
      <c r="A295" t="s">
        <v>2615</v>
      </c>
      <c r="B295" t="s">
        <v>4</v>
      </c>
      <c r="C295" t="s">
        <v>46</v>
      </c>
      <c r="D295" t="s">
        <v>21</v>
      </c>
      <c r="E295" t="s">
        <v>627</v>
      </c>
      <c r="F295" t="s">
        <v>628</v>
      </c>
      <c r="G295" t="s">
        <v>2271</v>
      </c>
      <c r="H295" s="20">
        <v>46254</v>
      </c>
      <c r="I295">
        <v>1500</v>
      </c>
      <c r="J295">
        <v>72</v>
      </c>
      <c r="K295">
        <v>62</v>
      </c>
      <c r="L295">
        <v>39</v>
      </c>
      <c r="P295" t="s">
        <v>2272</v>
      </c>
      <c r="R295" t="s">
        <v>2273</v>
      </c>
      <c r="S295">
        <v>7</v>
      </c>
      <c r="T295" t="s">
        <v>2612</v>
      </c>
      <c r="U295" t="s">
        <v>2613</v>
      </c>
    </row>
    <row r="296" spans="1:21" x14ac:dyDescent="0.25">
      <c r="A296" t="s">
        <v>2616</v>
      </c>
      <c r="B296" t="s">
        <v>4</v>
      </c>
      <c r="C296" t="s">
        <v>46</v>
      </c>
      <c r="D296" t="s">
        <v>21</v>
      </c>
      <c r="E296" t="s">
        <v>629</v>
      </c>
      <c r="F296" t="s">
        <v>630</v>
      </c>
      <c r="G296" t="s">
        <v>2444</v>
      </c>
      <c r="H296" s="20">
        <v>46254</v>
      </c>
      <c r="I296">
        <v>1500</v>
      </c>
      <c r="J296">
        <v>75</v>
      </c>
      <c r="K296">
        <v>65</v>
      </c>
      <c r="L296">
        <v>43</v>
      </c>
      <c r="P296" t="s">
        <v>2272</v>
      </c>
      <c r="Q296" t="s">
        <v>2608</v>
      </c>
      <c r="R296" t="s">
        <v>2446</v>
      </c>
      <c r="S296">
        <v>10</v>
      </c>
      <c r="T296" t="s">
        <v>2609</v>
      </c>
      <c r="U296" t="s">
        <v>2610</v>
      </c>
    </row>
    <row r="297" spans="1:21" x14ac:dyDescent="0.25">
      <c r="A297" t="s">
        <v>2617</v>
      </c>
      <c r="B297" t="s">
        <v>4</v>
      </c>
      <c r="C297" t="s">
        <v>46</v>
      </c>
      <c r="D297" t="s">
        <v>21</v>
      </c>
      <c r="E297" t="s">
        <v>631</v>
      </c>
      <c r="F297" t="s">
        <v>307</v>
      </c>
      <c r="G297" t="s">
        <v>2271</v>
      </c>
      <c r="H297" s="20">
        <v>46254</v>
      </c>
      <c r="I297">
        <v>1500</v>
      </c>
      <c r="J297">
        <v>72</v>
      </c>
      <c r="K297">
        <v>62</v>
      </c>
      <c r="L297">
        <v>39</v>
      </c>
      <c r="P297" t="s">
        <v>2272</v>
      </c>
      <c r="R297" t="s">
        <v>2273</v>
      </c>
      <c r="S297">
        <v>7</v>
      </c>
      <c r="T297" t="s">
        <v>2612</v>
      </c>
      <c r="U297" t="s">
        <v>2613</v>
      </c>
    </row>
    <row r="298" spans="1:21" x14ac:dyDescent="0.25">
      <c r="A298" t="s">
        <v>2618</v>
      </c>
      <c r="B298" t="s">
        <v>4</v>
      </c>
      <c r="C298" t="s">
        <v>46</v>
      </c>
      <c r="D298" t="s">
        <v>21</v>
      </c>
      <c r="E298" t="s">
        <v>632</v>
      </c>
      <c r="F298" t="s">
        <v>633</v>
      </c>
      <c r="G298" t="s">
        <v>2271</v>
      </c>
      <c r="H298" s="20">
        <v>46254</v>
      </c>
      <c r="I298">
        <v>1500</v>
      </c>
      <c r="J298">
        <v>72</v>
      </c>
      <c r="K298">
        <v>62</v>
      </c>
      <c r="L298">
        <v>39</v>
      </c>
      <c r="P298" t="s">
        <v>2272</v>
      </c>
      <c r="R298" t="s">
        <v>2273</v>
      </c>
      <c r="S298">
        <v>7</v>
      </c>
      <c r="T298" t="s">
        <v>2612</v>
      </c>
      <c r="U298" t="s">
        <v>2613</v>
      </c>
    </row>
    <row r="299" spans="1:21" x14ac:dyDescent="0.25">
      <c r="A299" t="s">
        <v>2619</v>
      </c>
      <c r="B299" t="s">
        <v>4</v>
      </c>
      <c r="C299" t="s">
        <v>46</v>
      </c>
      <c r="D299" t="s">
        <v>21</v>
      </c>
      <c r="E299" t="s">
        <v>634</v>
      </c>
      <c r="F299" t="s">
        <v>232</v>
      </c>
      <c r="G299" t="s">
        <v>2271</v>
      </c>
      <c r="H299" s="20">
        <v>46254</v>
      </c>
      <c r="I299">
        <v>1500</v>
      </c>
      <c r="J299">
        <v>72</v>
      </c>
      <c r="K299">
        <v>62</v>
      </c>
      <c r="L299">
        <v>39</v>
      </c>
      <c r="P299" t="s">
        <v>2272</v>
      </c>
      <c r="R299" t="s">
        <v>2273</v>
      </c>
      <c r="S299">
        <v>7</v>
      </c>
      <c r="T299" t="s">
        <v>2612</v>
      </c>
      <c r="U299" t="s">
        <v>2613</v>
      </c>
    </row>
    <row r="300" spans="1:21" x14ac:dyDescent="0.25">
      <c r="A300" t="s">
        <v>2620</v>
      </c>
      <c r="B300" t="s">
        <v>4</v>
      </c>
      <c r="C300" t="s">
        <v>50</v>
      </c>
      <c r="D300" t="s">
        <v>24</v>
      </c>
      <c r="E300" t="s">
        <v>636</v>
      </c>
      <c r="F300" t="s">
        <v>637</v>
      </c>
      <c r="G300" t="s">
        <v>2271</v>
      </c>
      <c r="H300" s="20">
        <v>46250</v>
      </c>
      <c r="I300">
        <v>1800</v>
      </c>
      <c r="J300">
        <v>86</v>
      </c>
      <c r="K300">
        <v>70</v>
      </c>
      <c r="L300">
        <v>68</v>
      </c>
      <c r="P300" t="s">
        <v>2272</v>
      </c>
      <c r="R300" t="s">
        <v>2273</v>
      </c>
      <c r="S300">
        <v>4</v>
      </c>
      <c r="T300" t="s">
        <v>2274</v>
      </c>
      <c r="U300" t="s">
        <v>2275</v>
      </c>
    </row>
    <row r="301" spans="1:21" x14ac:dyDescent="0.25">
      <c r="A301" t="s">
        <v>2621</v>
      </c>
      <c r="B301" t="s">
        <v>4</v>
      </c>
      <c r="C301" t="s">
        <v>50</v>
      </c>
      <c r="D301" t="s">
        <v>24</v>
      </c>
      <c r="E301" t="s">
        <v>638</v>
      </c>
      <c r="F301" t="s">
        <v>108</v>
      </c>
      <c r="G301" t="s">
        <v>2271</v>
      </c>
      <c r="H301" s="20">
        <v>46250</v>
      </c>
      <c r="I301">
        <v>1800</v>
      </c>
      <c r="J301">
        <v>86</v>
      </c>
      <c r="K301">
        <v>70</v>
      </c>
      <c r="L301">
        <v>68</v>
      </c>
      <c r="P301" t="s">
        <v>2272</v>
      </c>
      <c r="R301" t="s">
        <v>2273</v>
      </c>
      <c r="S301">
        <v>4</v>
      </c>
      <c r="T301" t="s">
        <v>2274</v>
      </c>
      <c r="U301" t="s">
        <v>2275</v>
      </c>
    </row>
    <row r="302" spans="1:21" x14ac:dyDescent="0.25">
      <c r="A302" t="s">
        <v>2622</v>
      </c>
      <c r="B302" t="s">
        <v>4</v>
      </c>
      <c r="C302" t="s">
        <v>50</v>
      </c>
      <c r="D302" t="s">
        <v>21</v>
      </c>
      <c r="E302" t="s">
        <v>639</v>
      </c>
      <c r="F302" t="s">
        <v>76</v>
      </c>
      <c r="G302" t="s">
        <v>2444</v>
      </c>
      <c r="H302" s="20">
        <v>46254</v>
      </c>
      <c r="I302">
        <v>1500</v>
      </c>
      <c r="J302">
        <v>98</v>
      </c>
      <c r="K302">
        <v>75</v>
      </c>
      <c r="L302">
        <v>65</v>
      </c>
      <c r="P302" t="s">
        <v>2272</v>
      </c>
      <c r="Q302" t="s">
        <v>2623</v>
      </c>
      <c r="R302" t="s">
        <v>2446</v>
      </c>
      <c r="S302">
        <v>15</v>
      </c>
      <c r="T302" t="s">
        <v>2624</v>
      </c>
      <c r="U302" t="s">
        <v>2625</v>
      </c>
    </row>
    <row r="303" spans="1:21" x14ac:dyDescent="0.25">
      <c r="A303" t="s">
        <v>2626</v>
      </c>
      <c r="B303" t="s">
        <v>4</v>
      </c>
      <c r="C303" t="s">
        <v>50</v>
      </c>
      <c r="D303" t="s">
        <v>21</v>
      </c>
      <c r="E303" t="s">
        <v>640</v>
      </c>
      <c r="F303" t="s">
        <v>165</v>
      </c>
      <c r="G303" t="s">
        <v>2444</v>
      </c>
      <c r="H303" s="20">
        <v>46254</v>
      </c>
      <c r="I303">
        <v>1500</v>
      </c>
      <c r="J303">
        <v>98</v>
      </c>
      <c r="K303">
        <v>75</v>
      </c>
      <c r="L303">
        <v>65</v>
      </c>
      <c r="P303" t="s">
        <v>2272</v>
      </c>
      <c r="Q303" t="s">
        <v>2623</v>
      </c>
      <c r="R303" t="s">
        <v>2446</v>
      </c>
      <c r="S303">
        <v>15</v>
      </c>
      <c r="T303" t="s">
        <v>2624</v>
      </c>
      <c r="U303" t="s">
        <v>2625</v>
      </c>
    </row>
    <row r="304" spans="1:21" x14ac:dyDescent="0.25">
      <c r="A304" t="s">
        <v>2627</v>
      </c>
      <c r="B304" t="s">
        <v>4</v>
      </c>
      <c r="C304" t="s">
        <v>53</v>
      </c>
      <c r="D304" t="s">
        <v>24</v>
      </c>
      <c r="E304" t="s">
        <v>642</v>
      </c>
      <c r="F304" t="s">
        <v>319</v>
      </c>
      <c r="G304" t="s">
        <v>2271</v>
      </c>
      <c r="H304" s="20">
        <v>46250</v>
      </c>
      <c r="I304">
        <v>1800</v>
      </c>
      <c r="J304">
        <v>71</v>
      </c>
      <c r="K304">
        <v>64</v>
      </c>
      <c r="L304">
        <v>62</v>
      </c>
      <c r="P304" t="s">
        <v>2272</v>
      </c>
      <c r="R304" t="s">
        <v>2273</v>
      </c>
      <c r="S304">
        <v>4</v>
      </c>
      <c r="T304" t="s">
        <v>2274</v>
      </c>
      <c r="U304" t="s">
        <v>2275</v>
      </c>
    </row>
    <row r="305" spans="1:21" x14ac:dyDescent="0.25">
      <c r="A305" t="s">
        <v>2628</v>
      </c>
      <c r="B305" t="s">
        <v>4</v>
      </c>
      <c r="C305" t="s">
        <v>53</v>
      </c>
      <c r="D305" t="s">
        <v>24</v>
      </c>
      <c r="E305" t="s">
        <v>643</v>
      </c>
      <c r="F305" t="s">
        <v>94</v>
      </c>
      <c r="G305" t="s">
        <v>2271</v>
      </c>
      <c r="H305" s="20">
        <v>46250</v>
      </c>
      <c r="I305">
        <v>1800</v>
      </c>
      <c r="J305">
        <v>71</v>
      </c>
      <c r="K305">
        <v>64</v>
      </c>
      <c r="L305">
        <v>62</v>
      </c>
      <c r="P305" t="s">
        <v>2272</v>
      </c>
      <c r="R305" t="s">
        <v>2273</v>
      </c>
      <c r="S305">
        <v>4</v>
      </c>
      <c r="T305" t="s">
        <v>2274</v>
      </c>
      <c r="U305" t="s">
        <v>2275</v>
      </c>
    </row>
    <row r="306" spans="1:21" x14ac:dyDescent="0.25">
      <c r="A306" t="s">
        <v>2629</v>
      </c>
      <c r="B306" t="s">
        <v>4</v>
      </c>
      <c r="C306" t="s">
        <v>53</v>
      </c>
      <c r="D306" t="s">
        <v>24</v>
      </c>
      <c r="E306" t="s">
        <v>644</v>
      </c>
      <c r="F306" t="s">
        <v>378</v>
      </c>
      <c r="G306" t="s">
        <v>2271</v>
      </c>
      <c r="H306" s="20">
        <v>46250</v>
      </c>
      <c r="I306">
        <v>1800</v>
      </c>
      <c r="J306">
        <v>71</v>
      </c>
      <c r="K306">
        <v>64</v>
      </c>
      <c r="L306">
        <v>62</v>
      </c>
      <c r="P306" t="s">
        <v>2272</v>
      </c>
      <c r="R306" t="s">
        <v>2273</v>
      </c>
      <c r="S306">
        <v>4</v>
      </c>
      <c r="T306" t="s">
        <v>2274</v>
      </c>
      <c r="U306" t="s">
        <v>2275</v>
      </c>
    </row>
    <row r="307" spans="1:21" x14ac:dyDescent="0.25">
      <c r="A307" t="s">
        <v>2630</v>
      </c>
      <c r="B307" t="s">
        <v>4</v>
      </c>
      <c r="C307" t="s">
        <v>53</v>
      </c>
      <c r="D307" t="s">
        <v>24</v>
      </c>
      <c r="E307" t="s">
        <v>645</v>
      </c>
      <c r="F307" t="s">
        <v>378</v>
      </c>
      <c r="G307" t="s">
        <v>2271</v>
      </c>
      <c r="H307" s="20">
        <v>46250</v>
      </c>
      <c r="I307">
        <v>1800</v>
      </c>
      <c r="J307">
        <v>71</v>
      </c>
      <c r="K307">
        <v>64</v>
      </c>
      <c r="L307">
        <v>62</v>
      </c>
      <c r="P307" t="s">
        <v>2272</v>
      </c>
      <c r="R307" t="s">
        <v>2273</v>
      </c>
      <c r="S307">
        <v>4</v>
      </c>
      <c r="T307" t="s">
        <v>2274</v>
      </c>
      <c r="U307" t="s">
        <v>2275</v>
      </c>
    </row>
    <row r="308" spans="1:21" x14ac:dyDescent="0.25">
      <c r="A308" t="s">
        <v>2631</v>
      </c>
      <c r="B308" t="s">
        <v>4</v>
      </c>
      <c r="C308" t="s">
        <v>53</v>
      </c>
      <c r="D308" t="s">
        <v>21</v>
      </c>
      <c r="E308" t="s">
        <v>646</v>
      </c>
      <c r="F308" t="s">
        <v>307</v>
      </c>
      <c r="G308" t="s">
        <v>2444</v>
      </c>
      <c r="H308" s="20">
        <v>46254</v>
      </c>
      <c r="I308">
        <v>1500</v>
      </c>
      <c r="J308">
        <v>82</v>
      </c>
      <c r="K308">
        <v>72</v>
      </c>
      <c r="L308">
        <v>61</v>
      </c>
      <c r="P308" t="s">
        <v>2272</v>
      </c>
      <c r="Q308" t="s">
        <v>2632</v>
      </c>
      <c r="R308" t="s">
        <v>2446</v>
      </c>
      <c r="S308">
        <v>15</v>
      </c>
      <c r="T308" t="s">
        <v>2633</v>
      </c>
      <c r="U308" t="s">
        <v>2634</v>
      </c>
    </row>
    <row r="309" spans="1:21" x14ac:dyDescent="0.25">
      <c r="A309" t="s">
        <v>2635</v>
      </c>
      <c r="B309" t="s">
        <v>4</v>
      </c>
      <c r="C309" t="s">
        <v>53</v>
      </c>
      <c r="D309" t="s">
        <v>21</v>
      </c>
      <c r="E309" t="s">
        <v>647</v>
      </c>
      <c r="F309" t="s">
        <v>455</v>
      </c>
      <c r="G309" t="s">
        <v>2271</v>
      </c>
      <c r="H309" s="20">
        <v>46254</v>
      </c>
      <c r="I309">
        <v>1500</v>
      </c>
      <c r="J309">
        <v>69</v>
      </c>
      <c r="K309">
        <v>57</v>
      </c>
      <c r="L309">
        <v>48</v>
      </c>
      <c r="P309" t="s">
        <v>2272</v>
      </c>
      <c r="R309" t="s">
        <v>2273</v>
      </c>
      <c r="S309">
        <v>15</v>
      </c>
      <c r="T309" t="s">
        <v>2636</v>
      </c>
      <c r="U309" t="s">
        <v>2637</v>
      </c>
    </row>
    <row r="310" spans="1:21" x14ac:dyDescent="0.25">
      <c r="A310" t="s">
        <v>2638</v>
      </c>
      <c r="B310" t="s">
        <v>4</v>
      </c>
      <c r="C310" t="s">
        <v>53</v>
      </c>
      <c r="D310" t="s">
        <v>21</v>
      </c>
      <c r="E310" t="s">
        <v>648</v>
      </c>
      <c r="F310" t="s">
        <v>335</v>
      </c>
      <c r="G310" t="s">
        <v>2271</v>
      </c>
      <c r="H310" s="20">
        <v>46254</v>
      </c>
      <c r="I310">
        <v>1500</v>
      </c>
      <c r="J310">
        <v>69</v>
      </c>
      <c r="K310">
        <v>57</v>
      </c>
      <c r="L310">
        <v>48</v>
      </c>
      <c r="P310" t="s">
        <v>2272</v>
      </c>
      <c r="R310" t="s">
        <v>2273</v>
      </c>
      <c r="S310">
        <v>15</v>
      </c>
      <c r="T310" t="s">
        <v>2636</v>
      </c>
      <c r="U310" t="s">
        <v>2637</v>
      </c>
    </row>
    <row r="311" spans="1:21" x14ac:dyDescent="0.25">
      <c r="A311" t="s">
        <v>2639</v>
      </c>
      <c r="B311" t="s">
        <v>4</v>
      </c>
      <c r="C311" t="s">
        <v>53</v>
      </c>
      <c r="D311" t="s">
        <v>21</v>
      </c>
      <c r="E311" t="s">
        <v>649</v>
      </c>
      <c r="F311" t="s">
        <v>530</v>
      </c>
      <c r="G311" t="s">
        <v>2271</v>
      </c>
      <c r="H311" s="20">
        <v>46254</v>
      </c>
      <c r="I311">
        <v>1500</v>
      </c>
      <c r="J311">
        <v>69</v>
      </c>
      <c r="K311">
        <v>57</v>
      </c>
      <c r="L311">
        <v>48</v>
      </c>
      <c r="P311" t="s">
        <v>2272</v>
      </c>
      <c r="R311" t="s">
        <v>2273</v>
      </c>
      <c r="S311">
        <v>15</v>
      </c>
      <c r="T311" t="s">
        <v>2636</v>
      </c>
      <c r="U311" t="s">
        <v>2637</v>
      </c>
    </row>
    <row r="312" spans="1:21" x14ac:dyDescent="0.25">
      <c r="A312" t="s">
        <v>2640</v>
      </c>
      <c r="B312" t="s">
        <v>4</v>
      </c>
      <c r="C312" t="s">
        <v>53</v>
      </c>
      <c r="D312" t="s">
        <v>21</v>
      </c>
      <c r="E312" t="s">
        <v>650</v>
      </c>
      <c r="F312" t="s">
        <v>651</v>
      </c>
      <c r="G312" t="s">
        <v>2271</v>
      </c>
      <c r="H312" s="20">
        <v>46254</v>
      </c>
      <c r="I312">
        <v>1500</v>
      </c>
      <c r="J312">
        <v>69</v>
      </c>
      <c r="K312">
        <v>57</v>
      </c>
      <c r="L312">
        <v>48</v>
      </c>
      <c r="P312" t="s">
        <v>2272</v>
      </c>
      <c r="R312" t="s">
        <v>2273</v>
      </c>
      <c r="S312">
        <v>15</v>
      </c>
      <c r="T312" t="s">
        <v>2636</v>
      </c>
      <c r="U312" t="s">
        <v>2637</v>
      </c>
    </row>
    <row r="313" spans="1:21" x14ac:dyDescent="0.25">
      <c r="A313" t="s">
        <v>2641</v>
      </c>
      <c r="B313" t="s">
        <v>4</v>
      </c>
      <c r="C313" t="s">
        <v>53</v>
      </c>
      <c r="D313" t="s">
        <v>21</v>
      </c>
      <c r="E313" t="s">
        <v>652</v>
      </c>
      <c r="F313" t="s">
        <v>339</v>
      </c>
      <c r="G313" t="s">
        <v>2271</v>
      </c>
      <c r="H313" s="20">
        <v>46254</v>
      </c>
      <c r="I313">
        <v>1500</v>
      </c>
      <c r="J313">
        <v>69</v>
      </c>
      <c r="K313">
        <v>57</v>
      </c>
      <c r="L313">
        <v>48</v>
      </c>
      <c r="P313" t="s">
        <v>2272</v>
      </c>
      <c r="R313" t="s">
        <v>2273</v>
      </c>
      <c r="S313">
        <v>15</v>
      </c>
      <c r="T313" t="s">
        <v>2636</v>
      </c>
      <c r="U313" t="s">
        <v>2637</v>
      </c>
    </row>
    <row r="314" spans="1:21" x14ac:dyDescent="0.25">
      <c r="A314" t="s">
        <v>2642</v>
      </c>
      <c r="B314" t="s">
        <v>4</v>
      </c>
      <c r="C314" t="s">
        <v>53</v>
      </c>
      <c r="D314" t="s">
        <v>21</v>
      </c>
      <c r="E314" t="s">
        <v>653</v>
      </c>
      <c r="F314" t="s">
        <v>215</v>
      </c>
      <c r="G314" t="s">
        <v>2444</v>
      </c>
      <c r="H314" s="20">
        <v>46254</v>
      </c>
      <c r="I314">
        <v>1500</v>
      </c>
      <c r="J314">
        <v>82</v>
      </c>
      <c r="K314">
        <v>72</v>
      </c>
      <c r="L314">
        <v>61</v>
      </c>
      <c r="P314" t="s">
        <v>2272</v>
      </c>
      <c r="Q314" t="s">
        <v>2632</v>
      </c>
      <c r="R314" t="s">
        <v>2446</v>
      </c>
      <c r="S314">
        <v>15</v>
      </c>
      <c r="T314" t="s">
        <v>2633</v>
      </c>
      <c r="U314" t="s">
        <v>2634</v>
      </c>
    </row>
    <row r="315" spans="1:21" x14ac:dyDescent="0.25">
      <c r="A315" t="s">
        <v>2643</v>
      </c>
      <c r="B315" t="s">
        <v>4</v>
      </c>
      <c r="C315" t="s">
        <v>53</v>
      </c>
      <c r="D315" t="s">
        <v>21</v>
      </c>
      <c r="E315" t="s">
        <v>654</v>
      </c>
      <c r="F315" t="s">
        <v>655</v>
      </c>
      <c r="G315" t="s">
        <v>2271</v>
      </c>
      <c r="H315" s="20">
        <v>46254</v>
      </c>
      <c r="I315">
        <v>1500</v>
      </c>
      <c r="J315">
        <v>69</v>
      </c>
      <c r="K315">
        <v>57</v>
      </c>
      <c r="L315">
        <v>48</v>
      </c>
      <c r="P315" t="s">
        <v>2272</v>
      </c>
      <c r="R315" t="s">
        <v>2273</v>
      </c>
      <c r="S315">
        <v>15</v>
      </c>
      <c r="T315" t="s">
        <v>2636</v>
      </c>
      <c r="U315" t="s">
        <v>2637</v>
      </c>
    </row>
    <row r="316" spans="1:21" x14ac:dyDescent="0.25">
      <c r="A316" t="s">
        <v>2644</v>
      </c>
      <c r="B316" t="s">
        <v>4</v>
      </c>
      <c r="C316" t="s">
        <v>57</v>
      </c>
      <c r="D316" t="s">
        <v>24</v>
      </c>
      <c r="E316" t="s">
        <v>657</v>
      </c>
      <c r="F316" t="s">
        <v>637</v>
      </c>
      <c r="G316" t="s">
        <v>2271</v>
      </c>
      <c r="H316" s="20">
        <v>46250</v>
      </c>
      <c r="I316">
        <v>1800</v>
      </c>
      <c r="J316">
        <v>72</v>
      </c>
      <c r="K316">
        <v>62</v>
      </c>
      <c r="L316">
        <v>24</v>
      </c>
      <c r="M316">
        <v>18</v>
      </c>
      <c r="P316" t="s">
        <v>2272</v>
      </c>
      <c r="R316" t="s">
        <v>2273</v>
      </c>
      <c r="S316">
        <v>4</v>
      </c>
      <c r="T316" t="s">
        <v>2274</v>
      </c>
      <c r="U316" t="s">
        <v>2275</v>
      </c>
    </row>
    <row r="317" spans="1:21" x14ac:dyDescent="0.25">
      <c r="A317" t="s">
        <v>2645</v>
      </c>
      <c r="B317" t="s">
        <v>4</v>
      </c>
      <c r="C317" t="s">
        <v>57</v>
      </c>
      <c r="D317" t="s">
        <v>24</v>
      </c>
      <c r="E317" t="s">
        <v>658</v>
      </c>
      <c r="F317" t="s">
        <v>208</v>
      </c>
      <c r="G317" t="s">
        <v>2271</v>
      </c>
      <c r="H317" s="20">
        <v>46250</v>
      </c>
      <c r="I317">
        <v>1800</v>
      </c>
      <c r="J317">
        <v>72</v>
      </c>
      <c r="K317">
        <v>62</v>
      </c>
      <c r="L317">
        <v>24</v>
      </c>
      <c r="M317">
        <v>18</v>
      </c>
      <c r="P317" t="s">
        <v>2272</v>
      </c>
      <c r="R317" t="s">
        <v>2273</v>
      </c>
      <c r="S317">
        <v>4</v>
      </c>
      <c r="T317" t="s">
        <v>2274</v>
      </c>
      <c r="U317" t="s">
        <v>2275</v>
      </c>
    </row>
    <row r="318" spans="1:21" x14ac:dyDescent="0.25">
      <c r="A318" t="s">
        <v>2646</v>
      </c>
      <c r="B318" t="s">
        <v>4</v>
      </c>
      <c r="C318" t="s">
        <v>57</v>
      </c>
      <c r="D318" t="s">
        <v>24</v>
      </c>
      <c r="E318" t="s">
        <v>659</v>
      </c>
      <c r="F318" t="s">
        <v>633</v>
      </c>
      <c r="G318" t="s">
        <v>2271</v>
      </c>
      <c r="H318" s="20">
        <v>46250</v>
      </c>
      <c r="I318">
        <v>1800</v>
      </c>
      <c r="J318">
        <v>72</v>
      </c>
      <c r="K318">
        <v>62</v>
      </c>
      <c r="L318">
        <v>24</v>
      </c>
      <c r="M318">
        <v>18</v>
      </c>
      <c r="P318" t="s">
        <v>2272</v>
      </c>
      <c r="R318" t="s">
        <v>2273</v>
      </c>
      <c r="S318">
        <v>4</v>
      </c>
      <c r="T318" t="s">
        <v>2274</v>
      </c>
      <c r="U318" t="s">
        <v>2275</v>
      </c>
    </row>
    <row r="319" spans="1:21" x14ac:dyDescent="0.25">
      <c r="A319" t="s">
        <v>2647</v>
      </c>
      <c r="B319" t="s">
        <v>4</v>
      </c>
      <c r="C319" t="s">
        <v>57</v>
      </c>
      <c r="D319" t="s">
        <v>24</v>
      </c>
      <c r="E319" t="s">
        <v>660</v>
      </c>
      <c r="F319" t="s">
        <v>62</v>
      </c>
      <c r="G319" t="s">
        <v>2271</v>
      </c>
      <c r="H319" s="20">
        <v>46250</v>
      </c>
      <c r="I319">
        <v>1800</v>
      </c>
      <c r="J319">
        <v>72</v>
      </c>
      <c r="K319">
        <v>62</v>
      </c>
      <c r="L319">
        <v>24</v>
      </c>
      <c r="M319">
        <v>18</v>
      </c>
      <c r="P319" t="s">
        <v>2272</v>
      </c>
      <c r="R319" t="s">
        <v>2273</v>
      </c>
      <c r="S319">
        <v>4</v>
      </c>
      <c r="T319" t="s">
        <v>2274</v>
      </c>
      <c r="U319" t="s">
        <v>2275</v>
      </c>
    </row>
    <row r="320" spans="1:21" x14ac:dyDescent="0.25">
      <c r="A320" t="s">
        <v>2648</v>
      </c>
      <c r="B320" t="s">
        <v>4</v>
      </c>
      <c r="C320" t="s">
        <v>57</v>
      </c>
      <c r="D320" t="s">
        <v>24</v>
      </c>
      <c r="E320" t="s">
        <v>661</v>
      </c>
      <c r="F320" t="s">
        <v>62</v>
      </c>
      <c r="G320" t="s">
        <v>2271</v>
      </c>
      <c r="H320" s="20">
        <v>46250</v>
      </c>
      <c r="I320">
        <v>1800</v>
      </c>
      <c r="J320">
        <v>72</v>
      </c>
      <c r="K320">
        <v>62</v>
      </c>
      <c r="L320">
        <v>24</v>
      </c>
      <c r="M320">
        <v>18</v>
      </c>
      <c r="P320" t="s">
        <v>2272</v>
      </c>
      <c r="R320" t="s">
        <v>2273</v>
      </c>
      <c r="S320">
        <v>4</v>
      </c>
      <c r="T320" t="s">
        <v>2274</v>
      </c>
      <c r="U320" t="s">
        <v>2275</v>
      </c>
    </row>
    <row r="321" spans="1:21" x14ac:dyDescent="0.25">
      <c r="A321" t="s">
        <v>2649</v>
      </c>
      <c r="B321" t="s">
        <v>4</v>
      </c>
      <c r="C321" t="s">
        <v>57</v>
      </c>
      <c r="D321" t="s">
        <v>21</v>
      </c>
      <c r="E321" t="s">
        <v>662</v>
      </c>
      <c r="F321" t="s">
        <v>484</v>
      </c>
      <c r="G321" t="s">
        <v>2271</v>
      </c>
      <c r="H321" s="20">
        <v>46254</v>
      </c>
      <c r="I321">
        <v>1500</v>
      </c>
      <c r="J321">
        <v>52</v>
      </c>
      <c r="K321">
        <v>40</v>
      </c>
      <c r="L321">
        <v>19</v>
      </c>
      <c r="P321" t="s">
        <v>2272</v>
      </c>
      <c r="R321" t="s">
        <v>2273</v>
      </c>
      <c r="S321">
        <v>5</v>
      </c>
      <c r="T321" t="s">
        <v>2319</v>
      </c>
      <c r="U321" t="s">
        <v>2320</v>
      </c>
    </row>
    <row r="322" spans="1:21" x14ac:dyDescent="0.25">
      <c r="A322" t="s">
        <v>2650</v>
      </c>
      <c r="B322" t="s">
        <v>4</v>
      </c>
      <c r="C322" t="s">
        <v>57</v>
      </c>
      <c r="D322" t="s">
        <v>21</v>
      </c>
      <c r="E322" t="s">
        <v>663</v>
      </c>
      <c r="F322" t="s">
        <v>664</v>
      </c>
      <c r="G322" t="s">
        <v>2271</v>
      </c>
      <c r="H322" s="20">
        <v>46254</v>
      </c>
      <c r="I322">
        <v>1500</v>
      </c>
      <c r="J322">
        <v>52</v>
      </c>
      <c r="K322">
        <v>40</v>
      </c>
      <c r="L322">
        <v>19</v>
      </c>
      <c r="P322" t="s">
        <v>2272</v>
      </c>
      <c r="R322" t="s">
        <v>2273</v>
      </c>
      <c r="S322">
        <v>5</v>
      </c>
      <c r="T322" t="s">
        <v>2319</v>
      </c>
      <c r="U322" t="s">
        <v>2320</v>
      </c>
    </row>
    <row r="323" spans="1:21" x14ac:dyDescent="0.25">
      <c r="A323" t="s">
        <v>2651</v>
      </c>
      <c r="B323" t="s">
        <v>4</v>
      </c>
      <c r="C323" t="s">
        <v>57</v>
      </c>
      <c r="D323" t="s">
        <v>21</v>
      </c>
      <c r="E323" t="s">
        <v>665</v>
      </c>
      <c r="F323" t="s">
        <v>219</v>
      </c>
      <c r="G323" t="s">
        <v>2271</v>
      </c>
      <c r="H323" s="20">
        <v>46254</v>
      </c>
      <c r="I323">
        <v>1500</v>
      </c>
      <c r="J323">
        <v>52</v>
      </c>
      <c r="K323">
        <v>40</v>
      </c>
      <c r="L323">
        <v>19</v>
      </c>
      <c r="P323" t="s">
        <v>2272</v>
      </c>
      <c r="R323" t="s">
        <v>2273</v>
      </c>
      <c r="S323">
        <v>5</v>
      </c>
      <c r="T323" t="s">
        <v>2319</v>
      </c>
      <c r="U323" t="s">
        <v>2320</v>
      </c>
    </row>
    <row r="324" spans="1:21" x14ac:dyDescent="0.25">
      <c r="A324" t="s">
        <v>2652</v>
      </c>
      <c r="B324" t="s">
        <v>4</v>
      </c>
      <c r="C324" t="s">
        <v>57</v>
      </c>
      <c r="D324" t="s">
        <v>21</v>
      </c>
      <c r="E324" t="s">
        <v>666</v>
      </c>
      <c r="F324" t="s">
        <v>395</v>
      </c>
      <c r="G324" t="s">
        <v>2271</v>
      </c>
      <c r="H324" s="20">
        <v>46254</v>
      </c>
      <c r="I324">
        <v>1500</v>
      </c>
      <c r="J324">
        <v>52</v>
      </c>
      <c r="K324">
        <v>40</v>
      </c>
      <c r="L324">
        <v>19</v>
      </c>
      <c r="P324" t="s">
        <v>2272</v>
      </c>
      <c r="R324" t="s">
        <v>2273</v>
      </c>
      <c r="S324">
        <v>5</v>
      </c>
      <c r="T324" t="s">
        <v>2319</v>
      </c>
      <c r="U324" t="s">
        <v>2320</v>
      </c>
    </row>
    <row r="325" spans="1:21" x14ac:dyDescent="0.25">
      <c r="A325" t="s">
        <v>2653</v>
      </c>
      <c r="B325" t="s">
        <v>4</v>
      </c>
      <c r="C325" t="s">
        <v>57</v>
      </c>
      <c r="D325" t="s">
        <v>21</v>
      </c>
      <c r="E325" t="s">
        <v>667</v>
      </c>
      <c r="F325" t="s">
        <v>668</v>
      </c>
      <c r="G325" t="s">
        <v>2271</v>
      </c>
      <c r="H325" s="20">
        <v>46254</v>
      </c>
      <c r="I325">
        <v>1500</v>
      </c>
      <c r="J325">
        <v>52</v>
      </c>
      <c r="K325">
        <v>40</v>
      </c>
      <c r="L325">
        <v>19</v>
      </c>
      <c r="P325" t="s">
        <v>2272</v>
      </c>
      <c r="R325" t="s">
        <v>2273</v>
      </c>
      <c r="S325">
        <v>5</v>
      </c>
      <c r="T325" t="s">
        <v>2319</v>
      </c>
      <c r="U325" t="s">
        <v>2320</v>
      </c>
    </row>
    <row r="326" spans="1:21" x14ac:dyDescent="0.25">
      <c r="A326" t="s">
        <v>2654</v>
      </c>
      <c r="B326" t="s">
        <v>4</v>
      </c>
      <c r="C326" t="s">
        <v>63</v>
      </c>
      <c r="D326" t="s">
        <v>24</v>
      </c>
      <c r="E326" t="s">
        <v>670</v>
      </c>
      <c r="F326" t="s">
        <v>451</v>
      </c>
      <c r="G326" t="s">
        <v>2271</v>
      </c>
      <c r="H326" s="20">
        <v>46250</v>
      </c>
      <c r="I326">
        <v>1800</v>
      </c>
      <c r="J326">
        <v>99</v>
      </c>
      <c r="K326">
        <v>80</v>
      </c>
      <c r="L326">
        <v>67</v>
      </c>
      <c r="P326" t="s">
        <v>2272</v>
      </c>
      <c r="R326" t="s">
        <v>2273</v>
      </c>
      <c r="S326">
        <v>4</v>
      </c>
      <c r="T326" t="s">
        <v>2274</v>
      </c>
      <c r="U326" t="s">
        <v>2275</v>
      </c>
    </row>
    <row r="327" spans="1:21" x14ac:dyDescent="0.25">
      <c r="A327" t="s">
        <v>2655</v>
      </c>
      <c r="B327" t="s">
        <v>4</v>
      </c>
      <c r="C327" t="s">
        <v>63</v>
      </c>
      <c r="D327" t="s">
        <v>24</v>
      </c>
      <c r="E327" t="s">
        <v>671</v>
      </c>
      <c r="F327" t="s">
        <v>567</v>
      </c>
      <c r="G327" t="s">
        <v>2271</v>
      </c>
      <c r="H327" s="20">
        <v>46250</v>
      </c>
      <c r="I327">
        <v>1800</v>
      </c>
      <c r="J327">
        <v>99</v>
      </c>
      <c r="K327">
        <v>80</v>
      </c>
      <c r="L327">
        <v>67</v>
      </c>
      <c r="P327" t="s">
        <v>2272</v>
      </c>
      <c r="R327" t="s">
        <v>2273</v>
      </c>
      <c r="S327">
        <v>4</v>
      </c>
      <c r="T327" t="s">
        <v>2274</v>
      </c>
      <c r="U327" t="s">
        <v>2275</v>
      </c>
    </row>
    <row r="328" spans="1:21" x14ac:dyDescent="0.25">
      <c r="A328" t="s">
        <v>2656</v>
      </c>
      <c r="B328" t="s">
        <v>4</v>
      </c>
      <c r="C328" t="s">
        <v>63</v>
      </c>
      <c r="D328" t="s">
        <v>24</v>
      </c>
      <c r="E328" t="s">
        <v>672</v>
      </c>
      <c r="F328" t="s">
        <v>513</v>
      </c>
      <c r="G328" t="s">
        <v>2271</v>
      </c>
      <c r="H328" s="20">
        <v>46250</v>
      </c>
      <c r="I328">
        <v>1800</v>
      </c>
      <c r="J328">
        <v>99</v>
      </c>
      <c r="K328">
        <v>80</v>
      </c>
      <c r="L328">
        <v>67</v>
      </c>
      <c r="P328" t="s">
        <v>2272</v>
      </c>
      <c r="R328" t="s">
        <v>2273</v>
      </c>
      <c r="S328">
        <v>4</v>
      </c>
      <c r="T328" t="s">
        <v>2274</v>
      </c>
      <c r="U328" t="s">
        <v>2275</v>
      </c>
    </row>
    <row r="329" spans="1:21" x14ac:dyDescent="0.25">
      <c r="A329" t="s">
        <v>2657</v>
      </c>
      <c r="B329" t="s">
        <v>4</v>
      </c>
      <c r="C329" t="s">
        <v>63</v>
      </c>
      <c r="D329" t="s">
        <v>24</v>
      </c>
      <c r="E329" t="s">
        <v>673</v>
      </c>
      <c r="F329" t="s">
        <v>674</v>
      </c>
      <c r="G329" t="s">
        <v>2271</v>
      </c>
      <c r="H329" s="20">
        <v>46250</v>
      </c>
      <c r="I329">
        <v>1800</v>
      </c>
      <c r="J329">
        <v>99</v>
      </c>
      <c r="K329">
        <v>80</v>
      </c>
      <c r="L329">
        <v>67</v>
      </c>
      <c r="P329" t="s">
        <v>2272</v>
      </c>
      <c r="R329" t="s">
        <v>2273</v>
      </c>
      <c r="S329">
        <v>4</v>
      </c>
      <c r="T329" t="s">
        <v>2274</v>
      </c>
      <c r="U329" t="s">
        <v>2275</v>
      </c>
    </row>
    <row r="330" spans="1:21" x14ac:dyDescent="0.25">
      <c r="A330" t="s">
        <v>2658</v>
      </c>
      <c r="B330" t="s">
        <v>4</v>
      </c>
      <c r="C330" t="s">
        <v>63</v>
      </c>
      <c r="D330" t="s">
        <v>21</v>
      </c>
      <c r="E330" t="s">
        <v>675</v>
      </c>
      <c r="F330" t="s">
        <v>676</v>
      </c>
      <c r="G330" t="s">
        <v>2444</v>
      </c>
      <c r="H330" s="20">
        <v>46254</v>
      </c>
      <c r="I330">
        <v>1500</v>
      </c>
      <c r="J330">
        <v>96</v>
      </c>
      <c r="K330">
        <v>80</v>
      </c>
      <c r="L330">
        <v>67</v>
      </c>
      <c r="P330" t="s">
        <v>2272</v>
      </c>
      <c r="Q330" t="s">
        <v>2659</v>
      </c>
      <c r="R330" t="s">
        <v>2446</v>
      </c>
      <c r="S330">
        <v>8</v>
      </c>
      <c r="T330" t="s">
        <v>2660</v>
      </c>
      <c r="U330" t="s">
        <v>2661</v>
      </c>
    </row>
    <row r="331" spans="1:21" x14ac:dyDescent="0.25">
      <c r="A331" t="s">
        <v>2662</v>
      </c>
      <c r="B331" t="s">
        <v>4</v>
      </c>
      <c r="C331" t="s">
        <v>63</v>
      </c>
      <c r="D331" t="s">
        <v>21</v>
      </c>
      <c r="E331" t="s">
        <v>677</v>
      </c>
      <c r="F331" t="s">
        <v>678</v>
      </c>
      <c r="G331" t="s">
        <v>2271</v>
      </c>
      <c r="H331" s="20">
        <v>46254</v>
      </c>
      <c r="I331">
        <v>1500</v>
      </c>
      <c r="J331">
        <v>96</v>
      </c>
      <c r="K331">
        <v>80</v>
      </c>
      <c r="L331">
        <v>66</v>
      </c>
      <c r="M331">
        <v>60</v>
      </c>
      <c r="P331" t="s">
        <v>2272</v>
      </c>
      <c r="R331" t="s">
        <v>2273</v>
      </c>
      <c r="S331">
        <v>8</v>
      </c>
      <c r="T331" t="s">
        <v>2663</v>
      </c>
      <c r="U331" t="s">
        <v>2664</v>
      </c>
    </row>
    <row r="332" spans="1:21" x14ac:dyDescent="0.25">
      <c r="A332" t="s">
        <v>2665</v>
      </c>
      <c r="B332" t="s">
        <v>4</v>
      </c>
      <c r="C332" t="s">
        <v>63</v>
      </c>
      <c r="D332" t="s">
        <v>21</v>
      </c>
      <c r="E332" t="s">
        <v>679</v>
      </c>
      <c r="F332" t="s">
        <v>464</v>
      </c>
      <c r="G332" t="s">
        <v>2444</v>
      </c>
      <c r="H332" s="20">
        <v>46254</v>
      </c>
      <c r="I332">
        <v>1500</v>
      </c>
      <c r="J332">
        <v>96</v>
      </c>
      <c r="K332">
        <v>80</v>
      </c>
      <c r="L332">
        <v>67</v>
      </c>
      <c r="P332" t="s">
        <v>2272</v>
      </c>
      <c r="Q332" t="s">
        <v>2659</v>
      </c>
      <c r="R332" t="s">
        <v>2446</v>
      </c>
      <c r="S332">
        <v>8</v>
      </c>
      <c r="T332" t="s">
        <v>2660</v>
      </c>
      <c r="U332" t="s">
        <v>2661</v>
      </c>
    </row>
    <row r="333" spans="1:21" x14ac:dyDescent="0.25">
      <c r="A333" t="s">
        <v>2666</v>
      </c>
      <c r="B333" t="s">
        <v>4</v>
      </c>
      <c r="C333" t="s">
        <v>63</v>
      </c>
      <c r="D333" t="s">
        <v>21</v>
      </c>
      <c r="E333" t="s">
        <v>680</v>
      </c>
      <c r="F333" t="s">
        <v>424</v>
      </c>
      <c r="G333" t="s">
        <v>2444</v>
      </c>
      <c r="H333" s="20">
        <v>46254</v>
      </c>
      <c r="I333">
        <v>1500</v>
      </c>
      <c r="J333">
        <v>96</v>
      </c>
      <c r="K333">
        <v>80</v>
      </c>
      <c r="L333">
        <v>67</v>
      </c>
      <c r="P333" t="s">
        <v>2272</v>
      </c>
      <c r="Q333" t="s">
        <v>2659</v>
      </c>
      <c r="R333" t="s">
        <v>2446</v>
      </c>
      <c r="S333">
        <v>8</v>
      </c>
      <c r="T333" t="s">
        <v>2660</v>
      </c>
      <c r="U333" t="s">
        <v>2661</v>
      </c>
    </row>
    <row r="334" spans="1:21" x14ac:dyDescent="0.25">
      <c r="A334" t="s">
        <v>2667</v>
      </c>
      <c r="B334" t="s">
        <v>4</v>
      </c>
      <c r="C334" t="s">
        <v>63</v>
      </c>
      <c r="D334" t="s">
        <v>21</v>
      </c>
      <c r="E334" t="s">
        <v>681</v>
      </c>
      <c r="F334" t="s">
        <v>682</v>
      </c>
      <c r="G334" t="s">
        <v>2271</v>
      </c>
      <c r="H334" s="20">
        <v>46254</v>
      </c>
      <c r="I334">
        <v>1500</v>
      </c>
      <c r="J334">
        <v>96</v>
      </c>
      <c r="K334">
        <v>80</v>
      </c>
      <c r="L334">
        <v>66</v>
      </c>
      <c r="M334">
        <v>60</v>
      </c>
      <c r="P334" t="s">
        <v>2272</v>
      </c>
      <c r="R334" t="s">
        <v>2273</v>
      </c>
      <c r="S334">
        <v>8</v>
      </c>
      <c r="T334" t="s">
        <v>2663</v>
      </c>
      <c r="U334" t="s">
        <v>2664</v>
      </c>
    </row>
    <row r="335" spans="1:21" x14ac:dyDescent="0.25">
      <c r="A335" t="s">
        <v>2668</v>
      </c>
      <c r="B335" t="s">
        <v>4</v>
      </c>
      <c r="C335" t="s">
        <v>63</v>
      </c>
      <c r="D335" t="s">
        <v>21</v>
      </c>
      <c r="E335" t="s">
        <v>683</v>
      </c>
      <c r="F335" t="s">
        <v>289</v>
      </c>
      <c r="G335" t="s">
        <v>2271</v>
      </c>
      <c r="H335" s="20">
        <v>46254</v>
      </c>
      <c r="I335">
        <v>1500</v>
      </c>
      <c r="J335">
        <v>96</v>
      </c>
      <c r="K335">
        <v>80</v>
      </c>
      <c r="L335">
        <v>66</v>
      </c>
      <c r="M335">
        <v>60</v>
      </c>
      <c r="P335" t="s">
        <v>2272</v>
      </c>
      <c r="R335" t="s">
        <v>2273</v>
      </c>
      <c r="S335">
        <v>8</v>
      </c>
      <c r="T335" t="s">
        <v>2663</v>
      </c>
      <c r="U335" t="s">
        <v>2664</v>
      </c>
    </row>
    <row r="336" spans="1:21" x14ac:dyDescent="0.25">
      <c r="A336" t="s">
        <v>2669</v>
      </c>
      <c r="B336" t="s">
        <v>4</v>
      </c>
      <c r="C336" t="s">
        <v>63</v>
      </c>
      <c r="D336" t="s">
        <v>21</v>
      </c>
      <c r="E336" t="s">
        <v>684</v>
      </c>
      <c r="F336" t="s">
        <v>685</v>
      </c>
      <c r="G336" t="s">
        <v>2271</v>
      </c>
      <c r="H336" s="20">
        <v>46254</v>
      </c>
      <c r="I336">
        <v>1500</v>
      </c>
      <c r="J336">
        <v>96</v>
      </c>
      <c r="K336">
        <v>80</v>
      </c>
      <c r="L336">
        <v>66</v>
      </c>
      <c r="M336">
        <v>60</v>
      </c>
      <c r="P336" t="s">
        <v>2272</v>
      </c>
      <c r="R336" t="s">
        <v>2273</v>
      </c>
      <c r="S336">
        <v>8</v>
      </c>
      <c r="T336" t="s">
        <v>2663</v>
      </c>
      <c r="U336" t="s">
        <v>2664</v>
      </c>
    </row>
    <row r="337" spans="1:21" x14ac:dyDescent="0.25">
      <c r="A337" t="s">
        <v>2670</v>
      </c>
      <c r="B337" t="s">
        <v>4</v>
      </c>
      <c r="C337" t="s">
        <v>63</v>
      </c>
      <c r="D337" t="s">
        <v>21</v>
      </c>
      <c r="E337" t="s">
        <v>686</v>
      </c>
      <c r="F337" t="s">
        <v>674</v>
      </c>
      <c r="G337" t="s">
        <v>2271</v>
      </c>
      <c r="H337" s="20">
        <v>46254</v>
      </c>
      <c r="I337">
        <v>1500</v>
      </c>
      <c r="J337">
        <v>96</v>
      </c>
      <c r="K337">
        <v>80</v>
      </c>
      <c r="L337">
        <v>66</v>
      </c>
      <c r="M337">
        <v>60</v>
      </c>
      <c r="P337" t="s">
        <v>2272</v>
      </c>
      <c r="R337" t="s">
        <v>2273</v>
      </c>
      <c r="S337">
        <v>8</v>
      </c>
      <c r="T337" t="s">
        <v>2663</v>
      </c>
      <c r="U337" t="s">
        <v>2664</v>
      </c>
    </row>
    <row r="338" spans="1:21" x14ac:dyDescent="0.25">
      <c r="A338" t="s">
        <v>2671</v>
      </c>
      <c r="B338" t="s">
        <v>4</v>
      </c>
      <c r="C338" t="s">
        <v>67</v>
      </c>
      <c r="D338" t="s">
        <v>24</v>
      </c>
      <c r="E338" t="s">
        <v>688</v>
      </c>
      <c r="F338" t="s">
        <v>689</v>
      </c>
      <c r="G338" t="s">
        <v>2271</v>
      </c>
      <c r="H338" s="20">
        <v>46250</v>
      </c>
      <c r="I338">
        <v>1800</v>
      </c>
      <c r="J338">
        <v>68</v>
      </c>
      <c r="K338">
        <v>55</v>
      </c>
      <c r="L338">
        <v>50</v>
      </c>
      <c r="M338">
        <v>43</v>
      </c>
      <c r="P338" t="s">
        <v>2272</v>
      </c>
      <c r="R338" t="s">
        <v>2273</v>
      </c>
      <c r="S338">
        <v>4</v>
      </c>
      <c r="T338" t="s">
        <v>2274</v>
      </c>
      <c r="U338" t="s">
        <v>2275</v>
      </c>
    </row>
    <row r="339" spans="1:21" x14ac:dyDescent="0.25">
      <c r="A339" t="s">
        <v>2672</v>
      </c>
      <c r="B339" t="s">
        <v>4</v>
      </c>
      <c r="C339" t="s">
        <v>67</v>
      </c>
      <c r="D339" t="s">
        <v>24</v>
      </c>
      <c r="E339" t="s">
        <v>690</v>
      </c>
      <c r="F339" t="s">
        <v>396</v>
      </c>
      <c r="G339" t="s">
        <v>2271</v>
      </c>
      <c r="H339" s="20">
        <v>46250</v>
      </c>
      <c r="I339">
        <v>1800</v>
      </c>
      <c r="J339">
        <v>68</v>
      </c>
      <c r="K339">
        <v>55</v>
      </c>
      <c r="L339">
        <v>50</v>
      </c>
      <c r="M339">
        <v>43</v>
      </c>
      <c r="P339" t="s">
        <v>2272</v>
      </c>
      <c r="R339" t="s">
        <v>2273</v>
      </c>
      <c r="S339">
        <v>4</v>
      </c>
      <c r="T339" t="s">
        <v>2274</v>
      </c>
      <c r="U339" t="s">
        <v>2275</v>
      </c>
    </row>
    <row r="340" spans="1:21" x14ac:dyDescent="0.25">
      <c r="A340" t="s">
        <v>2673</v>
      </c>
      <c r="B340" t="s">
        <v>4</v>
      </c>
      <c r="C340" t="s">
        <v>67</v>
      </c>
      <c r="D340" t="s">
        <v>24</v>
      </c>
      <c r="E340" t="s">
        <v>691</v>
      </c>
      <c r="F340" t="s">
        <v>188</v>
      </c>
      <c r="G340" t="s">
        <v>2271</v>
      </c>
      <c r="H340" s="20">
        <v>46250</v>
      </c>
      <c r="I340">
        <v>1800</v>
      </c>
      <c r="J340">
        <v>68</v>
      </c>
      <c r="K340">
        <v>55</v>
      </c>
      <c r="L340">
        <v>50</v>
      </c>
      <c r="M340">
        <v>43</v>
      </c>
      <c r="P340" t="s">
        <v>2272</v>
      </c>
      <c r="R340" t="s">
        <v>2273</v>
      </c>
      <c r="S340">
        <v>4</v>
      </c>
      <c r="T340" t="s">
        <v>2274</v>
      </c>
      <c r="U340" t="s">
        <v>2275</v>
      </c>
    </row>
    <row r="341" spans="1:21" x14ac:dyDescent="0.25">
      <c r="A341" t="s">
        <v>2674</v>
      </c>
      <c r="B341" t="s">
        <v>4</v>
      </c>
      <c r="C341" t="s">
        <v>67</v>
      </c>
      <c r="D341" t="s">
        <v>24</v>
      </c>
      <c r="E341" t="s">
        <v>692</v>
      </c>
      <c r="F341" t="s">
        <v>693</v>
      </c>
      <c r="G341" t="s">
        <v>2271</v>
      </c>
      <c r="H341" s="20">
        <v>46250</v>
      </c>
      <c r="I341">
        <v>1800</v>
      </c>
      <c r="J341">
        <v>68</v>
      </c>
      <c r="K341">
        <v>55</v>
      </c>
      <c r="L341">
        <v>50</v>
      </c>
      <c r="M341">
        <v>43</v>
      </c>
      <c r="P341" t="s">
        <v>2272</v>
      </c>
      <c r="R341" t="s">
        <v>2273</v>
      </c>
      <c r="S341">
        <v>4</v>
      </c>
      <c r="T341" t="s">
        <v>2274</v>
      </c>
      <c r="U341" t="s">
        <v>2275</v>
      </c>
    </row>
    <row r="342" spans="1:21" x14ac:dyDescent="0.25">
      <c r="A342" t="s">
        <v>2675</v>
      </c>
      <c r="B342" t="s">
        <v>4</v>
      </c>
      <c r="C342" t="s">
        <v>67</v>
      </c>
      <c r="D342" t="s">
        <v>24</v>
      </c>
      <c r="E342" t="s">
        <v>694</v>
      </c>
      <c r="F342" t="s">
        <v>693</v>
      </c>
      <c r="G342" t="s">
        <v>2271</v>
      </c>
      <c r="H342" s="20">
        <v>46250</v>
      </c>
      <c r="I342">
        <v>1800</v>
      </c>
      <c r="J342">
        <v>68</v>
      </c>
      <c r="K342">
        <v>55</v>
      </c>
      <c r="L342">
        <v>50</v>
      </c>
      <c r="M342">
        <v>43</v>
      </c>
      <c r="P342" t="s">
        <v>2272</v>
      </c>
      <c r="R342" t="s">
        <v>2273</v>
      </c>
      <c r="S342">
        <v>4</v>
      </c>
      <c r="T342" t="s">
        <v>2274</v>
      </c>
      <c r="U342" t="s">
        <v>2275</v>
      </c>
    </row>
    <row r="343" spans="1:21" x14ac:dyDescent="0.25">
      <c r="A343" t="s">
        <v>2676</v>
      </c>
      <c r="B343" t="s">
        <v>4</v>
      </c>
      <c r="C343" t="s">
        <v>67</v>
      </c>
      <c r="D343" t="s">
        <v>21</v>
      </c>
      <c r="E343" t="s">
        <v>695</v>
      </c>
      <c r="F343" t="s">
        <v>282</v>
      </c>
      <c r="G343" t="s">
        <v>2444</v>
      </c>
      <c r="H343" s="20">
        <v>46254</v>
      </c>
      <c r="I343">
        <v>1500</v>
      </c>
      <c r="J343">
        <v>64</v>
      </c>
      <c r="K343">
        <v>53</v>
      </c>
      <c r="L343">
        <v>45</v>
      </c>
      <c r="P343" t="s">
        <v>2272</v>
      </c>
      <c r="Q343" t="s">
        <v>2677</v>
      </c>
      <c r="R343" t="s">
        <v>2446</v>
      </c>
      <c r="S343">
        <v>5</v>
      </c>
      <c r="T343" t="s">
        <v>2319</v>
      </c>
      <c r="U343" t="s">
        <v>2320</v>
      </c>
    </row>
    <row r="344" spans="1:21" x14ac:dyDescent="0.25">
      <c r="A344" t="s">
        <v>2678</v>
      </c>
      <c r="B344" t="s">
        <v>4</v>
      </c>
      <c r="C344" t="s">
        <v>67</v>
      </c>
      <c r="D344" t="s">
        <v>21</v>
      </c>
      <c r="E344" t="s">
        <v>696</v>
      </c>
      <c r="F344" t="s">
        <v>455</v>
      </c>
      <c r="G344" t="s">
        <v>2271</v>
      </c>
      <c r="H344" s="20">
        <v>46254</v>
      </c>
      <c r="I344">
        <v>1500</v>
      </c>
      <c r="J344">
        <v>62</v>
      </c>
      <c r="K344">
        <v>50</v>
      </c>
      <c r="L344">
        <v>42</v>
      </c>
      <c r="P344" t="s">
        <v>2272</v>
      </c>
      <c r="R344" t="s">
        <v>2273</v>
      </c>
      <c r="S344">
        <v>5</v>
      </c>
      <c r="T344" t="s">
        <v>2319</v>
      </c>
      <c r="U344" t="s">
        <v>2320</v>
      </c>
    </row>
    <row r="345" spans="1:21" x14ac:dyDescent="0.25">
      <c r="A345" t="s">
        <v>2679</v>
      </c>
      <c r="B345" t="s">
        <v>4</v>
      </c>
      <c r="C345" t="s">
        <v>67</v>
      </c>
      <c r="D345" t="s">
        <v>21</v>
      </c>
      <c r="E345" t="s">
        <v>697</v>
      </c>
      <c r="F345" t="s">
        <v>678</v>
      </c>
      <c r="G345" t="s">
        <v>2271</v>
      </c>
      <c r="H345" s="20">
        <v>46254</v>
      </c>
      <c r="I345">
        <v>1500</v>
      </c>
      <c r="J345">
        <v>62</v>
      </c>
      <c r="K345">
        <v>50</v>
      </c>
      <c r="L345">
        <v>42</v>
      </c>
      <c r="P345" t="s">
        <v>2272</v>
      </c>
      <c r="R345" t="s">
        <v>2273</v>
      </c>
      <c r="S345">
        <v>5</v>
      </c>
      <c r="T345" t="s">
        <v>2319</v>
      </c>
      <c r="U345" t="s">
        <v>2320</v>
      </c>
    </row>
    <row r="346" spans="1:21" x14ac:dyDescent="0.25">
      <c r="A346" t="s">
        <v>2680</v>
      </c>
      <c r="B346" t="s">
        <v>4</v>
      </c>
      <c r="C346" t="s">
        <v>67</v>
      </c>
      <c r="D346" t="s">
        <v>21</v>
      </c>
      <c r="E346" t="s">
        <v>698</v>
      </c>
      <c r="F346" t="s">
        <v>244</v>
      </c>
      <c r="G346" t="s">
        <v>2271</v>
      </c>
      <c r="H346" s="20">
        <v>46254</v>
      </c>
      <c r="I346">
        <v>1500</v>
      </c>
      <c r="J346">
        <v>62</v>
      </c>
      <c r="K346">
        <v>50</v>
      </c>
      <c r="L346">
        <v>42</v>
      </c>
      <c r="P346" t="s">
        <v>2272</v>
      </c>
      <c r="R346" t="s">
        <v>2273</v>
      </c>
      <c r="S346">
        <v>5</v>
      </c>
      <c r="T346" t="s">
        <v>2319</v>
      </c>
      <c r="U346" t="s">
        <v>2320</v>
      </c>
    </row>
    <row r="347" spans="1:21" x14ac:dyDescent="0.25">
      <c r="A347" t="s">
        <v>2681</v>
      </c>
      <c r="B347" t="s">
        <v>4</v>
      </c>
      <c r="C347" t="s">
        <v>67</v>
      </c>
      <c r="D347" t="s">
        <v>21</v>
      </c>
      <c r="E347" t="s">
        <v>699</v>
      </c>
      <c r="F347" t="s">
        <v>244</v>
      </c>
      <c r="G347" t="s">
        <v>2271</v>
      </c>
      <c r="H347" s="20">
        <v>46254</v>
      </c>
      <c r="I347">
        <v>1500</v>
      </c>
      <c r="J347">
        <v>62</v>
      </c>
      <c r="K347">
        <v>50</v>
      </c>
      <c r="L347">
        <v>42</v>
      </c>
      <c r="P347" t="s">
        <v>2272</v>
      </c>
      <c r="R347" t="s">
        <v>2273</v>
      </c>
      <c r="S347">
        <v>5</v>
      </c>
      <c r="T347" t="s">
        <v>2319</v>
      </c>
      <c r="U347" t="s">
        <v>2320</v>
      </c>
    </row>
    <row r="348" spans="1:21" x14ac:dyDescent="0.25">
      <c r="A348" t="s">
        <v>2682</v>
      </c>
      <c r="B348" t="s">
        <v>4</v>
      </c>
      <c r="C348" t="s">
        <v>67</v>
      </c>
      <c r="D348" t="s">
        <v>21</v>
      </c>
      <c r="E348" t="s">
        <v>700</v>
      </c>
      <c r="F348" t="s">
        <v>170</v>
      </c>
      <c r="G348" t="s">
        <v>2271</v>
      </c>
      <c r="H348" s="20">
        <v>46254</v>
      </c>
      <c r="I348">
        <v>1500</v>
      </c>
      <c r="J348">
        <v>62</v>
      </c>
      <c r="K348">
        <v>50</v>
      </c>
      <c r="L348">
        <v>42</v>
      </c>
      <c r="P348" t="s">
        <v>2272</v>
      </c>
      <c r="R348" t="s">
        <v>2273</v>
      </c>
      <c r="S348">
        <v>5</v>
      </c>
      <c r="T348" t="s">
        <v>2319</v>
      </c>
      <c r="U348" t="s">
        <v>2320</v>
      </c>
    </row>
    <row r="349" spans="1:21" x14ac:dyDescent="0.25">
      <c r="A349" t="s">
        <v>2683</v>
      </c>
      <c r="B349" t="s">
        <v>4</v>
      </c>
      <c r="C349" t="s">
        <v>67</v>
      </c>
      <c r="D349" t="s">
        <v>21</v>
      </c>
      <c r="E349" t="s">
        <v>701</v>
      </c>
      <c r="F349" t="s">
        <v>400</v>
      </c>
      <c r="G349" t="s">
        <v>2444</v>
      </c>
      <c r="H349" s="20">
        <v>46254</v>
      </c>
      <c r="I349">
        <v>1500</v>
      </c>
      <c r="J349">
        <v>64</v>
      </c>
      <c r="K349">
        <v>53</v>
      </c>
      <c r="L349">
        <v>45</v>
      </c>
      <c r="P349" t="s">
        <v>2272</v>
      </c>
      <c r="Q349" t="s">
        <v>2677</v>
      </c>
      <c r="R349" t="s">
        <v>2446</v>
      </c>
      <c r="S349">
        <v>5</v>
      </c>
      <c r="T349" t="s">
        <v>2319</v>
      </c>
      <c r="U349" t="s">
        <v>2320</v>
      </c>
    </row>
    <row r="350" spans="1:21" x14ac:dyDescent="0.25">
      <c r="A350" t="s">
        <v>2684</v>
      </c>
      <c r="B350" t="s">
        <v>4</v>
      </c>
      <c r="C350" t="s">
        <v>73</v>
      </c>
      <c r="D350" t="s">
        <v>24</v>
      </c>
      <c r="E350" t="s">
        <v>703</v>
      </c>
      <c r="F350" t="s">
        <v>157</v>
      </c>
      <c r="G350" t="s">
        <v>2271</v>
      </c>
      <c r="H350" s="20">
        <v>46250</v>
      </c>
      <c r="I350">
        <v>1800</v>
      </c>
      <c r="J350">
        <v>64</v>
      </c>
      <c r="K350">
        <v>46</v>
      </c>
      <c r="L350">
        <v>39</v>
      </c>
      <c r="M350">
        <v>35</v>
      </c>
      <c r="P350" t="s">
        <v>2272</v>
      </c>
      <c r="R350" t="s">
        <v>2273</v>
      </c>
      <c r="S350">
        <v>4</v>
      </c>
      <c r="T350" t="s">
        <v>2274</v>
      </c>
      <c r="U350" t="s">
        <v>2275</v>
      </c>
    </row>
    <row r="351" spans="1:21" x14ac:dyDescent="0.25">
      <c r="A351" t="s">
        <v>2685</v>
      </c>
      <c r="B351" t="s">
        <v>4</v>
      </c>
      <c r="C351" t="s">
        <v>73</v>
      </c>
      <c r="D351" t="s">
        <v>24</v>
      </c>
      <c r="E351" t="s">
        <v>704</v>
      </c>
      <c r="F351" t="s">
        <v>443</v>
      </c>
      <c r="G351" t="s">
        <v>2271</v>
      </c>
      <c r="H351" s="20">
        <v>46250</v>
      </c>
      <c r="I351">
        <v>1800</v>
      </c>
      <c r="J351">
        <v>64</v>
      </c>
      <c r="K351">
        <v>46</v>
      </c>
      <c r="L351">
        <v>39</v>
      </c>
      <c r="M351">
        <v>35</v>
      </c>
      <c r="P351" t="s">
        <v>2272</v>
      </c>
      <c r="R351" t="s">
        <v>2273</v>
      </c>
      <c r="S351">
        <v>4</v>
      </c>
      <c r="T351" t="s">
        <v>2274</v>
      </c>
      <c r="U351" t="s">
        <v>2275</v>
      </c>
    </row>
    <row r="352" spans="1:21" x14ac:dyDescent="0.25">
      <c r="A352" t="s">
        <v>2686</v>
      </c>
      <c r="B352" t="s">
        <v>4</v>
      </c>
      <c r="C352" t="s">
        <v>73</v>
      </c>
      <c r="D352" t="s">
        <v>24</v>
      </c>
      <c r="E352" t="s">
        <v>705</v>
      </c>
      <c r="F352" t="s">
        <v>172</v>
      </c>
      <c r="G352" t="s">
        <v>2271</v>
      </c>
      <c r="H352" s="20">
        <v>46250</v>
      </c>
      <c r="I352">
        <v>1800</v>
      </c>
      <c r="J352">
        <v>64</v>
      </c>
      <c r="K352">
        <v>46</v>
      </c>
      <c r="L352">
        <v>39</v>
      </c>
      <c r="M352">
        <v>35</v>
      </c>
      <c r="P352" t="s">
        <v>2272</v>
      </c>
      <c r="R352" t="s">
        <v>2273</v>
      </c>
      <c r="S352">
        <v>4</v>
      </c>
      <c r="T352" t="s">
        <v>2274</v>
      </c>
      <c r="U352" t="s">
        <v>2275</v>
      </c>
    </row>
    <row r="353" spans="1:21" x14ac:dyDescent="0.25">
      <c r="A353" t="s">
        <v>2687</v>
      </c>
      <c r="B353" t="s">
        <v>4</v>
      </c>
      <c r="C353" t="s">
        <v>73</v>
      </c>
      <c r="D353" t="s">
        <v>24</v>
      </c>
      <c r="E353" t="s">
        <v>706</v>
      </c>
      <c r="F353" t="s">
        <v>225</v>
      </c>
      <c r="G353" t="s">
        <v>2271</v>
      </c>
      <c r="H353" s="20">
        <v>46250</v>
      </c>
      <c r="I353">
        <v>1800</v>
      </c>
      <c r="J353">
        <v>64</v>
      </c>
      <c r="K353">
        <v>46</v>
      </c>
      <c r="L353">
        <v>39</v>
      </c>
      <c r="M353">
        <v>35</v>
      </c>
      <c r="P353" t="s">
        <v>2272</v>
      </c>
      <c r="R353" t="s">
        <v>2273</v>
      </c>
      <c r="S353">
        <v>4</v>
      </c>
      <c r="T353" t="s">
        <v>2274</v>
      </c>
      <c r="U353" t="s">
        <v>2275</v>
      </c>
    </row>
    <row r="354" spans="1:21" x14ac:dyDescent="0.25">
      <c r="A354" t="s">
        <v>2688</v>
      </c>
      <c r="B354" t="s">
        <v>4</v>
      </c>
      <c r="C354" t="s">
        <v>73</v>
      </c>
      <c r="D354" t="s">
        <v>21</v>
      </c>
      <c r="E354" t="s">
        <v>707</v>
      </c>
      <c r="F354" t="s">
        <v>326</v>
      </c>
      <c r="G354" t="s">
        <v>2271</v>
      </c>
      <c r="H354" s="20">
        <v>46254</v>
      </c>
      <c r="I354">
        <v>1500</v>
      </c>
      <c r="J354">
        <v>75</v>
      </c>
      <c r="K354">
        <v>58</v>
      </c>
      <c r="L354">
        <v>47</v>
      </c>
      <c r="M354">
        <v>25</v>
      </c>
      <c r="P354" t="s">
        <v>2272</v>
      </c>
      <c r="R354" t="s">
        <v>2273</v>
      </c>
      <c r="S354">
        <v>5</v>
      </c>
      <c r="T354" t="s">
        <v>2319</v>
      </c>
      <c r="U354" t="s">
        <v>2320</v>
      </c>
    </row>
    <row r="355" spans="1:21" x14ac:dyDescent="0.25">
      <c r="A355" t="s">
        <v>2689</v>
      </c>
      <c r="B355" t="s">
        <v>4</v>
      </c>
      <c r="C355" t="s">
        <v>73</v>
      </c>
      <c r="D355" t="s">
        <v>21</v>
      </c>
      <c r="E355" t="s">
        <v>708</v>
      </c>
      <c r="F355" t="s">
        <v>131</v>
      </c>
      <c r="G355" t="s">
        <v>2271</v>
      </c>
      <c r="H355" s="20">
        <v>46254</v>
      </c>
      <c r="I355">
        <v>1500</v>
      </c>
      <c r="J355">
        <v>75</v>
      </c>
      <c r="K355">
        <v>58</v>
      </c>
      <c r="L355">
        <v>47</v>
      </c>
      <c r="M355">
        <v>25</v>
      </c>
      <c r="P355" t="s">
        <v>2272</v>
      </c>
      <c r="R355" t="s">
        <v>2273</v>
      </c>
      <c r="S355">
        <v>5</v>
      </c>
      <c r="T355" t="s">
        <v>2319</v>
      </c>
      <c r="U355" t="s">
        <v>2320</v>
      </c>
    </row>
    <row r="356" spans="1:21" x14ac:dyDescent="0.25">
      <c r="A356" t="s">
        <v>2690</v>
      </c>
      <c r="B356" t="s">
        <v>4</v>
      </c>
      <c r="C356" t="s">
        <v>73</v>
      </c>
      <c r="D356" t="s">
        <v>21</v>
      </c>
      <c r="E356" t="s">
        <v>709</v>
      </c>
      <c r="F356" t="s">
        <v>76</v>
      </c>
      <c r="G356" t="s">
        <v>2271</v>
      </c>
      <c r="H356" s="20">
        <v>46254</v>
      </c>
      <c r="I356">
        <v>1500</v>
      </c>
      <c r="J356">
        <v>75</v>
      </c>
      <c r="K356">
        <v>58</v>
      </c>
      <c r="L356">
        <v>47</v>
      </c>
      <c r="M356">
        <v>25</v>
      </c>
      <c r="P356" t="s">
        <v>2272</v>
      </c>
      <c r="R356" t="s">
        <v>2273</v>
      </c>
      <c r="S356">
        <v>5</v>
      </c>
      <c r="T356" t="s">
        <v>2319</v>
      </c>
      <c r="U356" t="s">
        <v>2320</v>
      </c>
    </row>
    <row r="357" spans="1:21" x14ac:dyDescent="0.25">
      <c r="A357" t="s">
        <v>2691</v>
      </c>
      <c r="B357" t="s">
        <v>4</v>
      </c>
      <c r="C357" t="s">
        <v>73</v>
      </c>
      <c r="D357" t="s">
        <v>21</v>
      </c>
      <c r="E357" t="s">
        <v>710</v>
      </c>
      <c r="F357" t="s">
        <v>711</v>
      </c>
      <c r="G357" t="s">
        <v>2271</v>
      </c>
      <c r="H357" s="20">
        <v>46254</v>
      </c>
      <c r="I357">
        <v>1500</v>
      </c>
      <c r="J357">
        <v>75</v>
      </c>
      <c r="K357">
        <v>58</v>
      </c>
      <c r="L357">
        <v>47</v>
      </c>
      <c r="M357">
        <v>25</v>
      </c>
      <c r="P357" t="s">
        <v>2272</v>
      </c>
      <c r="R357" t="s">
        <v>2273</v>
      </c>
      <c r="S357">
        <v>5</v>
      </c>
      <c r="T357" t="s">
        <v>2319</v>
      </c>
      <c r="U357" t="s">
        <v>2320</v>
      </c>
    </row>
    <row r="358" spans="1:21" x14ac:dyDescent="0.25">
      <c r="A358" t="s">
        <v>2692</v>
      </c>
      <c r="B358" t="s">
        <v>4</v>
      </c>
      <c r="C358" t="s">
        <v>73</v>
      </c>
      <c r="D358" t="s">
        <v>21</v>
      </c>
      <c r="E358" t="s">
        <v>712</v>
      </c>
      <c r="F358" t="s">
        <v>378</v>
      </c>
      <c r="G358" t="s">
        <v>2271</v>
      </c>
      <c r="H358" s="20">
        <v>46254</v>
      </c>
      <c r="I358">
        <v>1500</v>
      </c>
      <c r="J358">
        <v>75</v>
      </c>
      <c r="K358">
        <v>58</v>
      </c>
      <c r="L358">
        <v>47</v>
      </c>
      <c r="M358">
        <v>25</v>
      </c>
      <c r="P358" t="s">
        <v>2272</v>
      </c>
      <c r="R358" t="s">
        <v>2273</v>
      </c>
      <c r="S358">
        <v>5</v>
      </c>
      <c r="T358" t="s">
        <v>2319</v>
      </c>
      <c r="U358" t="s">
        <v>2320</v>
      </c>
    </row>
    <row r="359" spans="1:21" x14ac:dyDescent="0.25">
      <c r="A359" t="s">
        <v>2693</v>
      </c>
      <c r="B359" t="s">
        <v>4</v>
      </c>
      <c r="C359" t="s">
        <v>73</v>
      </c>
      <c r="D359" t="s">
        <v>26</v>
      </c>
      <c r="E359" t="s">
        <v>713</v>
      </c>
      <c r="F359" t="s">
        <v>388</v>
      </c>
      <c r="H359" s="20"/>
      <c r="P359" t="s">
        <v>2291</v>
      </c>
      <c r="R359" t="s">
        <v>2292</v>
      </c>
    </row>
    <row r="360" spans="1:21" x14ac:dyDescent="0.25">
      <c r="A360" t="s">
        <v>2694</v>
      </c>
      <c r="B360" t="s">
        <v>4</v>
      </c>
      <c r="C360" t="s">
        <v>79</v>
      </c>
      <c r="D360" t="s">
        <v>24</v>
      </c>
      <c r="E360" t="s">
        <v>715</v>
      </c>
      <c r="F360" t="s">
        <v>716</v>
      </c>
      <c r="G360" t="s">
        <v>2271</v>
      </c>
      <c r="H360" s="20">
        <v>46250</v>
      </c>
      <c r="I360">
        <v>1800</v>
      </c>
      <c r="J360">
        <v>82</v>
      </c>
      <c r="K360">
        <v>72</v>
      </c>
      <c r="L360">
        <v>71</v>
      </c>
      <c r="P360" t="s">
        <v>2272</v>
      </c>
      <c r="R360" t="s">
        <v>2273</v>
      </c>
      <c r="S360">
        <v>4</v>
      </c>
      <c r="T360" t="s">
        <v>2274</v>
      </c>
      <c r="U360" t="s">
        <v>2275</v>
      </c>
    </row>
    <row r="361" spans="1:21" x14ac:dyDescent="0.25">
      <c r="A361" t="s">
        <v>2695</v>
      </c>
      <c r="B361" t="s">
        <v>4</v>
      </c>
      <c r="C361" t="s">
        <v>81</v>
      </c>
      <c r="D361" t="s">
        <v>21</v>
      </c>
      <c r="E361" t="s">
        <v>718</v>
      </c>
      <c r="F361" t="s">
        <v>307</v>
      </c>
      <c r="G361" t="s">
        <v>2444</v>
      </c>
      <c r="H361" s="20">
        <v>46254</v>
      </c>
      <c r="I361">
        <v>1500</v>
      </c>
      <c r="J361">
        <v>83</v>
      </c>
      <c r="K361">
        <v>63</v>
      </c>
      <c r="L361">
        <v>60</v>
      </c>
      <c r="P361" t="s">
        <v>2272</v>
      </c>
      <c r="R361" t="s">
        <v>2273</v>
      </c>
      <c r="S361">
        <v>25</v>
      </c>
      <c r="T361" t="s">
        <v>2696</v>
      </c>
      <c r="U361" t="s">
        <v>2697</v>
      </c>
    </row>
    <row r="362" spans="1:21" x14ac:dyDescent="0.25">
      <c r="A362" t="s">
        <v>2698</v>
      </c>
      <c r="B362" t="s">
        <v>4</v>
      </c>
      <c r="C362" t="s">
        <v>83</v>
      </c>
      <c r="D362" t="s">
        <v>24</v>
      </c>
      <c r="E362" t="s">
        <v>720</v>
      </c>
      <c r="F362" t="s">
        <v>119</v>
      </c>
      <c r="G362" t="s">
        <v>2271</v>
      </c>
      <c r="H362" s="20">
        <v>46250</v>
      </c>
      <c r="I362">
        <v>1800</v>
      </c>
      <c r="J362">
        <v>41</v>
      </c>
      <c r="K362">
        <v>33</v>
      </c>
      <c r="L362">
        <v>29</v>
      </c>
      <c r="P362" t="s">
        <v>2272</v>
      </c>
      <c r="R362" t="s">
        <v>2273</v>
      </c>
      <c r="S362">
        <v>4</v>
      </c>
      <c r="T362" t="s">
        <v>2274</v>
      </c>
      <c r="U362" t="s">
        <v>2275</v>
      </c>
    </row>
    <row r="363" spans="1:21" x14ac:dyDescent="0.25">
      <c r="A363" t="s">
        <v>2699</v>
      </c>
      <c r="B363" t="s">
        <v>4</v>
      </c>
      <c r="C363" t="s">
        <v>83</v>
      </c>
      <c r="D363" t="s">
        <v>24</v>
      </c>
      <c r="E363" t="s">
        <v>721</v>
      </c>
      <c r="F363" t="s">
        <v>112</v>
      </c>
      <c r="G363" t="s">
        <v>2271</v>
      </c>
      <c r="H363" s="20">
        <v>46250</v>
      </c>
      <c r="I363">
        <v>1800</v>
      </c>
      <c r="J363">
        <v>41</v>
      </c>
      <c r="K363">
        <v>33</v>
      </c>
      <c r="L363">
        <v>29</v>
      </c>
      <c r="P363" t="s">
        <v>2272</v>
      </c>
      <c r="R363" t="s">
        <v>2273</v>
      </c>
      <c r="S363">
        <v>4</v>
      </c>
      <c r="T363" t="s">
        <v>2274</v>
      </c>
      <c r="U363" t="s">
        <v>2275</v>
      </c>
    </row>
    <row r="364" spans="1:21" x14ac:dyDescent="0.25">
      <c r="A364" t="s">
        <v>2700</v>
      </c>
      <c r="B364" t="s">
        <v>4</v>
      </c>
      <c r="C364" t="s">
        <v>83</v>
      </c>
      <c r="D364" t="s">
        <v>24</v>
      </c>
      <c r="E364" t="s">
        <v>722</v>
      </c>
      <c r="F364" t="s">
        <v>291</v>
      </c>
      <c r="G364" t="s">
        <v>2271</v>
      </c>
      <c r="H364" s="20">
        <v>46250</v>
      </c>
      <c r="I364">
        <v>1800</v>
      </c>
      <c r="J364">
        <v>41</v>
      </c>
      <c r="K364">
        <v>33</v>
      </c>
      <c r="L364">
        <v>29</v>
      </c>
      <c r="P364" t="s">
        <v>2272</v>
      </c>
      <c r="R364" t="s">
        <v>2273</v>
      </c>
      <c r="S364">
        <v>4</v>
      </c>
      <c r="T364" t="s">
        <v>2274</v>
      </c>
      <c r="U364" t="s">
        <v>2275</v>
      </c>
    </row>
    <row r="365" spans="1:21" x14ac:dyDescent="0.25">
      <c r="A365" t="s">
        <v>2701</v>
      </c>
      <c r="B365" t="s">
        <v>4</v>
      </c>
      <c r="C365" t="s">
        <v>83</v>
      </c>
      <c r="D365" t="s">
        <v>24</v>
      </c>
      <c r="E365" t="s">
        <v>723</v>
      </c>
      <c r="F365" t="s">
        <v>392</v>
      </c>
      <c r="G365" t="s">
        <v>2271</v>
      </c>
      <c r="H365" s="20">
        <v>46250</v>
      </c>
      <c r="I365">
        <v>1800</v>
      </c>
      <c r="J365">
        <v>41</v>
      </c>
      <c r="K365">
        <v>33</v>
      </c>
      <c r="L365">
        <v>29</v>
      </c>
      <c r="P365" t="s">
        <v>2272</v>
      </c>
      <c r="R365" t="s">
        <v>2273</v>
      </c>
      <c r="S365">
        <v>4</v>
      </c>
      <c r="T365" t="s">
        <v>2274</v>
      </c>
      <c r="U365" t="s">
        <v>2275</v>
      </c>
    </row>
    <row r="366" spans="1:21" x14ac:dyDescent="0.25">
      <c r="A366" t="s">
        <v>2702</v>
      </c>
      <c r="B366" t="s">
        <v>4</v>
      </c>
      <c r="C366" t="s">
        <v>83</v>
      </c>
      <c r="D366" t="s">
        <v>21</v>
      </c>
      <c r="E366" t="s">
        <v>724</v>
      </c>
      <c r="F366" t="s">
        <v>307</v>
      </c>
      <c r="G366" t="s">
        <v>2271</v>
      </c>
      <c r="H366" s="20">
        <v>46254</v>
      </c>
      <c r="I366">
        <v>1500</v>
      </c>
      <c r="J366">
        <v>46</v>
      </c>
      <c r="K366">
        <v>23</v>
      </c>
      <c r="L366">
        <v>18</v>
      </c>
      <c r="P366" t="s">
        <v>2272</v>
      </c>
      <c r="R366" t="s">
        <v>2273</v>
      </c>
      <c r="S366">
        <v>5</v>
      </c>
      <c r="T366" t="s">
        <v>2319</v>
      </c>
      <c r="U366" t="s">
        <v>2320</v>
      </c>
    </row>
    <row r="367" spans="1:21" x14ac:dyDescent="0.25">
      <c r="A367" t="s">
        <v>2703</v>
      </c>
      <c r="B367" t="s">
        <v>4</v>
      </c>
      <c r="C367" t="s">
        <v>83</v>
      </c>
      <c r="D367" t="s">
        <v>21</v>
      </c>
      <c r="E367" t="s">
        <v>725</v>
      </c>
      <c r="F367" t="s">
        <v>726</v>
      </c>
      <c r="G367" t="s">
        <v>2271</v>
      </c>
      <c r="H367" s="20">
        <v>46254</v>
      </c>
      <c r="I367">
        <v>1500</v>
      </c>
      <c r="J367">
        <v>46</v>
      </c>
      <c r="K367">
        <v>23</v>
      </c>
      <c r="L367">
        <v>18</v>
      </c>
      <c r="P367" t="s">
        <v>2272</v>
      </c>
      <c r="R367" t="s">
        <v>2273</v>
      </c>
      <c r="S367">
        <v>5</v>
      </c>
      <c r="T367" t="s">
        <v>2319</v>
      </c>
      <c r="U367" t="s">
        <v>2320</v>
      </c>
    </row>
    <row r="368" spans="1:21" x14ac:dyDescent="0.25">
      <c r="A368" t="s">
        <v>2704</v>
      </c>
      <c r="B368" t="s">
        <v>4</v>
      </c>
      <c r="C368" t="s">
        <v>83</v>
      </c>
      <c r="D368" t="s">
        <v>21</v>
      </c>
      <c r="E368" t="s">
        <v>727</v>
      </c>
      <c r="F368" t="s">
        <v>668</v>
      </c>
      <c r="G368" t="s">
        <v>2271</v>
      </c>
      <c r="H368" s="20">
        <v>46254</v>
      </c>
      <c r="I368">
        <v>1500</v>
      </c>
      <c r="J368">
        <v>46</v>
      </c>
      <c r="K368">
        <v>23</v>
      </c>
      <c r="L368">
        <v>18</v>
      </c>
      <c r="P368" t="s">
        <v>2272</v>
      </c>
      <c r="R368" t="s">
        <v>2273</v>
      </c>
      <c r="S368">
        <v>5</v>
      </c>
      <c r="T368" t="s">
        <v>2319</v>
      </c>
      <c r="U368" t="s">
        <v>2320</v>
      </c>
    </row>
    <row r="369" spans="1:21" x14ac:dyDescent="0.25">
      <c r="A369" t="s">
        <v>2705</v>
      </c>
      <c r="B369" t="s">
        <v>4</v>
      </c>
      <c r="C369" t="s">
        <v>83</v>
      </c>
      <c r="D369" t="s">
        <v>21</v>
      </c>
      <c r="E369" t="s">
        <v>728</v>
      </c>
      <c r="F369" t="s">
        <v>729</v>
      </c>
      <c r="G369" t="s">
        <v>2271</v>
      </c>
      <c r="H369" s="20">
        <v>46254</v>
      </c>
      <c r="I369">
        <v>1500</v>
      </c>
      <c r="J369">
        <v>46</v>
      </c>
      <c r="K369">
        <v>23</v>
      </c>
      <c r="L369">
        <v>18</v>
      </c>
      <c r="P369" t="s">
        <v>2272</v>
      </c>
      <c r="R369" t="s">
        <v>2273</v>
      </c>
      <c r="S369">
        <v>5</v>
      </c>
      <c r="T369" t="s">
        <v>2319</v>
      </c>
      <c r="U369" t="s">
        <v>2320</v>
      </c>
    </row>
    <row r="370" spans="1:21" x14ac:dyDescent="0.25">
      <c r="A370" t="s">
        <v>2706</v>
      </c>
      <c r="B370" t="s">
        <v>4</v>
      </c>
      <c r="C370" t="s">
        <v>83</v>
      </c>
      <c r="D370" t="s">
        <v>21</v>
      </c>
      <c r="E370" t="s">
        <v>730</v>
      </c>
      <c r="F370" t="s">
        <v>674</v>
      </c>
      <c r="G370" t="s">
        <v>2271</v>
      </c>
      <c r="H370" s="20">
        <v>46254</v>
      </c>
      <c r="I370">
        <v>1500</v>
      </c>
      <c r="J370">
        <v>46</v>
      </c>
      <c r="K370">
        <v>23</v>
      </c>
      <c r="L370">
        <v>18</v>
      </c>
      <c r="P370" t="s">
        <v>2272</v>
      </c>
      <c r="R370" t="s">
        <v>2273</v>
      </c>
      <c r="S370">
        <v>5</v>
      </c>
      <c r="T370" t="s">
        <v>2319</v>
      </c>
      <c r="U370" t="s">
        <v>2320</v>
      </c>
    </row>
    <row r="371" spans="1:21" x14ac:dyDescent="0.25">
      <c r="A371" t="s">
        <v>2707</v>
      </c>
      <c r="B371" t="s">
        <v>4</v>
      </c>
      <c r="C371" t="s">
        <v>91</v>
      </c>
      <c r="D371" t="s">
        <v>24</v>
      </c>
      <c r="E371" t="s">
        <v>732</v>
      </c>
      <c r="F371" t="s">
        <v>307</v>
      </c>
      <c r="G371" t="s">
        <v>2271</v>
      </c>
      <c r="H371" s="20">
        <v>46250</v>
      </c>
      <c r="I371">
        <v>1800</v>
      </c>
      <c r="J371">
        <v>41</v>
      </c>
      <c r="K371">
        <v>33</v>
      </c>
      <c r="L371">
        <v>29</v>
      </c>
      <c r="P371" t="s">
        <v>2272</v>
      </c>
      <c r="R371" t="s">
        <v>2273</v>
      </c>
      <c r="S371">
        <v>4</v>
      </c>
      <c r="T371" t="s">
        <v>2274</v>
      </c>
      <c r="U371" t="s">
        <v>2275</v>
      </c>
    </row>
    <row r="372" spans="1:21" x14ac:dyDescent="0.25">
      <c r="A372" t="s">
        <v>2708</v>
      </c>
      <c r="B372" t="s">
        <v>4</v>
      </c>
      <c r="C372" t="s">
        <v>91</v>
      </c>
      <c r="D372" t="s">
        <v>24</v>
      </c>
      <c r="E372" t="s">
        <v>733</v>
      </c>
      <c r="F372" t="s">
        <v>382</v>
      </c>
      <c r="G372" t="s">
        <v>2271</v>
      </c>
      <c r="H372" s="20">
        <v>46250</v>
      </c>
      <c r="I372">
        <v>1800</v>
      </c>
      <c r="J372">
        <v>41</v>
      </c>
      <c r="K372">
        <v>33</v>
      </c>
      <c r="L372">
        <v>29</v>
      </c>
      <c r="P372" t="s">
        <v>2272</v>
      </c>
      <c r="R372" t="s">
        <v>2273</v>
      </c>
      <c r="S372">
        <v>4</v>
      </c>
      <c r="T372" t="s">
        <v>2274</v>
      </c>
      <c r="U372" t="s">
        <v>2275</v>
      </c>
    </row>
    <row r="373" spans="1:21" x14ac:dyDescent="0.25">
      <c r="A373" t="s">
        <v>2709</v>
      </c>
      <c r="B373" t="s">
        <v>4</v>
      </c>
      <c r="C373" t="s">
        <v>91</v>
      </c>
      <c r="D373" t="s">
        <v>24</v>
      </c>
      <c r="E373" t="s">
        <v>734</v>
      </c>
      <c r="F373" t="s">
        <v>112</v>
      </c>
      <c r="G373" t="s">
        <v>2271</v>
      </c>
      <c r="H373" s="20">
        <v>46250</v>
      </c>
      <c r="I373">
        <v>1800</v>
      </c>
      <c r="J373">
        <v>41</v>
      </c>
      <c r="K373">
        <v>33</v>
      </c>
      <c r="L373">
        <v>29</v>
      </c>
      <c r="P373" t="s">
        <v>2272</v>
      </c>
      <c r="R373" t="s">
        <v>2273</v>
      </c>
      <c r="S373">
        <v>4</v>
      </c>
      <c r="T373" t="s">
        <v>2274</v>
      </c>
      <c r="U373" t="s">
        <v>2275</v>
      </c>
    </row>
    <row r="374" spans="1:21" x14ac:dyDescent="0.25">
      <c r="A374" t="s">
        <v>2710</v>
      </c>
      <c r="B374" t="s">
        <v>4</v>
      </c>
      <c r="C374" t="s">
        <v>91</v>
      </c>
      <c r="D374" t="s">
        <v>24</v>
      </c>
      <c r="E374" t="s">
        <v>735</v>
      </c>
      <c r="F374" t="s">
        <v>528</v>
      </c>
      <c r="G374" t="s">
        <v>2271</v>
      </c>
      <c r="H374" s="20">
        <v>46250</v>
      </c>
      <c r="I374">
        <v>1800</v>
      </c>
      <c r="J374">
        <v>41</v>
      </c>
      <c r="K374">
        <v>33</v>
      </c>
      <c r="L374">
        <v>29</v>
      </c>
      <c r="P374" t="s">
        <v>2272</v>
      </c>
      <c r="R374" t="s">
        <v>2273</v>
      </c>
      <c r="S374">
        <v>4</v>
      </c>
      <c r="T374" t="s">
        <v>2274</v>
      </c>
      <c r="U374" t="s">
        <v>2275</v>
      </c>
    </row>
    <row r="375" spans="1:21" x14ac:dyDescent="0.25">
      <c r="A375" t="s">
        <v>2711</v>
      </c>
      <c r="B375" t="s">
        <v>4</v>
      </c>
      <c r="C375" t="s">
        <v>91</v>
      </c>
      <c r="D375" t="s">
        <v>24</v>
      </c>
      <c r="E375" t="s">
        <v>736</v>
      </c>
      <c r="F375" t="s">
        <v>711</v>
      </c>
      <c r="G375" t="s">
        <v>2271</v>
      </c>
      <c r="H375" s="20">
        <v>46250</v>
      </c>
      <c r="I375">
        <v>1800</v>
      </c>
      <c r="J375">
        <v>41</v>
      </c>
      <c r="K375">
        <v>33</v>
      </c>
      <c r="L375">
        <v>29</v>
      </c>
      <c r="P375" t="s">
        <v>2272</v>
      </c>
      <c r="R375" t="s">
        <v>2273</v>
      </c>
      <c r="S375">
        <v>4</v>
      </c>
      <c r="T375" t="s">
        <v>2274</v>
      </c>
      <c r="U375" t="s">
        <v>2275</v>
      </c>
    </row>
    <row r="376" spans="1:21" x14ac:dyDescent="0.25">
      <c r="A376" t="s">
        <v>2712</v>
      </c>
      <c r="B376" t="s">
        <v>4</v>
      </c>
      <c r="C376" t="s">
        <v>91</v>
      </c>
      <c r="D376" t="s">
        <v>24</v>
      </c>
      <c r="E376" t="s">
        <v>737</v>
      </c>
      <c r="F376" t="s">
        <v>738</v>
      </c>
      <c r="G376" t="s">
        <v>2271</v>
      </c>
      <c r="H376" s="20">
        <v>46250</v>
      </c>
      <c r="I376">
        <v>1800</v>
      </c>
      <c r="J376">
        <v>41</v>
      </c>
      <c r="K376">
        <v>33</v>
      </c>
      <c r="L376">
        <v>29</v>
      </c>
      <c r="P376" t="s">
        <v>2272</v>
      </c>
      <c r="R376" t="s">
        <v>2273</v>
      </c>
      <c r="S376">
        <v>4</v>
      </c>
      <c r="T376" t="s">
        <v>2274</v>
      </c>
      <c r="U376" t="s">
        <v>2275</v>
      </c>
    </row>
    <row r="377" spans="1:21" x14ac:dyDescent="0.25">
      <c r="A377" t="s">
        <v>2713</v>
      </c>
      <c r="B377" t="s">
        <v>4</v>
      </c>
      <c r="C377" t="s">
        <v>91</v>
      </c>
      <c r="D377" t="s">
        <v>24</v>
      </c>
      <c r="E377" t="s">
        <v>739</v>
      </c>
      <c r="F377" t="s">
        <v>400</v>
      </c>
      <c r="G377" t="s">
        <v>2271</v>
      </c>
      <c r="H377" s="20">
        <v>46250</v>
      </c>
      <c r="I377">
        <v>1800</v>
      </c>
      <c r="J377">
        <v>41</v>
      </c>
      <c r="K377">
        <v>33</v>
      </c>
      <c r="L377">
        <v>29</v>
      </c>
      <c r="P377" t="s">
        <v>2272</v>
      </c>
      <c r="R377" t="s">
        <v>2273</v>
      </c>
      <c r="S377">
        <v>4</v>
      </c>
      <c r="T377" t="s">
        <v>2274</v>
      </c>
      <c r="U377" t="s">
        <v>2275</v>
      </c>
    </row>
    <row r="378" spans="1:21" x14ac:dyDescent="0.25">
      <c r="A378" t="s">
        <v>2714</v>
      </c>
      <c r="B378" t="s">
        <v>4</v>
      </c>
      <c r="C378" t="s">
        <v>91</v>
      </c>
      <c r="D378" t="s">
        <v>24</v>
      </c>
      <c r="E378" t="s">
        <v>740</v>
      </c>
      <c r="F378" t="s">
        <v>221</v>
      </c>
      <c r="G378" t="s">
        <v>2271</v>
      </c>
      <c r="H378" s="20">
        <v>46250</v>
      </c>
      <c r="I378">
        <v>1800</v>
      </c>
      <c r="J378">
        <v>41</v>
      </c>
      <c r="K378">
        <v>33</v>
      </c>
      <c r="L378">
        <v>29</v>
      </c>
      <c r="P378" t="s">
        <v>2272</v>
      </c>
      <c r="R378" t="s">
        <v>2273</v>
      </c>
      <c r="S378">
        <v>4</v>
      </c>
      <c r="T378" t="s">
        <v>2274</v>
      </c>
      <c r="U378" t="s">
        <v>2275</v>
      </c>
    </row>
    <row r="379" spans="1:21" x14ac:dyDescent="0.25">
      <c r="A379" t="s">
        <v>2715</v>
      </c>
      <c r="B379" t="s">
        <v>4</v>
      </c>
      <c r="C379" t="s">
        <v>91</v>
      </c>
      <c r="D379" t="s">
        <v>24</v>
      </c>
      <c r="E379" t="s">
        <v>741</v>
      </c>
      <c r="F379" t="s">
        <v>742</v>
      </c>
      <c r="G379" t="s">
        <v>2271</v>
      </c>
      <c r="H379" s="20">
        <v>46250</v>
      </c>
      <c r="I379">
        <v>1800</v>
      </c>
      <c r="J379">
        <v>41</v>
      </c>
      <c r="K379">
        <v>33</v>
      </c>
      <c r="L379">
        <v>29</v>
      </c>
      <c r="P379" t="s">
        <v>2272</v>
      </c>
      <c r="R379" t="s">
        <v>2273</v>
      </c>
      <c r="S379">
        <v>4</v>
      </c>
      <c r="T379" t="s">
        <v>2274</v>
      </c>
      <c r="U379" t="s">
        <v>2275</v>
      </c>
    </row>
    <row r="380" spans="1:21" x14ac:dyDescent="0.25">
      <c r="A380" t="s">
        <v>2716</v>
      </c>
      <c r="B380" t="s">
        <v>4</v>
      </c>
      <c r="C380" t="s">
        <v>91</v>
      </c>
      <c r="D380" t="s">
        <v>24</v>
      </c>
      <c r="E380" t="s">
        <v>743</v>
      </c>
      <c r="F380" t="s">
        <v>744</v>
      </c>
      <c r="G380" t="s">
        <v>2271</v>
      </c>
      <c r="H380" s="20">
        <v>46250</v>
      </c>
      <c r="I380">
        <v>1800</v>
      </c>
      <c r="J380">
        <v>41</v>
      </c>
      <c r="K380">
        <v>33</v>
      </c>
      <c r="L380">
        <v>29</v>
      </c>
      <c r="P380" t="s">
        <v>2272</v>
      </c>
      <c r="R380" t="s">
        <v>2273</v>
      </c>
      <c r="S380">
        <v>4</v>
      </c>
      <c r="T380" t="s">
        <v>2274</v>
      </c>
      <c r="U380" t="s">
        <v>2275</v>
      </c>
    </row>
    <row r="381" spans="1:21" x14ac:dyDescent="0.25">
      <c r="A381" t="s">
        <v>2717</v>
      </c>
      <c r="B381" t="s">
        <v>4</v>
      </c>
      <c r="C381" t="s">
        <v>91</v>
      </c>
      <c r="D381" t="s">
        <v>21</v>
      </c>
      <c r="E381" t="s">
        <v>745</v>
      </c>
      <c r="F381" t="s">
        <v>746</v>
      </c>
      <c r="G381" t="s">
        <v>2271</v>
      </c>
      <c r="H381" s="20">
        <v>46254</v>
      </c>
      <c r="I381">
        <v>1500</v>
      </c>
      <c r="J381">
        <v>47</v>
      </c>
      <c r="K381">
        <v>29</v>
      </c>
      <c r="L381">
        <v>18</v>
      </c>
      <c r="P381" t="s">
        <v>2272</v>
      </c>
      <c r="R381" t="s">
        <v>2273</v>
      </c>
      <c r="S381">
        <v>5</v>
      </c>
      <c r="T381" t="s">
        <v>2319</v>
      </c>
      <c r="U381" t="s">
        <v>2320</v>
      </c>
    </row>
    <row r="382" spans="1:21" x14ac:dyDescent="0.25">
      <c r="A382" t="s">
        <v>2718</v>
      </c>
      <c r="B382" t="s">
        <v>4</v>
      </c>
      <c r="C382" t="s">
        <v>91</v>
      </c>
      <c r="D382" t="s">
        <v>21</v>
      </c>
      <c r="E382" t="s">
        <v>747</v>
      </c>
      <c r="F382" t="s">
        <v>398</v>
      </c>
      <c r="G382" t="s">
        <v>2271</v>
      </c>
      <c r="H382" s="20">
        <v>46254</v>
      </c>
      <c r="I382">
        <v>1500</v>
      </c>
      <c r="J382">
        <v>47</v>
      </c>
      <c r="K382">
        <v>29</v>
      </c>
      <c r="L382">
        <v>18</v>
      </c>
      <c r="P382" t="s">
        <v>2272</v>
      </c>
      <c r="R382" t="s">
        <v>2273</v>
      </c>
      <c r="S382">
        <v>5</v>
      </c>
      <c r="T382" t="s">
        <v>2319</v>
      </c>
      <c r="U382" t="s">
        <v>2320</v>
      </c>
    </row>
    <row r="383" spans="1:21" x14ac:dyDescent="0.25">
      <c r="A383" t="s">
        <v>2719</v>
      </c>
      <c r="B383" t="s">
        <v>4</v>
      </c>
      <c r="C383" t="s">
        <v>91</v>
      </c>
      <c r="D383" t="s">
        <v>21</v>
      </c>
      <c r="E383" t="s">
        <v>748</v>
      </c>
      <c r="F383" t="s">
        <v>419</v>
      </c>
      <c r="G383" t="s">
        <v>2271</v>
      </c>
      <c r="H383" s="20">
        <v>46254</v>
      </c>
      <c r="I383">
        <v>1500</v>
      </c>
      <c r="J383">
        <v>47</v>
      </c>
      <c r="K383">
        <v>29</v>
      </c>
      <c r="L383">
        <v>18</v>
      </c>
      <c r="P383" t="s">
        <v>2272</v>
      </c>
      <c r="R383" t="s">
        <v>2273</v>
      </c>
      <c r="S383">
        <v>5</v>
      </c>
      <c r="T383" t="s">
        <v>2319</v>
      </c>
      <c r="U383" t="s">
        <v>2320</v>
      </c>
    </row>
    <row r="384" spans="1:21" x14ac:dyDescent="0.25">
      <c r="A384" t="s">
        <v>2720</v>
      </c>
      <c r="B384" t="s">
        <v>4</v>
      </c>
      <c r="C384" t="s">
        <v>91</v>
      </c>
      <c r="D384" t="s">
        <v>21</v>
      </c>
      <c r="E384" t="s">
        <v>749</v>
      </c>
      <c r="F384" t="s">
        <v>272</v>
      </c>
      <c r="G384" t="s">
        <v>2271</v>
      </c>
      <c r="H384" s="20">
        <v>46254</v>
      </c>
      <c r="I384">
        <v>1500</v>
      </c>
      <c r="J384">
        <v>47</v>
      </c>
      <c r="K384">
        <v>29</v>
      </c>
      <c r="L384">
        <v>18</v>
      </c>
      <c r="P384" t="s">
        <v>2272</v>
      </c>
      <c r="R384" t="s">
        <v>2273</v>
      </c>
      <c r="S384">
        <v>5</v>
      </c>
      <c r="T384" t="s">
        <v>2319</v>
      </c>
      <c r="U384" t="s">
        <v>2320</v>
      </c>
    </row>
    <row r="385" spans="1:21" x14ac:dyDescent="0.25">
      <c r="A385" t="s">
        <v>2721</v>
      </c>
      <c r="B385" t="s">
        <v>4</v>
      </c>
      <c r="C385" t="s">
        <v>91</v>
      </c>
      <c r="D385" t="s">
        <v>21</v>
      </c>
      <c r="E385" t="s">
        <v>750</v>
      </c>
      <c r="F385" t="s">
        <v>237</v>
      </c>
      <c r="G385" t="s">
        <v>2271</v>
      </c>
      <c r="H385" s="20">
        <v>46254</v>
      </c>
      <c r="I385">
        <v>1500</v>
      </c>
      <c r="J385">
        <v>47</v>
      </c>
      <c r="K385">
        <v>29</v>
      </c>
      <c r="L385">
        <v>18</v>
      </c>
      <c r="P385" t="s">
        <v>2272</v>
      </c>
      <c r="R385" t="s">
        <v>2273</v>
      </c>
      <c r="S385">
        <v>5</v>
      </c>
      <c r="T385" t="s">
        <v>2319</v>
      </c>
      <c r="U385" t="s">
        <v>2320</v>
      </c>
    </row>
    <row r="386" spans="1:21" x14ac:dyDescent="0.25">
      <c r="A386" t="s">
        <v>2722</v>
      </c>
      <c r="B386" t="s">
        <v>4</v>
      </c>
      <c r="C386" t="s">
        <v>91</v>
      </c>
      <c r="D386" t="s">
        <v>21</v>
      </c>
      <c r="E386" t="s">
        <v>751</v>
      </c>
      <c r="F386" t="s">
        <v>752</v>
      </c>
      <c r="G386" t="s">
        <v>2271</v>
      </c>
      <c r="H386" s="20">
        <v>46254</v>
      </c>
      <c r="I386">
        <v>1500</v>
      </c>
      <c r="J386">
        <v>47</v>
      </c>
      <c r="K386">
        <v>29</v>
      </c>
      <c r="L386">
        <v>18</v>
      </c>
      <c r="P386" t="s">
        <v>2272</v>
      </c>
      <c r="R386" t="s">
        <v>2273</v>
      </c>
      <c r="S386">
        <v>5</v>
      </c>
      <c r="T386" t="s">
        <v>2319</v>
      </c>
      <c r="U386" t="s">
        <v>2320</v>
      </c>
    </row>
    <row r="387" spans="1:21" x14ac:dyDescent="0.25">
      <c r="A387" t="s">
        <v>2723</v>
      </c>
      <c r="B387" t="s">
        <v>4</v>
      </c>
      <c r="C387" t="s">
        <v>97</v>
      </c>
      <c r="D387" t="s">
        <v>24</v>
      </c>
      <c r="E387" t="s">
        <v>754</v>
      </c>
      <c r="F387" t="s">
        <v>269</v>
      </c>
      <c r="G387" t="s">
        <v>2271</v>
      </c>
      <c r="H387" s="20">
        <v>46250</v>
      </c>
      <c r="I387">
        <v>1800</v>
      </c>
      <c r="J387">
        <v>72</v>
      </c>
      <c r="K387">
        <v>62</v>
      </c>
      <c r="L387">
        <v>61</v>
      </c>
      <c r="P387" t="s">
        <v>2272</v>
      </c>
      <c r="R387" t="s">
        <v>2273</v>
      </c>
      <c r="S387">
        <v>4</v>
      </c>
      <c r="T387" t="s">
        <v>2274</v>
      </c>
      <c r="U387" t="s">
        <v>2275</v>
      </c>
    </row>
    <row r="388" spans="1:21" x14ac:dyDescent="0.25">
      <c r="A388" t="s">
        <v>2724</v>
      </c>
      <c r="B388" t="s">
        <v>4</v>
      </c>
      <c r="C388" t="s">
        <v>97</v>
      </c>
      <c r="D388" t="s">
        <v>24</v>
      </c>
      <c r="E388" t="s">
        <v>755</v>
      </c>
      <c r="F388" t="s">
        <v>131</v>
      </c>
      <c r="G388" t="s">
        <v>2271</v>
      </c>
      <c r="H388" s="20">
        <v>46250</v>
      </c>
      <c r="I388">
        <v>1800</v>
      </c>
      <c r="J388">
        <v>72</v>
      </c>
      <c r="K388">
        <v>62</v>
      </c>
      <c r="L388">
        <v>61</v>
      </c>
      <c r="P388" t="s">
        <v>2272</v>
      </c>
      <c r="R388" t="s">
        <v>2273</v>
      </c>
      <c r="S388">
        <v>4</v>
      </c>
      <c r="T388" t="s">
        <v>2274</v>
      </c>
      <c r="U388" t="s">
        <v>2275</v>
      </c>
    </row>
    <row r="389" spans="1:21" x14ac:dyDescent="0.25">
      <c r="A389" t="s">
        <v>2725</v>
      </c>
      <c r="B389" t="s">
        <v>4</v>
      </c>
      <c r="C389" t="s">
        <v>97</v>
      </c>
      <c r="D389" t="s">
        <v>24</v>
      </c>
      <c r="E389" t="s">
        <v>756</v>
      </c>
      <c r="F389" t="s">
        <v>413</v>
      </c>
      <c r="G389" t="s">
        <v>2271</v>
      </c>
      <c r="H389" s="20">
        <v>46250</v>
      </c>
      <c r="I389">
        <v>1800</v>
      </c>
      <c r="J389">
        <v>72</v>
      </c>
      <c r="K389">
        <v>62</v>
      </c>
      <c r="L389">
        <v>61</v>
      </c>
      <c r="P389" t="s">
        <v>2272</v>
      </c>
      <c r="R389" t="s">
        <v>2273</v>
      </c>
      <c r="S389">
        <v>4</v>
      </c>
      <c r="T389" t="s">
        <v>2274</v>
      </c>
      <c r="U389" t="s">
        <v>2275</v>
      </c>
    </row>
    <row r="390" spans="1:21" x14ac:dyDescent="0.25">
      <c r="A390" t="s">
        <v>2726</v>
      </c>
      <c r="B390" t="s">
        <v>4</v>
      </c>
      <c r="C390" t="s">
        <v>97</v>
      </c>
      <c r="D390" t="s">
        <v>24</v>
      </c>
      <c r="E390" t="s">
        <v>757</v>
      </c>
      <c r="F390" t="s">
        <v>102</v>
      </c>
      <c r="G390" t="s">
        <v>2271</v>
      </c>
      <c r="H390" s="20">
        <v>46250</v>
      </c>
      <c r="I390">
        <v>1800</v>
      </c>
      <c r="J390">
        <v>72</v>
      </c>
      <c r="K390">
        <v>62</v>
      </c>
      <c r="L390">
        <v>61</v>
      </c>
      <c r="P390" t="s">
        <v>2272</v>
      </c>
      <c r="R390" t="s">
        <v>2273</v>
      </c>
      <c r="S390">
        <v>4</v>
      </c>
      <c r="T390" t="s">
        <v>2274</v>
      </c>
      <c r="U390" t="s">
        <v>2275</v>
      </c>
    </row>
    <row r="391" spans="1:21" x14ac:dyDescent="0.25">
      <c r="A391" t="s">
        <v>2727</v>
      </c>
      <c r="B391" t="s">
        <v>4</v>
      </c>
      <c r="C391" t="s">
        <v>97</v>
      </c>
      <c r="D391" t="s">
        <v>24</v>
      </c>
      <c r="E391" t="s">
        <v>758</v>
      </c>
      <c r="F391" t="s">
        <v>317</v>
      </c>
      <c r="G391" t="s">
        <v>2271</v>
      </c>
      <c r="H391" s="20">
        <v>46250</v>
      </c>
      <c r="I391">
        <v>1800</v>
      </c>
      <c r="J391">
        <v>72</v>
      </c>
      <c r="K391">
        <v>62</v>
      </c>
      <c r="L391">
        <v>61</v>
      </c>
      <c r="P391" t="s">
        <v>2272</v>
      </c>
      <c r="R391" t="s">
        <v>2273</v>
      </c>
      <c r="S391">
        <v>4</v>
      </c>
      <c r="T391" t="s">
        <v>2274</v>
      </c>
      <c r="U391" t="s">
        <v>2275</v>
      </c>
    </row>
    <row r="392" spans="1:21" x14ac:dyDescent="0.25">
      <c r="A392" t="s">
        <v>2728</v>
      </c>
      <c r="B392" t="s">
        <v>4</v>
      </c>
      <c r="C392" t="s">
        <v>97</v>
      </c>
      <c r="D392" t="s">
        <v>24</v>
      </c>
      <c r="E392" t="s">
        <v>759</v>
      </c>
      <c r="F392" t="s">
        <v>760</v>
      </c>
      <c r="G392" t="s">
        <v>2271</v>
      </c>
      <c r="H392" s="20">
        <v>46250</v>
      </c>
      <c r="I392">
        <v>1800</v>
      </c>
      <c r="J392">
        <v>72</v>
      </c>
      <c r="K392">
        <v>62</v>
      </c>
      <c r="L392">
        <v>61</v>
      </c>
      <c r="P392" t="s">
        <v>2272</v>
      </c>
      <c r="R392" t="s">
        <v>2273</v>
      </c>
      <c r="S392">
        <v>4</v>
      </c>
      <c r="T392" t="s">
        <v>2274</v>
      </c>
      <c r="U392" t="s">
        <v>2275</v>
      </c>
    </row>
    <row r="393" spans="1:21" x14ac:dyDescent="0.25">
      <c r="A393" t="s">
        <v>2729</v>
      </c>
      <c r="B393" t="s">
        <v>4</v>
      </c>
      <c r="C393" t="s">
        <v>97</v>
      </c>
      <c r="D393" t="s">
        <v>21</v>
      </c>
      <c r="E393" t="s">
        <v>761</v>
      </c>
      <c r="F393" t="s">
        <v>315</v>
      </c>
      <c r="G393" t="s">
        <v>2271</v>
      </c>
      <c r="H393" s="20">
        <v>46254</v>
      </c>
      <c r="I393">
        <v>1500</v>
      </c>
      <c r="J393">
        <v>77</v>
      </c>
      <c r="K393">
        <v>61</v>
      </c>
      <c r="L393">
        <v>53</v>
      </c>
      <c r="P393" t="s">
        <v>2272</v>
      </c>
      <c r="R393" t="s">
        <v>2273</v>
      </c>
      <c r="S393">
        <v>5</v>
      </c>
      <c r="T393" t="s">
        <v>2319</v>
      </c>
      <c r="U393" t="s">
        <v>2320</v>
      </c>
    </row>
    <row r="394" spans="1:21" x14ac:dyDescent="0.25">
      <c r="A394" t="s">
        <v>2730</v>
      </c>
      <c r="B394" t="s">
        <v>4</v>
      </c>
      <c r="C394" t="s">
        <v>97</v>
      </c>
      <c r="D394" t="s">
        <v>21</v>
      </c>
      <c r="E394" t="s">
        <v>762</v>
      </c>
      <c r="F394" t="s">
        <v>230</v>
      </c>
      <c r="G394" t="s">
        <v>2271</v>
      </c>
      <c r="H394" s="20">
        <v>46254</v>
      </c>
      <c r="I394">
        <v>1500</v>
      </c>
      <c r="J394">
        <v>77</v>
      </c>
      <c r="K394">
        <v>61</v>
      </c>
      <c r="L394">
        <v>53</v>
      </c>
      <c r="P394" t="s">
        <v>2272</v>
      </c>
      <c r="R394" t="s">
        <v>2273</v>
      </c>
      <c r="S394">
        <v>5</v>
      </c>
      <c r="T394" t="s">
        <v>2319</v>
      </c>
      <c r="U394" t="s">
        <v>2320</v>
      </c>
    </row>
    <row r="395" spans="1:21" x14ac:dyDescent="0.25">
      <c r="A395" t="s">
        <v>2731</v>
      </c>
      <c r="B395" t="s">
        <v>4</v>
      </c>
      <c r="C395" t="s">
        <v>103</v>
      </c>
      <c r="D395" t="s">
        <v>24</v>
      </c>
      <c r="E395" t="s">
        <v>764</v>
      </c>
      <c r="F395" t="s">
        <v>366</v>
      </c>
      <c r="G395" t="s">
        <v>2271</v>
      </c>
      <c r="H395" s="20">
        <v>46250</v>
      </c>
      <c r="I395">
        <v>1800</v>
      </c>
      <c r="J395">
        <v>63</v>
      </c>
      <c r="K395">
        <v>52</v>
      </c>
      <c r="L395">
        <v>47</v>
      </c>
      <c r="P395" t="s">
        <v>2272</v>
      </c>
      <c r="R395" t="s">
        <v>2273</v>
      </c>
      <c r="S395">
        <v>4</v>
      </c>
      <c r="T395" t="s">
        <v>2274</v>
      </c>
      <c r="U395" t="s">
        <v>2275</v>
      </c>
    </row>
    <row r="396" spans="1:21" x14ac:dyDescent="0.25">
      <c r="A396" t="s">
        <v>2732</v>
      </c>
      <c r="B396" t="s">
        <v>4</v>
      </c>
      <c r="C396" t="s">
        <v>103</v>
      </c>
      <c r="D396" t="s">
        <v>24</v>
      </c>
      <c r="E396" t="s">
        <v>765</v>
      </c>
      <c r="F396" t="s">
        <v>94</v>
      </c>
      <c r="G396" t="s">
        <v>2271</v>
      </c>
      <c r="H396" s="20">
        <v>46250</v>
      </c>
      <c r="I396">
        <v>1800</v>
      </c>
      <c r="J396">
        <v>63</v>
      </c>
      <c r="K396">
        <v>52</v>
      </c>
      <c r="L396">
        <v>47</v>
      </c>
      <c r="P396" t="s">
        <v>2272</v>
      </c>
      <c r="R396" t="s">
        <v>2273</v>
      </c>
      <c r="S396">
        <v>4</v>
      </c>
      <c r="T396" t="s">
        <v>2274</v>
      </c>
      <c r="U396" t="s">
        <v>2275</v>
      </c>
    </row>
    <row r="397" spans="1:21" x14ac:dyDescent="0.25">
      <c r="A397" t="s">
        <v>2733</v>
      </c>
      <c r="B397" t="s">
        <v>4</v>
      </c>
      <c r="C397" t="s">
        <v>103</v>
      </c>
      <c r="D397" t="s">
        <v>24</v>
      </c>
      <c r="E397" t="s">
        <v>766</v>
      </c>
      <c r="F397" t="s">
        <v>112</v>
      </c>
      <c r="G397" t="s">
        <v>2271</v>
      </c>
      <c r="H397" s="20">
        <v>46250</v>
      </c>
      <c r="I397">
        <v>1800</v>
      </c>
      <c r="J397">
        <v>63</v>
      </c>
      <c r="K397">
        <v>52</v>
      </c>
      <c r="L397">
        <v>47</v>
      </c>
      <c r="P397" t="s">
        <v>2272</v>
      </c>
      <c r="R397" t="s">
        <v>2273</v>
      </c>
      <c r="S397">
        <v>4</v>
      </c>
      <c r="T397" t="s">
        <v>2274</v>
      </c>
      <c r="U397" t="s">
        <v>2275</v>
      </c>
    </row>
    <row r="398" spans="1:21" x14ac:dyDescent="0.25">
      <c r="A398" t="s">
        <v>2734</v>
      </c>
      <c r="B398" t="s">
        <v>4</v>
      </c>
      <c r="C398" t="s">
        <v>103</v>
      </c>
      <c r="D398" t="s">
        <v>24</v>
      </c>
      <c r="E398" t="s">
        <v>767</v>
      </c>
      <c r="F398" t="s">
        <v>163</v>
      </c>
      <c r="G398" t="s">
        <v>2271</v>
      </c>
      <c r="H398" s="20">
        <v>46250</v>
      </c>
      <c r="I398">
        <v>1800</v>
      </c>
      <c r="J398">
        <v>63</v>
      </c>
      <c r="K398">
        <v>52</v>
      </c>
      <c r="L398">
        <v>47</v>
      </c>
      <c r="P398" t="s">
        <v>2272</v>
      </c>
      <c r="R398" t="s">
        <v>2273</v>
      </c>
      <c r="S398">
        <v>4</v>
      </c>
      <c r="T398" t="s">
        <v>2274</v>
      </c>
      <c r="U398" t="s">
        <v>2275</v>
      </c>
    </row>
    <row r="399" spans="1:21" x14ac:dyDescent="0.25">
      <c r="A399" t="s">
        <v>2735</v>
      </c>
      <c r="B399" t="s">
        <v>4</v>
      </c>
      <c r="C399" t="s">
        <v>103</v>
      </c>
      <c r="D399" t="s">
        <v>24</v>
      </c>
      <c r="E399" t="s">
        <v>768</v>
      </c>
      <c r="F399" t="s">
        <v>230</v>
      </c>
      <c r="G399" t="s">
        <v>2271</v>
      </c>
      <c r="H399" s="20">
        <v>46250</v>
      </c>
      <c r="I399">
        <v>1800</v>
      </c>
      <c r="J399">
        <v>63</v>
      </c>
      <c r="K399">
        <v>52</v>
      </c>
      <c r="L399">
        <v>47</v>
      </c>
      <c r="P399" t="s">
        <v>2272</v>
      </c>
      <c r="R399" t="s">
        <v>2273</v>
      </c>
      <c r="S399">
        <v>4</v>
      </c>
      <c r="T399" t="s">
        <v>2274</v>
      </c>
      <c r="U399" t="s">
        <v>2275</v>
      </c>
    </row>
    <row r="400" spans="1:21" x14ac:dyDescent="0.25">
      <c r="A400" t="s">
        <v>2736</v>
      </c>
      <c r="B400" t="s">
        <v>4</v>
      </c>
      <c r="C400" t="s">
        <v>103</v>
      </c>
      <c r="D400" t="s">
        <v>24</v>
      </c>
      <c r="E400" t="s">
        <v>769</v>
      </c>
      <c r="F400" t="s">
        <v>478</v>
      </c>
      <c r="G400" t="s">
        <v>2271</v>
      </c>
      <c r="H400" s="20">
        <v>46250</v>
      </c>
      <c r="I400">
        <v>1800</v>
      </c>
      <c r="J400">
        <v>63</v>
      </c>
      <c r="K400">
        <v>52</v>
      </c>
      <c r="L400">
        <v>47</v>
      </c>
      <c r="P400" t="s">
        <v>2272</v>
      </c>
      <c r="R400" t="s">
        <v>2273</v>
      </c>
      <c r="S400">
        <v>4</v>
      </c>
      <c r="T400" t="s">
        <v>2274</v>
      </c>
      <c r="U400" t="s">
        <v>2275</v>
      </c>
    </row>
    <row r="401" spans="1:21" x14ac:dyDescent="0.25">
      <c r="A401" t="s">
        <v>2737</v>
      </c>
      <c r="B401" t="s">
        <v>4</v>
      </c>
      <c r="C401" t="s">
        <v>103</v>
      </c>
      <c r="D401" t="s">
        <v>24</v>
      </c>
      <c r="E401" t="s">
        <v>770</v>
      </c>
      <c r="F401" t="s">
        <v>174</v>
      </c>
      <c r="G401" t="s">
        <v>2271</v>
      </c>
      <c r="H401" s="20">
        <v>46250</v>
      </c>
      <c r="I401">
        <v>1800</v>
      </c>
      <c r="J401">
        <v>63</v>
      </c>
      <c r="K401">
        <v>52</v>
      </c>
      <c r="L401">
        <v>47</v>
      </c>
      <c r="P401" t="s">
        <v>2272</v>
      </c>
      <c r="R401" t="s">
        <v>2273</v>
      </c>
      <c r="S401">
        <v>4</v>
      </c>
      <c r="T401" t="s">
        <v>2274</v>
      </c>
      <c r="U401" t="s">
        <v>2275</v>
      </c>
    </row>
    <row r="402" spans="1:21" x14ac:dyDescent="0.25">
      <c r="A402" t="s">
        <v>2738</v>
      </c>
      <c r="B402" t="s">
        <v>4</v>
      </c>
      <c r="C402" t="s">
        <v>103</v>
      </c>
      <c r="D402" t="s">
        <v>21</v>
      </c>
      <c r="E402" t="s">
        <v>771</v>
      </c>
      <c r="F402" t="s">
        <v>772</v>
      </c>
      <c r="G402" t="s">
        <v>2271</v>
      </c>
      <c r="H402" s="20">
        <v>46254</v>
      </c>
      <c r="I402">
        <v>1500</v>
      </c>
      <c r="J402">
        <v>62</v>
      </c>
      <c r="K402">
        <v>42</v>
      </c>
      <c r="L402">
        <v>40</v>
      </c>
      <c r="M402">
        <v>35</v>
      </c>
      <c r="P402" t="s">
        <v>2272</v>
      </c>
      <c r="R402" t="s">
        <v>2273</v>
      </c>
      <c r="S402">
        <v>13</v>
      </c>
      <c r="T402" t="s">
        <v>2739</v>
      </c>
      <c r="U402" t="s">
        <v>2740</v>
      </c>
    </row>
    <row r="403" spans="1:21" x14ac:dyDescent="0.25">
      <c r="A403" t="s">
        <v>2741</v>
      </c>
      <c r="B403" t="s">
        <v>4</v>
      </c>
      <c r="C403" t="s">
        <v>103</v>
      </c>
      <c r="D403" t="s">
        <v>21</v>
      </c>
      <c r="E403" t="s">
        <v>773</v>
      </c>
      <c r="F403" t="s">
        <v>484</v>
      </c>
      <c r="G403" t="s">
        <v>2271</v>
      </c>
      <c r="H403" s="20">
        <v>46254</v>
      </c>
      <c r="I403">
        <v>1500</v>
      </c>
      <c r="J403">
        <v>62</v>
      </c>
      <c r="K403">
        <v>42</v>
      </c>
      <c r="L403">
        <v>40</v>
      </c>
      <c r="M403">
        <v>35</v>
      </c>
      <c r="P403" t="s">
        <v>2272</v>
      </c>
      <c r="R403" t="s">
        <v>2273</v>
      </c>
      <c r="S403">
        <v>13</v>
      </c>
      <c r="T403" t="s">
        <v>2739</v>
      </c>
      <c r="U403" t="s">
        <v>2740</v>
      </c>
    </row>
    <row r="404" spans="1:21" x14ac:dyDescent="0.25">
      <c r="A404" t="s">
        <v>2742</v>
      </c>
      <c r="B404" t="s">
        <v>4</v>
      </c>
      <c r="C404" t="s">
        <v>103</v>
      </c>
      <c r="D404" t="s">
        <v>21</v>
      </c>
      <c r="E404" t="s">
        <v>774</v>
      </c>
      <c r="F404" t="s">
        <v>186</v>
      </c>
      <c r="G404" t="s">
        <v>2271</v>
      </c>
      <c r="H404" s="20">
        <v>46254</v>
      </c>
      <c r="I404">
        <v>1500</v>
      </c>
      <c r="J404">
        <v>62</v>
      </c>
      <c r="K404">
        <v>42</v>
      </c>
      <c r="L404">
        <v>40</v>
      </c>
      <c r="M404">
        <v>35</v>
      </c>
      <c r="P404" t="s">
        <v>2272</v>
      </c>
      <c r="R404" t="s">
        <v>2273</v>
      </c>
      <c r="S404">
        <v>13</v>
      </c>
      <c r="T404" t="s">
        <v>2739</v>
      </c>
      <c r="U404" t="s">
        <v>2740</v>
      </c>
    </row>
    <row r="405" spans="1:21" x14ac:dyDescent="0.25">
      <c r="A405" t="s">
        <v>2743</v>
      </c>
      <c r="B405" t="s">
        <v>4</v>
      </c>
      <c r="C405" t="s">
        <v>103</v>
      </c>
      <c r="D405" t="s">
        <v>21</v>
      </c>
      <c r="E405" t="s">
        <v>775</v>
      </c>
      <c r="F405" t="s">
        <v>250</v>
      </c>
      <c r="G405" t="s">
        <v>2271</v>
      </c>
      <c r="H405" s="20">
        <v>46254</v>
      </c>
      <c r="I405">
        <v>1500</v>
      </c>
      <c r="J405">
        <v>62</v>
      </c>
      <c r="K405">
        <v>42</v>
      </c>
      <c r="L405">
        <v>40</v>
      </c>
      <c r="M405">
        <v>35</v>
      </c>
      <c r="P405" t="s">
        <v>2272</v>
      </c>
      <c r="R405" t="s">
        <v>2273</v>
      </c>
      <c r="S405">
        <v>13</v>
      </c>
      <c r="T405" t="s">
        <v>2739</v>
      </c>
      <c r="U405" t="s">
        <v>2740</v>
      </c>
    </row>
    <row r="406" spans="1:21" x14ac:dyDescent="0.25">
      <c r="A406" t="s">
        <v>2744</v>
      </c>
      <c r="B406" t="s">
        <v>4</v>
      </c>
      <c r="C406" t="s">
        <v>103</v>
      </c>
      <c r="D406" t="s">
        <v>29</v>
      </c>
      <c r="E406" t="s">
        <v>776</v>
      </c>
      <c r="F406" t="s">
        <v>317</v>
      </c>
      <c r="H406" s="20"/>
      <c r="P406" t="s">
        <v>2291</v>
      </c>
      <c r="R406" t="s">
        <v>2292</v>
      </c>
    </row>
    <row r="407" spans="1:21" x14ac:dyDescent="0.25">
      <c r="A407" t="s">
        <v>2745</v>
      </c>
      <c r="B407" t="s">
        <v>4</v>
      </c>
      <c r="C407" t="s">
        <v>103</v>
      </c>
      <c r="D407" t="s">
        <v>29</v>
      </c>
      <c r="E407" t="s">
        <v>777</v>
      </c>
      <c r="F407" t="s">
        <v>742</v>
      </c>
      <c r="H407" s="20"/>
      <c r="P407" t="s">
        <v>2291</v>
      </c>
      <c r="R407" t="s">
        <v>2292</v>
      </c>
    </row>
    <row r="408" spans="1:21" x14ac:dyDescent="0.25">
      <c r="A408" t="s">
        <v>2746</v>
      </c>
      <c r="B408" t="s">
        <v>4</v>
      </c>
      <c r="C408" t="s">
        <v>103</v>
      </c>
      <c r="D408" t="s">
        <v>21</v>
      </c>
      <c r="E408" t="s">
        <v>778</v>
      </c>
      <c r="F408" t="s">
        <v>374</v>
      </c>
      <c r="G408" t="s">
        <v>2271</v>
      </c>
      <c r="H408" s="20">
        <v>46254</v>
      </c>
      <c r="I408">
        <v>1500</v>
      </c>
      <c r="J408">
        <v>62</v>
      </c>
      <c r="K408">
        <v>42</v>
      </c>
      <c r="L408">
        <v>40</v>
      </c>
      <c r="M408">
        <v>35</v>
      </c>
      <c r="P408" t="s">
        <v>2272</v>
      </c>
      <c r="R408" t="s">
        <v>2273</v>
      </c>
      <c r="S408">
        <v>13</v>
      </c>
      <c r="T408" t="s">
        <v>2739</v>
      </c>
      <c r="U408" t="s">
        <v>2740</v>
      </c>
    </row>
    <row r="409" spans="1:21" x14ac:dyDescent="0.25">
      <c r="A409" t="s">
        <v>2747</v>
      </c>
      <c r="B409" t="s">
        <v>4</v>
      </c>
      <c r="C409" t="s">
        <v>103</v>
      </c>
      <c r="D409" t="s">
        <v>21</v>
      </c>
      <c r="E409" t="s">
        <v>779</v>
      </c>
      <c r="F409" t="s">
        <v>78</v>
      </c>
      <c r="G409" t="s">
        <v>2271</v>
      </c>
      <c r="H409" s="20">
        <v>46254</v>
      </c>
      <c r="I409">
        <v>1500</v>
      </c>
      <c r="J409">
        <v>62</v>
      </c>
      <c r="K409">
        <v>42</v>
      </c>
      <c r="L409">
        <v>40</v>
      </c>
      <c r="M409">
        <v>35</v>
      </c>
      <c r="P409" t="s">
        <v>2272</v>
      </c>
      <c r="R409" t="s">
        <v>2273</v>
      </c>
      <c r="S409">
        <v>13</v>
      </c>
      <c r="T409" t="s">
        <v>2739</v>
      </c>
      <c r="U409" t="s">
        <v>2740</v>
      </c>
    </row>
    <row r="410" spans="1:21" x14ac:dyDescent="0.25">
      <c r="A410" t="s">
        <v>2748</v>
      </c>
      <c r="B410" t="s">
        <v>4</v>
      </c>
      <c r="C410" t="s">
        <v>103</v>
      </c>
      <c r="D410" t="s">
        <v>21</v>
      </c>
      <c r="E410" t="s">
        <v>780</v>
      </c>
      <c r="F410" t="s">
        <v>655</v>
      </c>
      <c r="G410" t="s">
        <v>2271</v>
      </c>
      <c r="H410" s="20">
        <v>46254</v>
      </c>
      <c r="I410">
        <v>1500</v>
      </c>
      <c r="J410">
        <v>62</v>
      </c>
      <c r="K410">
        <v>42</v>
      </c>
      <c r="L410">
        <v>40</v>
      </c>
      <c r="M410">
        <v>35</v>
      </c>
      <c r="P410" t="s">
        <v>2272</v>
      </c>
      <c r="R410" t="s">
        <v>2273</v>
      </c>
      <c r="S410">
        <v>13</v>
      </c>
      <c r="T410" t="s">
        <v>2739</v>
      </c>
      <c r="U410" t="s">
        <v>2740</v>
      </c>
    </row>
    <row r="411" spans="1:21" x14ac:dyDescent="0.25">
      <c r="A411" t="s">
        <v>2749</v>
      </c>
      <c r="B411" t="s">
        <v>4</v>
      </c>
      <c r="C411" t="s">
        <v>109</v>
      </c>
      <c r="D411" t="s">
        <v>24</v>
      </c>
      <c r="E411" t="s">
        <v>782</v>
      </c>
      <c r="F411" t="s">
        <v>676</v>
      </c>
      <c r="G411" t="s">
        <v>2271</v>
      </c>
      <c r="H411" s="20">
        <v>46250</v>
      </c>
      <c r="I411">
        <v>1800</v>
      </c>
      <c r="J411">
        <v>72</v>
      </c>
      <c r="K411">
        <v>53</v>
      </c>
      <c r="L411">
        <v>39</v>
      </c>
      <c r="P411" t="s">
        <v>2272</v>
      </c>
      <c r="R411" t="s">
        <v>2273</v>
      </c>
      <c r="S411">
        <v>4</v>
      </c>
      <c r="T411" t="s">
        <v>2274</v>
      </c>
      <c r="U411" t="s">
        <v>2275</v>
      </c>
    </row>
    <row r="412" spans="1:21" x14ac:dyDescent="0.25">
      <c r="A412" t="s">
        <v>2750</v>
      </c>
      <c r="B412" t="s">
        <v>4</v>
      </c>
      <c r="C412" t="s">
        <v>109</v>
      </c>
      <c r="D412" t="s">
        <v>24</v>
      </c>
      <c r="E412" t="s">
        <v>783</v>
      </c>
      <c r="F412" t="s">
        <v>784</v>
      </c>
      <c r="G412" t="s">
        <v>2271</v>
      </c>
      <c r="H412" s="20">
        <v>46250</v>
      </c>
      <c r="I412">
        <v>1800</v>
      </c>
      <c r="J412">
        <v>72</v>
      </c>
      <c r="K412">
        <v>53</v>
      </c>
      <c r="L412">
        <v>39</v>
      </c>
      <c r="P412" t="s">
        <v>2272</v>
      </c>
      <c r="R412" t="s">
        <v>2273</v>
      </c>
      <c r="S412">
        <v>4</v>
      </c>
      <c r="T412" t="s">
        <v>2274</v>
      </c>
      <c r="U412" t="s">
        <v>2275</v>
      </c>
    </row>
    <row r="413" spans="1:21" x14ac:dyDescent="0.25">
      <c r="A413" t="s">
        <v>2751</v>
      </c>
      <c r="B413" t="s">
        <v>4</v>
      </c>
      <c r="C413" t="s">
        <v>109</v>
      </c>
      <c r="D413" t="s">
        <v>24</v>
      </c>
      <c r="E413" t="s">
        <v>785</v>
      </c>
      <c r="F413" t="s">
        <v>172</v>
      </c>
      <c r="G413" t="s">
        <v>2271</v>
      </c>
      <c r="H413" s="20">
        <v>46250</v>
      </c>
      <c r="I413">
        <v>1800</v>
      </c>
      <c r="J413">
        <v>72</v>
      </c>
      <c r="K413">
        <v>53</v>
      </c>
      <c r="L413">
        <v>39</v>
      </c>
      <c r="P413" t="s">
        <v>2272</v>
      </c>
      <c r="R413" t="s">
        <v>2273</v>
      </c>
      <c r="S413">
        <v>4</v>
      </c>
      <c r="T413" t="s">
        <v>2274</v>
      </c>
      <c r="U413" t="s">
        <v>2275</v>
      </c>
    </row>
    <row r="414" spans="1:21" x14ac:dyDescent="0.25">
      <c r="A414" t="s">
        <v>2752</v>
      </c>
      <c r="B414" t="s">
        <v>4</v>
      </c>
      <c r="C414" t="s">
        <v>109</v>
      </c>
      <c r="D414" t="s">
        <v>24</v>
      </c>
      <c r="E414" t="s">
        <v>786</v>
      </c>
      <c r="F414" t="s">
        <v>685</v>
      </c>
      <c r="G414" t="s">
        <v>2271</v>
      </c>
      <c r="H414" s="20">
        <v>46250</v>
      </c>
      <c r="I414">
        <v>1800</v>
      </c>
      <c r="J414">
        <v>72</v>
      </c>
      <c r="K414">
        <v>53</v>
      </c>
      <c r="L414">
        <v>39</v>
      </c>
      <c r="P414" t="s">
        <v>2272</v>
      </c>
      <c r="R414" t="s">
        <v>2273</v>
      </c>
      <c r="S414">
        <v>4</v>
      </c>
      <c r="T414" t="s">
        <v>2274</v>
      </c>
      <c r="U414" t="s">
        <v>2275</v>
      </c>
    </row>
    <row r="415" spans="1:21" x14ac:dyDescent="0.25">
      <c r="A415" t="s">
        <v>2753</v>
      </c>
      <c r="B415" t="s">
        <v>4</v>
      </c>
      <c r="C415" t="s">
        <v>109</v>
      </c>
      <c r="D415" t="s">
        <v>21</v>
      </c>
      <c r="E415" t="s">
        <v>787</v>
      </c>
      <c r="F415" t="s">
        <v>168</v>
      </c>
      <c r="G415" t="s">
        <v>2444</v>
      </c>
      <c r="H415" s="20">
        <v>46254</v>
      </c>
      <c r="I415">
        <v>1500</v>
      </c>
      <c r="J415">
        <v>66</v>
      </c>
      <c r="K415">
        <v>48</v>
      </c>
      <c r="L415">
        <v>38</v>
      </c>
      <c r="P415" t="s">
        <v>2272</v>
      </c>
      <c r="Q415" t="s">
        <v>2754</v>
      </c>
      <c r="R415" t="s">
        <v>2446</v>
      </c>
      <c r="S415">
        <v>10</v>
      </c>
      <c r="T415" t="s">
        <v>2609</v>
      </c>
      <c r="U415" t="s">
        <v>2610</v>
      </c>
    </row>
    <row r="416" spans="1:21" x14ac:dyDescent="0.25">
      <c r="A416" t="s">
        <v>2755</v>
      </c>
      <c r="B416" t="s">
        <v>4</v>
      </c>
      <c r="C416" t="s">
        <v>109</v>
      </c>
      <c r="D416" t="s">
        <v>21</v>
      </c>
      <c r="E416" t="s">
        <v>788</v>
      </c>
      <c r="F416" t="s">
        <v>599</v>
      </c>
      <c r="G416" t="s">
        <v>2271</v>
      </c>
      <c r="H416" s="20">
        <v>46254</v>
      </c>
      <c r="I416">
        <v>1500</v>
      </c>
      <c r="J416">
        <v>66</v>
      </c>
      <c r="K416">
        <v>46</v>
      </c>
      <c r="L416">
        <v>37</v>
      </c>
      <c r="P416" t="s">
        <v>2272</v>
      </c>
      <c r="R416" t="s">
        <v>2273</v>
      </c>
      <c r="S416">
        <v>7</v>
      </c>
      <c r="T416" t="s">
        <v>2612</v>
      </c>
      <c r="U416" t="s">
        <v>2613</v>
      </c>
    </row>
    <row r="417" spans="1:21" x14ac:dyDescent="0.25">
      <c r="A417" t="s">
        <v>2756</v>
      </c>
      <c r="B417" t="s">
        <v>4</v>
      </c>
      <c r="C417" t="s">
        <v>109</v>
      </c>
      <c r="D417" t="s">
        <v>21</v>
      </c>
      <c r="E417" t="s">
        <v>789</v>
      </c>
      <c r="F417" t="s">
        <v>411</v>
      </c>
      <c r="G417" t="s">
        <v>2271</v>
      </c>
      <c r="H417" s="20">
        <v>46254</v>
      </c>
      <c r="I417">
        <v>1500</v>
      </c>
      <c r="J417">
        <v>66</v>
      </c>
      <c r="K417">
        <v>46</v>
      </c>
      <c r="L417">
        <v>37</v>
      </c>
      <c r="P417" t="s">
        <v>2272</v>
      </c>
      <c r="R417" t="s">
        <v>2273</v>
      </c>
      <c r="S417">
        <v>7</v>
      </c>
      <c r="T417" t="s">
        <v>2612</v>
      </c>
      <c r="U417" t="s">
        <v>2613</v>
      </c>
    </row>
    <row r="418" spans="1:21" x14ac:dyDescent="0.25">
      <c r="A418" t="s">
        <v>2757</v>
      </c>
      <c r="B418" t="s">
        <v>4</v>
      </c>
      <c r="C418" t="s">
        <v>109</v>
      </c>
      <c r="D418" t="s">
        <v>21</v>
      </c>
      <c r="E418" t="s">
        <v>790</v>
      </c>
      <c r="F418" t="s">
        <v>685</v>
      </c>
      <c r="G418" t="s">
        <v>2271</v>
      </c>
      <c r="H418" s="20">
        <v>46254</v>
      </c>
      <c r="I418">
        <v>1500</v>
      </c>
      <c r="J418">
        <v>66</v>
      </c>
      <c r="K418">
        <v>46</v>
      </c>
      <c r="L418">
        <v>37</v>
      </c>
      <c r="P418" t="s">
        <v>2272</v>
      </c>
      <c r="R418" t="s">
        <v>2273</v>
      </c>
      <c r="S418">
        <v>7</v>
      </c>
      <c r="T418" t="s">
        <v>2612</v>
      </c>
      <c r="U418" t="s">
        <v>2613</v>
      </c>
    </row>
    <row r="419" spans="1:21" x14ac:dyDescent="0.25">
      <c r="A419" t="s">
        <v>2758</v>
      </c>
      <c r="B419" t="s">
        <v>4</v>
      </c>
      <c r="C419" t="s">
        <v>113</v>
      </c>
      <c r="D419" t="s">
        <v>24</v>
      </c>
      <c r="E419" t="s">
        <v>792</v>
      </c>
      <c r="F419" t="s">
        <v>319</v>
      </c>
      <c r="G419" t="s">
        <v>2271</v>
      </c>
      <c r="H419" s="20">
        <v>46250</v>
      </c>
      <c r="I419">
        <v>1800</v>
      </c>
      <c r="J419">
        <v>77</v>
      </c>
      <c r="K419">
        <v>67</v>
      </c>
      <c r="L419">
        <v>49</v>
      </c>
      <c r="P419" t="s">
        <v>2272</v>
      </c>
      <c r="R419" t="s">
        <v>2273</v>
      </c>
      <c r="S419">
        <v>4</v>
      </c>
      <c r="T419" t="s">
        <v>2274</v>
      </c>
      <c r="U419" t="s">
        <v>2275</v>
      </c>
    </row>
    <row r="420" spans="1:21" x14ac:dyDescent="0.25">
      <c r="A420" t="s">
        <v>2759</v>
      </c>
      <c r="B420" t="s">
        <v>4</v>
      </c>
      <c r="C420" t="s">
        <v>113</v>
      </c>
      <c r="D420" t="s">
        <v>24</v>
      </c>
      <c r="E420" t="s">
        <v>793</v>
      </c>
      <c r="F420" t="s">
        <v>319</v>
      </c>
      <c r="G420" t="s">
        <v>2271</v>
      </c>
      <c r="H420" s="20">
        <v>46250</v>
      </c>
      <c r="I420">
        <v>1800</v>
      </c>
      <c r="J420">
        <v>77</v>
      </c>
      <c r="K420">
        <v>67</v>
      </c>
      <c r="L420">
        <v>49</v>
      </c>
      <c r="P420" t="s">
        <v>2272</v>
      </c>
      <c r="R420" t="s">
        <v>2273</v>
      </c>
      <c r="S420">
        <v>4</v>
      </c>
      <c r="T420" t="s">
        <v>2274</v>
      </c>
      <c r="U420" t="s">
        <v>2275</v>
      </c>
    </row>
    <row r="421" spans="1:21" x14ac:dyDescent="0.25">
      <c r="A421" t="s">
        <v>2760</v>
      </c>
      <c r="B421" t="s">
        <v>4</v>
      </c>
      <c r="C421" t="s">
        <v>113</v>
      </c>
      <c r="D421" t="s">
        <v>24</v>
      </c>
      <c r="E421" t="s">
        <v>794</v>
      </c>
      <c r="F421" t="s">
        <v>195</v>
      </c>
      <c r="G421" t="s">
        <v>2271</v>
      </c>
      <c r="H421" s="20">
        <v>46250</v>
      </c>
      <c r="I421">
        <v>1800</v>
      </c>
      <c r="J421">
        <v>77</v>
      </c>
      <c r="K421">
        <v>67</v>
      </c>
      <c r="L421">
        <v>49</v>
      </c>
      <c r="P421" t="s">
        <v>2272</v>
      </c>
      <c r="R421" t="s">
        <v>2273</v>
      </c>
      <c r="S421">
        <v>4</v>
      </c>
      <c r="T421" t="s">
        <v>2274</v>
      </c>
      <c r="U421" t="s">
        <v>2275</v>
      </c>
    </row>
    <row r="422" spans="1:21" x14ac:dyDescent="0.25">
      <c r="A422" t="s">
        <v>2761</v>
      </c>
      <c r="B422" t="s">
        <v>4</v>
      </c>
      <c r="C422" t="s">
        <v>113</v>
      </c>
      <c r="D422" t="s">
        <v>24</v>
      </c>
      <c r="E422" t="s">
        <v>795</v>
      </c>
      <c r="F422" t="s">
        <v>230</v>
      </c>
      <c r="G422" t="s">
        <v>2271</v>
      </c>
      <c r="H422" s="20">
        <v>46250</v>
      </c>
      <c r="I422">
        <v>1800</v>
      </c>
      <c r="J422">
        <v>77</v>
      </c>
      <c r="K422">
        <v>67</v>
      </c>
      <c r="L422">
        <v>49</v>
      </c>
      <c r="P422" t="s">
        <v>2272</v>
      </c>
      <c r="R422" t="s">
        <v>2273</v>
      </c>
      <c r="S422">
        <v>4</v>
      </c>
      <c r="T422" t="s">
        <v>2274</v>
      </c>
      <c r="U422" t="s">
        <v>2275</v>
      </c>
    </row>
    <row r="423" spans="1:21" x14ac:dyDescent="0.25">
      <c r="A423" t="s">
        <v>2762</v>
      </c>
      <c r="B423" t="s">
        <v>4</v>
      </c>
      <c r="C423" t="s">
        <v>113</v>
      </c>
      <c r="D423" t="s">
        <v>24</v>
      </c>
      <c r="E423" t="s">
        <v>796</v>
      </c>
      <c r="F423" t="s">
        <v>232</v>
      </c>
      <c r="G423" t="s">
        <v>2271</v>
      </c>
      <c r="H423" s="20">
        <v>46250</v>
      </c>
      <c r="I423">
        <v>1800</v>
      </c>
      <c r="J423">
        <v>77</v>
      </c>
      <c r="K423">
        <v>67</v>
      </c>
      <c r="L423">
        <v>49</v>
      </c>
      <c r="P423" t="s">
        <v>2272</v>
      </c>
      <c r="R423" t="s">
        <v>2273</v>
      </c>
      <c r="S423">
        <v>4</v>
      </c>
      <c r="T423" t="s">
        <v>2274</v>
      </c>
      <c r="U423" t="s">
        <v>2275</v>
      </c>
    </row>
    <row r="424" spans="1:21" x14ac:dyDescent="0.25">
      <c r="A424" t="s">
        <v>2763</v>
      </c>
      <c r="B424" t="s">
        <v>4</v>
      </c>
      <c r="C424" t="s">
        <v>113</v>
      </c>
      <c r="D424" t="s">
        <v>21</v>
      </c>
      <c r="E424" t="s">
        <v>797</v>
      </c>
      <c r="F424" t="s">
        <v>515</v>
      </c>
      <c r="G424" t="s">
        <v>2444</v>
      </c>
      <c r="H424" s="20">
        <v>46254</v>
      </c>
      <c r="I424">
        <v>1500</v>
      </c>
      <c r="J424">
        <v>80</v>
      </c>
      <c r="K424">
        <v>50</v>
      </c>
      <c r="L424">
        <v>38</v>
      </c>
      <c r="P424" t="s">
        <v>2272</v>
      </c>
      <c r="Q424" t="s">
        <v>2764</v>
      </c>
      <c r="R424" t="s">
        <v>2446</v>
      </c>
      <c r="S424">
        <v>13</v>
      </c>
      <c r="T424" t="s">
        <v>2765</v>
      </c>
      <c r="U424" t="s">
        <v>2766</v>
      </c>
    </row>
    <row r="425" spans="1:21" x14ac:dyDescent="0.25">
      <c r="A425" t="s">
        <v>2767</v>
      </c>
      <c r="B425" t="s">
        <v>4</v>
      </c>
      <c r="C425" t="s">
        <v>113</v>
      </c>
      <c r="D425" t="s">
        <v>21</v>
      </c>
      <c r="E425" t="s">
        <v>798</v>
      </c>
      <c r="F425" t="s">
        <v>49</v>
      </c>
      <c r="G425" t="s">
        <v>2271</v>
      </c>
      <c r="H425" s="20">
        <v>46254</v>
      </c>
      <c r="I425">
        <v>1500</v>
      </c>
      <c r="J425">
        <v>80</v>
      </c>
      <c r="K425">
        <v>50</v>
      </c>
      <c r="L425">
        <v>37</v>
      </c>
      <c r="P425" t="s">
        <v>2272</v>
      </c>
      <c r="R425" t="s">
        <v>2273</v>
      </c>
      <c r="S425">
        <v>7</v>
      </c>
      <c r="T425" t="s">
        <v>2612</v>
      </c>
      <c r="U425" t="s">
        <v>2613</v>
      </c>
    </row>
    <row r="426" spans="1:21" x14ac:dyDescent="0.25">
      <c r="A426" t="s">
        <v>2768</v>
      </c>
      <c r="B426" t="s">
        <v>4</v>
      </c>
      <c r="C426" t="s">
        <v>116</v>
      </c>
      <c r="D426" t="s">
        <v>24</v>
      </c>
      <c r="E426" t="s">
        <v>643</v>
      </c>
      <c r="F426" t="s">
        <v>94</v>
      </c>
      <c r="G426" t="s">
        <v>2271</v>
      </c>
      <c r="H426" s="20">
        <v>46250</v>
      </c>
      <c r="I426">
        <v>1800</v>
      </c>
      <c r="J426">
        <v>49</v>
      </c>
      <c r="K426">
        <v>40</v>
      </c>
      <c r="L426">
        <v>34</v>
      </c>
      <c r="P426" t="s">
        <v>2272</v>
      </c>
      <c r="R426" t="s">
        <v>2273</v>
      </c>
      <c r="S426">
        <v>4</v>
      </c>
      <c r="T426" t="s">
        <v>2274</v>
      </c>
      <c r="U426" t="s">
        <v>2275</v>
      </c>
    </row>
    <row r="427" spans="1:21" x14ac:dyDescent="0.25">
      <c r="A427" t="s">
        <v>2769</v>
      </c>
      <c r="B427" t="s">
        <v>4</v>
      </c>
      <c r="C427" t="s">
        <v>116</v>
      </c>
      <c r="D427" t="s">
        <v>24</v>
      </c>
      <c r="E427" t="s">
        <v>800</v>
      </c>
      <c r="F427" t="s">
        <v>801</v>
      </c>
      <c r="G427" t="s">
        <v>2271</v>
      </c>
      <c r="H427" s="20">
        <v>46250</v>
      </c>
      <c r="I427">
        <v>1800</v>
      </c>
      <c r="J427">
        <v>49</v>
      </c>
      <c r="K427">
        <v>40</v>
      </c>
      <c r="L427">
        <v>34</v>
      </c>
      <c r="P427" t="s">
        <v>2272</v>
      </c>
      <c r="R427" t="s">
        <v>2273</v>
      </c>
      <c r="S427">
        <v>4</v>
      </c>
      <c r="T427" t="s">
        <v>2274</v>
      </c>
      <c r="U427" t="s">
        <v>2275</v>
      </c>
    </row>
    <row r="428" spans="1:21" x14ac:dyDescent="0.25">
      <c r="A428" t="s">
        <v>2770</v>
      </c>
      <c r="B428" t="s">
        <v>4</v>
      </c>
      <c r="C428" t="s">
        <v>116</v>
      </c>
      <c r="D428" t="s">
        <v>24</v>
      </c>
      <c r="E428" t="s">
        <v>721</v>
      </c>
      <c r="F428" t="s">
        <v>256</v>
      </c>
      <c r="G428" t="s">
        <v>2271</v>
      </c>
      <c r="H428" s="20">
        <v>46250</v>
      </c>
      <c r="I428">
        <v>1800</v>
      </c>
      <c r="J428">
        <v>49</v>
      </c>
      <c r="K428">
        <v>40</v>
      </c>
      <c r="L428">
        <v>34</v>
      </c>
      <c r="P428" t="s">
        <v>2272</v>
      </c>
      <c r="R428" t="s">
        <v>2273</v>
      </c>
      <c r="S428">
        <v>4</v>
      </c>
      <c r="T428" t="s">
        <v>2274</v>
      </c>
      <c r="U428" t="s">
        <v>2275</v>
      </c>
    </row>
    <row r="429" spans="1:21" x14ac:dyDescent="0.25">
      <c r="A429" t="s">
        <v>2771</v>
      </c>
      <c r="B429" t="s">
        <v>4</v>
      </c>
      <c r="C429" t="s">
        <v>116</v>
      </c>
      <c r="D429" t="s">
        <v>24</v>
      </c>
      <c r="E429" t="s">
        <v>802</v>
      </c>
      <c r="F429" t="s">
        <v>628</v>
      </c>
      <c r="G429" t="s">
        <v>2271</v>
      </c>
      <c r="H429" s="20">
        <v>46250</v>
      </c>
      <c r="I429">
        <v>1800</v>
      </c>
      <c r="J429">
        <v>49</v>
      </c>
      <c r="K429">
        <v>40</v>
      </c>
      <c r="L429">
        <v>34</v>
      </c>
      <c r="P429" t="s">
        <v>2272</v>
      </c>
      <c r="R429" t="s">
        <v>2273</v>
      </c>
      <c r="S429">
        <v>4</v>
      </c>
      <c r="T429" t="s">
        <v>2274</v>
      </c>
      <c r="U429" t="s">
        <v>2275</v>
      </c>
    </row>
    <row r="430" spans="1:21" x14ac:dyDescent="0.25">
      <c r="A430" t="s">
        <v>2772</v>
      </c>
      <c r="B430" t="s">
        <v>4</v>
      </c>
      <c r="C430" t="s">
        <v>116</v>
      </c>
      <c r="D430" t="s">
        <v>21</v>
      </c>
      <c r="E430" t="s">
        <v>803</v>
      </c>
      <c r="F430" t="s">
        <v>86</v>
      </c>
      <c r="G430" t="s">
        <v>2271</v>
      </c>
      <c r="H430" s="20">
        <v>46254</v>
      </c>
      <c r="I430">
        <v>1500</v>
      </c>
      <c r="J430">
        <v>46</v>
      </c>
      <c r="K430">
        <v>29</v>
      </c>
      <c r="L430">
        <v>18</v>
      </c>
      <c r="P430" t="s">
        <v>2272</v>
      </c>
      <c r="R430" t="s">
        <v>2273</v>
      </c>
      <c r="S430">
        <v>5</v>
      </c>
      <c r="T430" t="s">
        <v>2319</v>
      </c>
      <c r="U430" t="s">
        <v>2320</v>
      </c>
    </row>
    <row r="431" spans="1:21" x14ac:dyDescent="0.25">
      <c r="A431" t="s">
        <v>2773</v>
      </c>
      <c r="B431" t="s">
        <v>4</v>
      </c>
      <c r="C431" t="s">
        <v>116</v>
      </c>
      <c r="D431" t="s">
        <v>21</v>
      </c>
      <c r="E431" t="s">
        <v>804</v>
      </c>
      <c r="F431" t="s">
        <v>396</v>
      </c>
      <c r="G431" t="s">
        <v>2271</v>
      </c>
      <c r="H431" s="20">
        <v>46254</v>
      </c>
      <c r="I431">
        <v>1500</v>
      </c>
      <c r="J431">
        <v>46</v>
      </c>
      <c r="K431">
        <v>29</v>
      </c>
      <c r="L431">
        <v>18</v>
      </c>
      <c r="P431" t="s">
        <v>2272</v>
      </c>
      <c r="R431" t="s">
        <v>2273</v>
      </c>
      <c r="S431">
        <v>5</v>
      </c>
      <c r="T431" t="s">
        <v>2319</v>
      </c>
      <c r="U431" t="s">
        <v>2320</v>
      </c>
    </row>
    <row r="432" spans="1:21" x14ac:dyDescent="0.25">
      <c r="A432" t="s">
        <v>2774</v>
      </c>
      <c r="B432" t="s">
        <v>4</v>
      </c>
      <c r="C432" t="s">
        <v>116</v>
      </c>
      <c r="D432" t="s">
        <v>21</v>
      </c>
      <c r="E432" t="s">
        <v>805</v>
      </c>
      <c r="F432" t="s">
        <v>806</v>
      </c>
      <c r="G432" t="s">
        <v>2271</v>
      </c>
      <c r="H432" s="20">
        <v>46254</v>
      </c>
      <c r="I432">
        <v>1500</v>
      </c>
      <c r="J432">
        <v>46</v>
      </c>
      <c r="K432">
        <v>29</v>
      </c>
      <c r="L432">
        <v>18</v>
      </c>
      <c r="P432" t="s">
        <v>2272</v>
      </c>
      <c r="R432" t="s">
        <v>2273</v>
      </c>
      <c r="S432">
        <v>5</v>
      </c>
      <c r="T432" t="s">
        <v>2319</v>
      </c>
      <c r="U432" t="s">
        <v>2320</v>
      </c>
    </row>
    <row r="433" spans="1:21" x14ac:dyDescent="0.25">
      <c r="A433" t="s">
        <v>2775</v>
      </c>
      <c r="B433" t="s">
        <v>4</v>
      </c>
      <c r="C433" t="s">
        <v>116</v>
      </c>
      <c r="D433" t="s">
        <v>21</v>
      </c>
      <c r="E433" t="s">
        <v>807</v>
      </c>
      <c r="F433" t="s">
        <v>530</v>
      </c>
      <c r="G433" t="s">
        <v>2271</v>
      </c>
      <c r="H433" s="20">
        <v>46254</v>
      </c>
      <c r="I433">
        <v>1500</v>
      </c>
      <c r="J433">
        <v>46</v>
      </c>
      <c r="K433">
        <v>29</v>
      </c>
      <c r="L433">
        <v>18</v>
      </c>
      <c r="P433" t="s">
        <v>2272</v>
      </c>
      <c r="R433" t="s">
        <v>2273</v>
      </c>
      <c r="S433">
        <v>5</v>
      </c>
      <c r="T433" t="s">
        <v>2319</v>
      </c>
      <c r="U433" t="s">
        <v>2320</v>
      </c>
    </row>
    <row r="434" spans="1:21" x14ac:dyDescent="0.25">
      <c r="A434" t="s">
        <v>2776</v>
      </c>
      <c r="B434" t="s">
        <v>4</v>
      </c>
      <c r="C434" t="s">
        <v>116</v>
      </c>
      <c r="D434" t="s">
        <v>21</v>
      </c>
      <c r="E434" t="s">
        <v>808</v>
      </c>
      <c r="F434" t="s">
        <v>674</v>
      </c>
      <c r="G434" t="s">
        <v>2271</v>
      </c>
      <c r="H434" s="20">
        <v>46254</v>
      </c>
      <c r="I434">
        <v>1500</v>
      </c>
      <c r="J434">
        <v>46</v>
      </c>
      <c r="K434">
        <v>29</v>
      </c>
      <c r="L434">
        <v>18</v>
      </c>
      <c r="P434" t="s">
        <v>2272</v>
      </c>
      <c r="R434" t="s">
        <v>2273</v>
      </c>
      <c r="S434">
        <v>5</v>
      </c>
      <c r="T434" t="s">
        <v>2319</v>
      </c>
      <c r="U434" t="s">
        <v>2320</v>
      </c>
    </row>
    <row r="435" spans="1:21" x14ac:dyDescent="0.25">
      <c r="A435" t="s">
        <v>2777</v>
      </c>
      <c r="B435" t="s">
        <v>4</v>
      </c>
      <c r="C435" t="s">
        <v>122</v>
      </c>
      <c r="D435" t="s">
        <v>24</v>
      </c>
      <c r="E435" t="s">
        <v>810</v>
      </c>
      <c r="F435" t="s">
        <v>484</v>
      </c>
      <c r="G435" t="s">
        <v>2271</v>
      </c>
      <c r="H435" s="20">
        <v>46250</v>
      </c>
      <c r="I435">
        <v>1800</v>
      </c>
      <c r="J435">
        <v>72</v>
      </c>
      <c r="K435">
        <v>58</v>
      </c>
      <c r="L435">
        <v>50</v>
      </c>
      <c r="P435" t="s">
        <v>2272</v>
      </c>
      <c r="R435" t="s">
        <v>2273</v>
      </c>
      <c r="S435">
        <v>4</v>
      </c>
      <c r="T435" t="s">
        <v>2274</v>
      </c>
      <c r="U435" t="s">
        <v>2275</v>
      </c>
    </row>
    <row r="436" spans="1:21" x14ac:dyDescent="0.25">
      <c r="A436" t="s">
        <v>2778</v>
      </c>
      <c r="B436" t="s">
        <v>4</v>
      </c>
      <c r="C436" t="s">
        <v>122</v>
      </c>
      <c r="D436" t="s">
        <v>24</v>
      </c>
      <c r="E436" t="s">
        <v>811</v>
      </c>
      <c r="F436" t="s">
        <v>455</v>
      </c>
      <c r="G436" t="s">
        <v>2271</v>
      </c>
      <c r="H436" s="20">
        <v>46250</v>
      </c>
      <c r="I436">
        <v>1800</v>
      </c>
      <c r="J436">
        <v>72</v>
      </c>
      <c r="K436">
        <v>58</v>
      </c>
      <c r="L436">
        <v>50</v>
      </c>
      <c r="P436" t="s">
        <v>2272</v>
      </c>
      <c r="R436" t="s">
        <v>2273</v>
      </c>
      <c r="S436">
        <v>4</v>
      </c>
      <c r="T436" t="s">
        <v>2274</v>
      </c>
      <c r="U436" t="s">
        <v>2275</v>
      </c>
    </row>
    <row r="437" spans="1:21" x14ac:dyDescent="0.25">
      <c r="A437" t="s">
        <v>2779</v>
      </c>
      <c r="B437" t="s">
        <v>4</v>
      </c>
      <c r="C437" t="s">
        <v>122</v>
      </c>
      <c r="D437" t="s">
        <v>24</v>
      </c>
      <c r="E437" t="s">
        <v>812</v>
      </c>
      <c r="F437" t="s">
        <v>685</v>
      </c>
      <c r="G437" t="s">
        <v>2271</v>
      </c>
      <c r="H437" s="20">
        <v>46250</v>
      </c>
      <c r="I437">
        <v>1800</v>
      </c>
      <c r="J437">
        <v>72</v>
      </c>
      <c r="K437">
        <v>58</v>
      </c>
      <c r="L437">
        <v>50</v>
      </c>
      <c r="P437" t="s">
        <v>2272</v>
      </c>
      <c r="R437" t="s">
        <v>2273</v>
      </c>
      <c r="S437">
        <v>4</v>
      </c>
      <c r="T437" t="s">
        <v>2274</v>
      </c>
      <c r="U437" t="s">
        <v>2275</v>
      </c>
    </row>
    <row r="438" spans="1:21" x14ac:dyDescent="0.25">
      <c r="A438" t="s">
        <v>2780</v>
      </c>
      <c r="B438" t="s">
        <v>4</v>
      </c>
      <c r="C438" t="s">
        <v>122</v>
      </c>
      <c r="D438" t="s">
        <v>21</v>
      </c>
      <c r="E438" t="s">
        <v>813</v>
      </c>
      <c r="F438" t="s">
        <v>237</v>
      </c>
      <c r="G438" t="s">
        <v>2271</v>
      </c>
      <c r="H438" s="20">
        <v>46254</v>
      </c>
      <c r="I438">
        <v>1500</v>
      </c>
      <c r="J438">
        <v>57</v>
      </c>
      <c r="K438">
        <v>50</v>
      </c>
      <c r="L438">
        <v>30</v>
      </c>
      <c r="M438">
        <v>16</v>
      </c>
      <c r="P438" t="s">
        <v>2272</v>
      </c>
      <c r="R438" t="s">
        <v>2273</v>
      </c>
      <c r="S438">
        <v>5</v>
      </c>
      <c r="T438" t="s">
        <v>2319</v>
      </c>
      <c r="U438" t="s">
        <v>2320</v>
      </c>
    </row>
    <row r="439" spans="1:21" x14ac:dyDescent="0.25">
      <c r="A439" t="s">
        <v>2781</v>
      </c>
      <c r="B439" t="s">
        <v>4</v>
      </c>
      <c r="C439" t="s">
        <v>122</v>
      </c>
      <c r="D439" t="s">
        <v>21</v>
      </c>
      <c r="E439" t="s">
        <v>814</v>
      </c>
      <c r="F439" t="s">
        <v>237</v>
      </c>
      <c r="G439" t="s">
        <v>2271</v>
      </c>
      <c r="H439" s="20">
        <v>46254</v>
      </c>
      <c r="I439">
        <v>1500</v>
      </c>
      <c r="J439">
        <v>57</v>
      </c>
      <c r="K439">
        <v>50</v>
      </c>
      <c r="L439">
        <v>30</v>
      </c>
      <c r="M439">
        <v>16</v>
      </c>
      <c r="P439" t="s">
        <v>2272</v>
      </c>
      <c r="R439" t="s">
        <v>2273</v>
      </c>
      <c r="S439">
        <v>5</v>
      </c>
      <c r="T439" t="s">
        <v>2319</v>
      </c>
      <c r="U439" t="s">
        <v>2320</v>
      </c>
    </row>
    <row r="440" spans="1:21" x14ac:dyDescent="0.25">
      <c r="A440" t="s">
        <v>2782</v>
      </c>
      <c r="B440" t="s">
        <v>4</v>
      </c>
      <c r="C440" t="s">
        <v>122</v>
      </c>
      <c r="D440" t="s">
        <v>21</v>
      </c>
      <c r="E440" t="s">
        <v>815</v>
      </c>
      <c r="F440" t="s">
        <v>300</v>
      </c>
      <c r="G440" t="s">
        <v>2271</v>
      </c>
      <c r="H440" s="20">
        <v>46254</v>
      </c>
      <c r="I440">
        <v>1500</v>
      </c>
      <c r="J440">
        <v>57</v>
      </c>
      <c r="K440">
        <v>50</v>
      </c>
      <c r="L440">
        <v>30</v>
      </c>
      <c r="M440">
        <v>16</v>
      </c>
      <c r="P440" t="s">
        <v>2272</v>
      </c>
      <c r="R440" t="s">
        <v>2273</v>
      </c>
      <c r="S440">
        <v>5</v>
      </c>
      <c r="T440" t="s">
        <v>2319</v>
      </c>
      <c r="U440" t="s">
        <v>2320</v>
      </c>
    </row>
    <row r="441" spans="1:21" x14ac:dyDescent="0.25">
      <c r="A441" t="s">
        <v>2783</v>
      </c>
      <c r="B441" t="s">
        <v>4</v>
      </c>
      <c r="C441" t="s">
        <v>124</v>
      </c>
      <c r="D441" t="s">
        <v>24</v>
      </c>
      <c r="E441" t="s">
        <v>817</v>
      </c>
      <c r="F441" t="s">
        <v>119</v>
      </c>
      <c r="G441" t="s">
        <v>2271</v>
      </c>
      <c r="H441" s="20">
        <v>46250</v>
      </c>
      <c r="I441">
        <v>1800</v>
      </c>
      <c r="J441">
        <v>45</v>
      </c>
      <c r="K441">
        <v>30</v>
      </c>
      <c r="L441">
        <v>20</v>
      </c>
      <c r="P441" t="s">
        <v>2272</v>
      </c>
      <c r="R441" t="s">
        <v>2273</v>
      </c>
      <c r="S441">
        <v>4</v>
      </c>
      <c r="T441" t="s">
        <v>2274</v>
      </c>
      <c r="U441" t="s">
        <v>2275</v>
      </c>
    </row>
    <row r="442" spans="1:21" x14ac:dyDescent="0.25">
      <c r="A442" t="s">
        <v>2784</v>
      </c>
      <c r="B442" t="s">
        <v>4</v>
      </c>
      <c r="C442" t="s">
        <v>124</v>
      </c>
      <c r="D442" t="s">
        <v>24</v>
      </c>
      <c r="E442" t="s">
        <v>818</v>
      </c>
      <c r="F442" t="s">
        <v>247</v>
      </c>
      <c r="G442" t="s">
        <v>2271</v>
      </c>
      <c r="H442" s="20">
        <v>46250</v>
      </c>
      <c r="I442">
        <v>1800</v>
      </c>
      <c r="J442">
        <v>45</v>
      </c>
      <c r="K442">
        <v>30</v>
      </c>
      <c r="L442">
        <v>20</v>
      </c>
      <c r="P442" t="s">
        <v>2272</v>
      </c>
      <c r="R442" t="s">
        <v>2273</v>
      </c>
      <c r="S442">
        <v>4</v>
      </c>
      <c r="T442" t="s">
        <v>2274</v>
      </c>
      <c r="U442" t="s">
        <v>2275</v>
      </c>
    </row>
    <row r="443" spans="1:21" x14ac:dyDescent="0.25">
      <c r="A443" t="s">
        <v>2785</v>
      </c>
      <c r="B443" t="s">
        <v>4</v>
      </c>
      <c r="C443" t="s">
        <v>124</v>
      </c>
      <c r="D443" t="s">
        <v>24</v>
      </c>
      <c r="E443" t="s">
        <v>819</v>
      </c>
      <c r="F443" t="s">
        <v>820</v>
      </c>
      <c r="G443" t="s">
        <v>2271</v>
      </c>
      <c r="H443" s="20">
        <v>46250</v>
      </c>
      <c r="I443">
        <v>1800</v>
      </c>
      <c r="J443">
        <v>45</v>
      </c>
      <c r="K443">
        <v>30</v>
      </c>
      <c r="L443">
        <v>20</v>
      </c>
      <c r="P443" t="s">
        <v>2272</v>
      </c>
      <c r="R443" t="s">
        <v>2273</v>
      </c>
      <c r="S443">
        <v>4</v>
      </c>
      <c r="T443" t="s">
        <v>2274</v>
      </c>
      <c r="U443" t="s">
        <v>2275</v>
      </c>
    </row>
    <row r="444" spans="1:21" x14ac:dyDescent="0.25">
      <c r="A444" t="s">
        <v>2786</v>
      </c>
      <c r="B444" t="s">
        <v>4</v>
      </c>
      <c r="C444" t="s">
        <v>124</v>
      </c>
      <c r="D444" t="s">
        <v>24</v>
      </c>
      <c r="E444" t="s">
        <v>821</v>
      </c>
      <c r="F444" t="s">
        <v>396</v>
      </c>
      <c r="G444" t="s">
        <v>2271</v>
      </c>
      <c r="H444" s="20">
        <v>46250</v>
      </c>
      <c r="I444">
        <v>1800</v>
      </c>
      <c r="J444">
        <v>45</v>
      </c>
      <c r="K444">
        <v>30</v>
      </c>
      <c r="L444">
        <v>20</v>
      </c>
      <c r="P444" t="s">
        <v>2272</v>
      </c>
      <c r="R444" t="s">
        <v>2273</v>
      </c>
      <c r="S444">
        <v>4</v>
      </c>
      <c r="T444" t="s">
        <v>2274</v>
      </c>
      <c r="U444" t="s">
        <v>2275</v>
      </c>
    </row>
    <row r="445" spans="1:21" x14ac:dyDescent="0.25">
      <c r="A445" t="s">
        <v>2787</v>
      </c>
      <c r="B445" t="s">
        <v>4</v>
      </c>
      <c r="C445" t="s">
        <v>124</v>
      </c>
      <c r="D445" t="s">
        <v>24</v>
      </c>
      <c r="E445" t="s">
        <v>822</v>
      </c>
      <c r="F445" t="s">
        <v>315</v>
      </c>
      <c r="G445" t="s">
        <v>2271</v>
      </c>
      <c r="H445" s="20">
        <v>46250</v>
      </c>
      <c r="I445">
        <v>1800</v>
      </c>
      <c r="J445">
        <v>45</v>
      </c>
      <c r="K445">
        <v>30</v>
      </c>
      <c r="L445">
        <v>20</v>
      </c>
      <c r="P445" t="s">
        <v>2272</v>
      </c>
      <c r="R445" t="s">
        <v>2273</v>
      </c>
      <c r="S445">
        <v>4</v>
      </c>
      <c r="T445" t="s">
        <v>2274</v>
      </c>
      <c r="U445" t="s">
        <v>2275</v>
      </c>
    </row>
    <row r="446" spans="1:21" x14ac:dyDescent="0.25">
      <c r="A446" t="s">
        <v>2788</v>
      </c>
      <c r="B446" t="s">
        <v>4</v>
      </c>
      <c r="C446" t="s">
        <v>124</v>
      </c>
      <c r="D446" t="s">
        <v>24</v>
      </c>
      <c r="E446" t="s">
        <v>823</v>
      </c>
      <c r="F446" t="s">
        <v>388</v>
      </c>
      <c r="G446" t="s">
        <v>2271</v>
      </c>
      <c r="H446" s="20">
        <v>46250</v>
      </c>
      <c r="I446">
        <v>1800</v>
      </c>
      <c r="J446">
        <v>45</v>
      </c>
      <c r="K446">
        <v>30</v>
      </c>
      <c r="L446">
        <v>20</v>
      </c>
      <c r="P446" t="s">
        <v>2272</v>
      </c>
      <c r="R446" t="s">
        <v>2273</v>
      </c>
      <c r="S446">
        <v>4</v>
      </c>
      <c r="T446" t="s">
        <v>2274</v>
      </c>
      <c r="U446" t="s">
        <v>2275</v>
      </c>
    </row>
    <row r="447" spans="1:21" x14ac:dyDescent="0.25">
      <c r="A447" t="s">
        <v>2789</v>
      </c>
      <c r="B447" t="s">
        <v>4</v>
      </c>
      <c r="C447" t="s">
        <v>124</v>
      </c>
      <c r="D447" t="s">
        <v>24</v>
      </c>
      <c r="E447" t="s">
        <v>824</v>
      </c>
      <c r="F447" t="s">
        <v>96</v>
      </c>
      <c r="G447" t="s">
        <v>2271</v>
      </c>
      <c r="H447" s="20">
        <v>46250</v>
      </c>
      <c r="I447">
        <v>1800</v>
      </c>
      <c r="J447">
        <v>45</v>
      </c>
      <c r="K447">
        <v>30</v>
      </c>
      <c r="L447">
        <v>20</v>
      </c>
      <c r="P447" t="s">
        <v>2272</v>
      </c>
      <c r="R447" t="s">
        <v>2273</v>
      </c>
      <c r="S447">
        <v>4</v>
      </c>
      <c r="T447" t="s">
        <v>2274</v>
      </c>
      <c r="U447" t="s">
        <v>2275</v>
      </c>
    </row>
    <row r="448" spans="1:21" x14ac:dyDescent="0.25">
      <c r="A448" t="s">
        <v>2790</v>
      </c>
      <c r="B448" t="s">
        <v>4</v>
      </c>
      <c r="C448" t="s">
        <v>124</v>
      </c>
      <c r="D448" t="s">
        <v>21</v>
      </c>
      <c r="E448" t="s">
        <v>825</v>
      </c>
      <c r="F448" t="s">
        <v>676</v>
      </c>
      <c r="G448" t="s">
        <v>2271</v>
      </c>
      <c r="H448" s="20">
        <v>46254</v>
      </c>
      <c r="I448">
        <v>1500</v>
      </c>
      <c r="J448">
        <v>37</v>
      </c>
      <c r="K448">
        <v>21</v>
      </c>
      <c r="L448">
        <v>16</v>
      </c>
      <c r="M448">
        <v>10</v>
      </c>
      <c r="P448" t="s">
        <v>2272</v>
      </c>
      <c r="R448" t="s">
        <v>2273</v>
      </c>
      <c r="S448">
        <v>5</v>
      </c>
      <c r="T448" t="s">
        <v>2319</v>
      </c>
      <c r="U448" t="s">
        <v>2320</v>
      </c>
    </row>
    <row r="449" spans="1:21" x14ac:dyDescent="0.25">
      <c r="A449" t="s">
        <v>2791</v>
      </c>
      <c r="B449" t="s">
        <v>4</v>
      </c>
      <c r="C449" t="s">
        <v>124</v>
      </c>
      <c r="D449" t="s">
        <v>21</v>
      </c>
      <c r="E449" t="s">
        <v>826</v>
      </c>
      <c r="F449" t="s">
        <v>534</v>
      </c>
      <c r="G449" t="s">
        <v>2271</v>
      </c>
      <c r="H449" s="20">
        <v>46254</v>
      </c>
      <c r="I449">
        <v>1500</v>
      </c>
      <c r="J449">
        <v>37</v>
      </c>
      <c r="K449">
        <v>21</v>
      </c>
      <c r="L449">
        <v>16</v>
      </c>
      <c r="M449">
        <v>10</v>
      </c>
      <c r="P449" t="s">
        <v>2272</v>
      </c>
      <c r="R449" t="s">
        <v>2273</v>
      </c>
      <c r="S449">
        <v>5</v>
      </c>
      <c r="T449" t="s">
        <v>2319</v>
      </c>
      <c r="U449" t="s">
        <v>2320</v>
      </c>
    </row>
    <row r="450" spans="1:21" x14ac:dyDescent="0.25">
      <c r="A450" t="s">
        <v>2792</v>
      </c>
      <c r="B450" t="s">
        <v>4</v>
      </c>
      <c r="C450" t="s">
        <v>124</v>
      </c>
      <c r="D450" t="s">
        <v>21</v>
      </c>
      <c r="E450" t="s">
        <v>827</v>
      </c>
      <c r="F450" t="s">
        <v>252</v>
      </c>
      <c r="G450" t="s">
        <v>2271</v>
      </c>
      <c r="H450" s="20">
        <v>46254</v>
      </c>
      <c r="I450">
        <v>1500</v>
      </c>
      <c r="J450">
        <v>37</v>
      </c>
      <c r="K450">
        <v>21</v>
      </c>
      <c r="L450">
        <v>16</v>
      </c>
      <c r="M450">
        <v>10</v>
      </c>
      <c r="P450" t="s">
        <v>2272</v>
      </c>
      <c r="R450" t="s">
        <v>2273</v>
      </c>
      <c r="S450">
        <v>5</v>
      </c>
      <c r="T450" t="s">
        <v>2319</v>
      </c>
      <c r="U450" t="s">
        <v>2320</v>
      </c>
    </row>
    <row r="451" spans="1:21" x14ac:dyDescent="0.25">
      <c r="A451" t="s">
        <v>2793</v>
      </c>
      <c r="B451" t="s">
        <v>4</v>
      </c>
      <c r="C451" t="s">
        <v>124</v>
      </c>
      <c r="D451" t="s">
        <v>21</v>
      </c>
      <c r="E451" t="s">
        <v>828</v>
      </c>
      <c r="F451" t="s">
        <v>76</v>
      </c>
      <c r="G451" t="s">
        <v>2271</v>
      </c>
      <c r="H451" s="20">
        <v>46254</v>
      </c>
      <c r="I451">
        <v>1500</v>
      </c>
      <c r="J451">
        <v>37</v>
      </c>
      <c r="K451">
        <v>21</v>
      </c>
      <c r="L451">
        <v>16</v>
      </c>
      <c r="M451">
        <v>10</v>
      </c>
      <c r="P451" t="s">
        <v>2272</v>
      </c>
      <c r="R451" t="s">
        <v>2273</v>
      </c>
      <c r="S451">
        <v>5</v>
      </c>
      <c r="T451" t="s">
        <v>2319</v>
      </c>
      <c r="U451" t="s">
        <v>2320</v>
      </c>
    </row>
    <row r="452" spans="1:21" x14ac:dyDescent="0.25">
      <c r="A452" t="s">
        <v>2794</v>
      </c>
      <c r="B452" t="s">
        <v>4</v>
      </c>
      <c r="C452" t="s">
        <v>124</v>
      </c>
      <c r="D452" t="s">
        <v>29</v>
      </c>
      <c r="E452" t="s">
        <v>829</v>
      </c>
      <c r="F452" t="s">
        <v>830</v>
      </c>
      <c r="H452" s="20"/>
      <c r="P452" t="s">
        <v>2291</v>
      </c>
      <c r="R452" t="s">
        <v>2292</v>
      </c>
    </row>
    <row r="453" spans="1:21" x14ac:dyDescent="0.25">
      <c r="A453" t="s">
        <v>2795</v>
      </c>
      <c r="B453" t="s">
        <v>4</v>
      </c>
      <c r="C453" t="s">
        <v>124</v>
      </c>
      <c r="D453" t="s">
        <v>29</v>
      </c>
      <c r="E453" t="s">
        <v>831</v>
      </c>
      <c r="F453" t="s">
        <v>832</v>
      </c>
      <c r="H453" s="20"/>
      <c r="P453" t="s">
        <v>2291</v>
      </c>
      <c r="R453" t="s">
        <v>2292</v>
      </c>
    </row>
    <row r="454" spans="1:21" x14ac:dyDescent="0.25">
      <c r="A454" t="s">
        <v>2796</v>
      </c>
      <c r="B454" t="s">
        <v>4</v>
      </c>
      <c r="C454" t="s">
        <v>124</v>
      </c>
      <c r="D454" t="s">
        <v>29</v>
      </c>
      <c r="E454" t="s">
        <v>833</v>
      </c>
      <c r="F454" t="s">
        <v>76</v>
      </c>
      <c r="H454" s="20"/>
      <c r="P454" t="s">
        <v>2291</v>
      </c>
      <c r="R454" t="s">
        <v>2292</v>
      </c>
    </row>
    <row r="455" spans="1:21" x14ac:dyDescent="0.25">
      <c r="A455" t="s">
        <v>2797</v>
      </c>
      <c r="B455" t="s">
        <v>4</v>
      </c>
      <c r="C455" t="s">
        <v>124</v>
      </c>
      <c r="D455" t="s">
        <v>21</v>
      </c>
      <c r="E455" t="s">
        <v>834</v>
      </c>
      <c r="F455" t="s">
        <v>676</v>
      </c>
      <c r="G455" t="s">
        <v>2271</v>
      </c>
      <c r="H455" s="20">
        <v>46254</v>
      </c>
      <c r="I455">
        <v>1500</v>
      </c>
      <c r="J455">
        <v>37</v>
      </c>
      <c r="K455">
        <v>21</v>
      </c>
      <c r="L455">
        <v>16</v>
      </c>
      <c r="M455">
        <v>10</v>
      </c>
      <c r="P455" t="s">
        <v>2272</v>
      </c>
      <c r="R455" t="s">
        <v>2273</v>
      </c>
      <c r="S455">
        <v>5</v>
      </c>
      <c r="T455" t="s">
        <v>2319</v>
      </c>
      <c r="U455" t="s">
        <v>2320</v>
      </c>
    </row>
    <row r="456" spans="1:21" x14ac:dyDescent="0.25">
      <c r="A456" t="s">
        <v>2798</v>
      </c>
      <c r="B456" t="s">
        <v>4</v>
      </c>
      <c r="C456" t="s">
        <v>124</v>
      </c>
      <c r="D456" t="s">
        <v>21</v>
      </c>
      <c r="E456" t="s">
        <v>835</v>
      </c>
      <c r="F456" t="s">
        <v>836</v>
      </c>
      <c r="G456" t="s">
        <v>2271</v>
      </c>
      <c r="H456" s="20">
        <v>46254</v>
      </c>
      <c r="I456">
        <v>1500</v>
      </c>
      <c r="J456">
        <v>37</v>
      </c>
      <c r="K456">
        <v>21</v>
      </c>
      <c r="L456">
        <v>16</v>
      </c>
      <c r="M456">
        <v>10</v>
      </c>
      <c r="P456" t="s">
        <v>2272</v>
      </c>
      <c r="R456" t="s">
        <v>2273</v>
      </c>
      <c r="S456">
        <v>5</v>
      </c>
      <c r="T456" t="s">
        <v>2319</v>
      </c>
      <c r="U456" t="s">
        <v>2320</v>
      </c>
    </row>
    <row r="457" spans="1:21" x14ac:dyDescent="0.25">
      <c r="A457" t="s">
        <v>2799</v>
      </c>
      <c r="B457" t="s">
        <v>4</v>
      </c>
      <c r="C457" t="s">
        <v>124</v>
      </c>
      <c r="D457" t="s">
        <v>21</v>
      </c>
      <c r="E457" t="s">
        <v>837</v>
      </c>
      <c r="F457" t="s">
        <v>678</v>
      </c>
      <c r="G457" t="s">
        <v>2271</v>
      </c>
      <c r="H457" s="20">
        <v>46254</v>
      </c>
      <c r="I457">
        <v>1500</v>
      </c>
      <c r="J457">
        <v>37</v>
      </c>
      <c r="K457">
        <v>21</v>
      </c>
      <c r="L457">
        <v>16</v>
      </c>
      <c r="M457">
        <v>10</v>
      </c>
      <c r="P457" t="s">
        <v>2272</v>
      </c>
      <c r="R457" t="s">
        <v>2273</v>
      </c>
      <c r="S457">
        <v>5</v>
      </c>
      <c r="T457" t="s">
        <v>2319</v>
      </c>
      <c r="U457" t="s">
        <v>2320</v>
      </c>
    </row>
    <row r="458" spans="1:21" x14ac:dyDescent="0.25">
      <c r="A458" t="s">
        <v>2800</v>
      </c>
      <c r="B458" t="s">
        <v>4</v>
      </c>
      <c r="C458" t="s">
        <v>128</v>
      </c>
      <c r="D458" t="s">
        <v>24</v>
      </c>
      <c r="E458" t="s">
        <v>839</v>
      </c>
      <c r="F458" t="s">
        <v>307</v>
      </c>
      <c r="G458" t="s">
        <v>2271</v>
      </c>
      <c r="H458" s="20">
        <v>46250</v>
      </c>
      <c r="I458">
        <v>1800</v>
      </c>
      <c r="J458">
        <v>41</v>
      </c>
      <c r="K458">
        <v>33</v>
      </c>
      <c r="L458">
        <v>29</v>
      </c>
      <c r="P458" t="s">
        <v>2272</v>
      </c>
      <c r="R458" t="s">
        <v>2273</v>
      </c>
      <c r="S458">
        <v>4</v>
      </c>
      <c r="T458" t="s">
        <v>2274</v>
      </c>
      <c r="U458" t="s">
        <v>2275</v>
      </c>
    </row>
    <row r="459" spans="1:21" x14ac:dyDescent="0.25">
      <c r="A459" t="s">
        <v>2801</v>
      </c>
      <c r="B459" t="s">
        <v>4</v>
      </c>
      <c r="C459" t="s">
        <v>128</v>
      </c>
      <c r="D459" t="s">
        <v>24</v>
      </c>
      <c r="E459" t="s">
        <v>840</v>
      </c>
      <c r="F459" t="s">
        <v>772</v>
      </c>
      <c r="G459" t="s">
        <v>2271</v>
      </c>
      <c r="H459" s="20">
        <v>46250</v>
      </c>
      <c r="I459">
        <v>1800</v>
      </c>
      <c r="J459">
        <v>41</v>
      </c>
      <c r="K459">
        <v>33</v>
      </c>
      <c r="L459">
        <v>29</v>
      </c>
      <c r="P459" t="s">
        <v>2272</v>
      </c>
      <c r="R459" t="s">
        <v>2273</v>
      </c>
      <c r="S459">
        <v>4</v>
      </c>
      <c r="T459" t="s">
        <v>2274</v>
      </c>
      <c r="U459" t="s">
        <v>2275</v>
      </c>
    </row>
    <row r="460" spans="1:21" x14ac:dyDescent="0.25">
      <c r="A460" t="s">
        <v>2802</v>
      </c>
      <c r="B460" t="s">
        <v>4</v>
      </c>
      <c r="C460" t="s">
        <v>128</v>
      </c>
      <c r="D460" t="s">
        <v>24</v>
      </c>
      <c r="E460" t="s">
        <v>841</v>
      </c>
      <c r="F460" t="s">
        <v>396</v>
      </c>
      <c r="G460" t="s">
        <v>2271</v>
      </c>
      <c r="H460" s="20">
        <v>46250</v>
      </c>
      <c r="I460">
        <v>1800</v>
      </c>
      <c r="J460">
        <v>41</v>
      </c>
      <c r="K460">
        <v>33</v>
      </c>
      <c r="L460">
        <v>29</v>
      </c>
      <c r="P460" t="s">
        <v>2272</v>
      </c>
      <c r="R460" t="s">
        <v>2273</v>
      </c>
      <c r="S460">
        <v>4</v>
      </c>
      <c r="T460" t="s">
        <v>2274</v>
      </c>
      <c r="U460" t="s">
        <v>2275</v>
      </c>
    </row>
    <row r="461" spans="1:21" x14ac:dyDescent="0.25">
      <c r="A461" t="s">
        <v>2803</v>
      </c>
      <c r="B461" t="s">
        <v>4</v>
      </c>
      <c r="C461" t="s">
        <v>128</v>
      </c>
      <c r="D461" t="s">
        <v>24</v>
      </c>
      <c r="E461" t="s">
        <v>842</v>
      </c>
      <c r="F461" t="s">
        <v>60</v>
      </c>
      <c r="G461" t="s">
        <v>2271</v>
      </c>
      <c r="H461" s="20">
        <v>46250</v>
      </c>
      <c r="I461">
        <v>1800</v>
      </c>
      <c r="J461">
        <v>41</v>
      </c>
      <c r="K461">
        <v>33</v>
      </c>
      <c r="L461">
        <v>29</v>
      </c>
      <c r="P461" t="s">
        <v>2272</v>
      </c>
      <c r="R461" t="s">
        <v>2273</v>
      </c>
      <c r="S461">
        <v>4</v>
      </c>
      <c r="T461" t="s">
        <v>2274</v>
      </c>
      <c r="U461" t="s">
        <v>2275</v>
      </c>
    </row>
    <row r="462" spans="1:21" x14ac:dyDescent="0.25">
      <c r="A462" t="s">
        <v>2804</v>
      </c>
      <c r="B462" t="s">
        <v>4</v>
      </c>
      <c r="C462" t="s">
        <v>128</v>
      </c>
      <c r="D462" t="s">
        <v>24</v>
      </c>
      <c r="E462" t="s">
        <v>740</v>
      </c>
      <c r="F462" t="s">
        <v>221</v>
      </c>
      <c r="G462" t="s">
        <v>2271</v>
      </c>
      <c r="H462" s="20">
        <v>46250</v>
      </c>
      <c r="I462">
        <v>1800</v>
      </c>
      <c r="J462">
        <v>41</v>
      </c>
      <c r="K462">
        <v>33</v>
      </c>
      <c r="L462">
        <v>29</v>
      </c>
      <c r="P462" t="s">
        <v>2272</v>
      </c>
      <c r="R462" t="s">
        <v>2273</v>
      </c>
      <c r="S462">
        <v>4</v>
      </c>
      <c r="T462" t="s">
        <v>2274</v>
      </c>
      <c r="U462" t="s">
        <v>2275</v>
      </c>
    </row>
    <row r="463" spans="1:21" x14ac:dyDescent="0.25">
      <c r="A463" t="s">
        <v>2805</v>
      </c>
      <c r="B463" t="s">
        <v>4</v>
      </c>
      <c r="C463" t="s">
        <v>128</v>
      </c>
      <c r="D463" t="s">
        <v>29</v>
      </c>
      <c r="E463" t="s">
        <v>843</v>
      </c>
      <c r="F463" t="s">
        <v>119</v>
      </c>
      <c r="H463" s="20"/>
      <c r="P463" t="s">
        <v>2291</v>
      </c>
      <c r="R463" t="s">
        <v>2292</v>
      </c>
    </row>
    <row r="464" spans="1:21" x14ac:dyDescent="0.25">
      <c r="A464" t="s">
        <v>2806</v>
      </c>
      <c r="B464" t="s">
        <v>4</v>
      </c>
      <c r="C464" t="s">
        <v>128</v>
      </c>
      <c r="D464" t="s">
        <v>21</v>
      </c>
      <c r="E464" t="s">
        <v>844</v>
      </c>
      <c r="F464" t="s">
        <v>56</v>
      </c>
      <c r="G464" t="s">
        <v>2271</v>
      </c>
      <c r="H464" s="20">
        <v>46254</v>
      </c>
      <c r="I464">
        <v>1500</v>
      </c>
      <c r="J464">
        <v>46</v>
      </c>
      <c r="K464">
        <v>29</v>
      </c>
      <c r="L464">
        <v>18</v>
      </c>
      <c r="P464" t="s">
        <v>2272</v>
      </c>
      <c r="R464" t="s">
        <v>2273</v>
      </c>
      <c r="S464">
        <v>5</v>
      </c>
      <c r="T464" t="s">
        <v>2319</v>
      </c>
      <c r="U464" t="s">
        <v>2320</v>
      </c>
    </row>
    <row r="465" spans="1:21" x14ac:dyDescent="0.25">
      <c r="A465" t="s">
        <v>2807</v>
      </c>
      <c r="B465" t="s">
        <v>4</v>
      </c>
      <c r="C465" t="s">
        <v>128</v>
      </c>
      <c r="D465" t="s">
        <v>21</v>
      </c>
      <c r="E465" t="s">
        <v>845</v>
      </c>
      <c r="F465" t="s">
        <v>846</v>
      </c>
      <c r="G465" t="s">
        <v>2271</v>
      </c>
      <c r="H465" s="20">
        <v>46254</v>
      </c>
      <c r="I465">
        <v>1500</v>
      </c>
      <c r="J465">
        <v>46</v>
      </c>
      <c r="K465">
        <v>29</v>
      </c>
      <c r="L465">
        <v>18</v>
      </c>
      <c r="P465" t="s">
        <v>2272</v>
      </c>
      <c r="R465" t="s">
        <v>2273</v>
      </c>
      <c r="S465">
        <v>5</v>
      </c>
      <c r="T465" t="s">
        <v>2319</v>
      </c>
      <c r="U465" t="s">
        <v>2320</v>
      </c>
    </row>
    <row r="466" spans="1:21" x14ac:dyDescent="0.25">
      <c r="A466" t="s">
        <v>2808</v>
      </c>
      <c r="B466" t="s">
        <v>4</v>
      </c>
      <c r="C466" t="s">
        <v>132</v>
      </c>
      <c r="D466" t="s">
        <v>24</v>
      </c>
      <c r="E466" t="s">
        <v>848</v>
      </c>
      <c r="F466" t="s">
        <v>72</v>
      </c>
      <c r="G466" t="s">
        <v>2271</v>
      </c>
      <c r="H466" s="20">
        <v>46250</v>
      </c>
      <c r="I466">
        <v>1800</v>
      </c>
      <c r="J466">
        <v>73</v>
      </c>
      <c r="K466">
        <v>58</v>
      </c>
      <c r="L466">
        <v>43</v>
      </c>
      <c r="M466">
        <v>20</v>
      </c>
      <c r="P466" t="s">
        <v>2272</v>
      </c>
      <c r="R466" t="s">
        <v>2273</v>
      </c>
      <c r="S466">
        <v>4</v>
      </c>
      <c r="T466" t="s">
        <v>2274</v>
      </c>
      <c r="U466" t="s">
        <v>2275</v>
      </c>
    </row>
    <row r="467" spans="1:21" x14ac:dyDescent="0.25">
      <c r="A467" t="s">
        <v>2809</v>
      </c>
      <c r="B467" t="s">
        <v>4</v>
      </c>
      <c r="C467" t="s">
        <v>132</v>
      </c>
      <c r="D467" t="s">
        <v>21</v>
      </c>
      <c r="E467" t="s">
        <v>849</v>
      </c>
      <c r="F467" t="s">
        <v>215</v>
      </c>
      <c r="G467" t="s">
        <v>2271</v>
      </c>
      <c r="H467" s="20">
        <v>46254</v>
      </c>
      <c r="I467">
        <v>1500</v>
      </c>
      <c r="J467">
        <v>78</v>
      </c>
      <c r="K467">
        <v>58</v>
      </c>
      <c r="L467">
        <v>48</v>
      </c>
      <c r="P467" t="s">
        <v>2272</v>
      </c>
      <c r="R467" t="s">
        <v>2273</v>
      </c>
      <c r="S467">
        <v>5</v>
      </c>
      <c r="T467" t="s">
        <v>2319</v>
      </c>
      <c r="U467" t="s">
        <v>2320</v>
      </c>
    </row>
    <row r="468" spans="1:21" x14ac:dyDescent="0.25">
      <c r="A468" t="s">
        <v>2810</v>
      </c>
      <c r="B468" t="s">
        <v>4</v>
      </c>
      <c r="C468" t="s">
        <v>132</v>
      </c>
      <c r="D468" t="s">
        <v>21</v>
      </c>
      <c r="E468" t="s">
        <v>850</v>
      </c>
      <c r="F468" t="s">
        <v>215</v>
      </c>
      <c r="G468" t="s">
        <v>2271</v>
      </c>
      <c r="H468" s="20">
        <v>46254</v>
      </c>
      <c r="I468">
        <v>1500</v>
      </c>
      <c r="J468">
        <v>78</v>
      </c>
      <c r="K468">
        <v>58</v>
      </c>
      <c r="L468">
        <v>48</v>
      </c>
      <c r="P468" t="s">
        <v>2272</v>
      </c>
      <c r="R468" t="s">
        <v>2273</v>
      </c>
      <c r="S468">
        <v>5</v>
      </c>
      <c r="T468" t="s">
        <v>2319</v>
      </c>
      <c r="U468" t="s">
        <v>2320</v>
      </c>
    </row>
    <row r="469" spans="1:21" x14ac:dyDescent="0.25">
      <c r="A469" t="s">
        <v>2811</v>
      </c>
      <c r="B469" t="s">
        <v>4</v>
      </c>
      <c r="C469" t="s">
        <v>132</v>
      </c>
      <c r="D469" t="s">
        <v>21</v>
      </c>
      <c r="E469" t="s">
        <v>851</v>
      </c>
      <c r="F469" t="s">
        <v>170</v>
      </c>
      <c r="G469" t="s">
        <v>2271</v>
      </c>
      <c r="H469" s="20">
        <v>46254</v>
      </c>
      <c r="I469">
        <v>1500</v>
      </c>
      <c r="J469">
        <v>78</v>
      </c>
      <c r="K469">
        <v>58</v>
      </c>
      <c r="L469">
        <v>48</v>
      </c>
      <c r="P469" t="s">
        <v>2272</v>
      </c>
      <c r="R469" t="s">
        <v>2273</v>
      </c>
      <c r="S469">
        <v>5</v>
      </c>
      <c r="T469" t="s">
        <v>2319</v>
      </c>
      <c r="U469" t="s">
        <v>2320</v>
      </c>
    </row>
    <row r="470" spans="1:21" x14ac:dyDescent="0.25">
      <c r="A470" t="s">
        <v>2812</v>
      </c>
      <c r="B470" t="s">
        <v>4</v>
      </c>
      <c r="C470" t="s">
        <v>132</v>
      </c>
      <c r="D470" t="s">
        <v>21</v>
      </c>
      <c r="E470" t="s">
        <v>852</v>
      </c>
      <c r="F470" t="s">
        <v>390</v>
      </c>
      <c r="G470" t="s">
        <v>2271</v>
      </c>
      <c r="H470" s="20">
        <v>46254</v>
      </c>
      <c r="I470">
        <v>1500</v>
      </c>
      <c r="J470">
        <v>78</v>
      </c>
      <c r="K470">
        <v>58</v>
      </c>
      <c r="L470">
        <v>48</v>
      </c>
      <c r="P470" t="s">
        <v>2272</v>
      </c>
      <c r="R470" t="s">
        <v>2273</v>
      </c>
      <c r="S470">
        <v>5</v>
      </c>
      <c r="T470" t="s">
        <v>2319</v>
      </c>
      <c r="U470" t="s">
        <v>2320</v>
      </c>
    </row>
    <row r="471" spans="1:21" x14ac:dyDescent="0.25">
      <c r="A471" t="s">
        <v>2813</v>
      </c>
      <c r="B471" t="s">
        <v>4</v>
      </c>
      <c r="C471" t="s">
        <v>132</v>
      </c>
      <c r="D471" t="s">
        <v>21</v>
      </c>
      <c r="E471" t="s">
        <v>853</v>
      </c>
      <c r="F471" t="s">
        <v>390</v>
      </c>
      <c r="G471" t="s">
        <v>2271</v>
      </c>
      <c r="H471" s="20">
        <v>46254</v>
      </c>
      <c r="I471">
        <v>1500</v>
      </c>
      <c r="J471">
        <v>78</v>
      </c>
      <c r="K471">
        <v>58</v>
      </c>
      <c r="L471">
        <v>48</v>
      </c>
      <c r="P471" t="s">
        <v>2272</v>
      </c>
      <c r="R471" t="s">
        <v>2273</v>
      </c>
      <c r="S471">
        <v>5</v>
      </c>
      <c r="T471" t="s">
        <v>2319</v>
      </c>
      <c r="U471" t="s">
        <v>2320</v>
      </c>
    </row>
    <row r="472" spans="1:21" x14ac:dyDescent="0.25">
      <c r="A472" t="s">
        <v>2814</v>
      </c>
      <c r="B472" t="s">
        <v>4</v>
      </c>
      <c r="C472" t="s">
        <v>132</v>
      </c>
      <c r="D472" t="s">
        <v>21</v>
      </c>
      <c r="E472" t="s">
        <v>854</v>
      </c>
      <c r="F472" t="s">
        <v>855</v>
      </c>
      <c r="G472" t="s">
        <v>2271</v>
      </c>
      <c r="H472" s="20">
        <v>46254</v>
      </c>
      <c r="I472">
        <v>1500</v>
      </c>
      <c r="J472">
        <v>78</v>
      </c>
      <c r="K472">
        <v>58</v>
      </c>
      <c r="L472">
        <v>48</v>
      </c>
      <c r="P472" t="s">
        <v>2272</v>
      </c>
      <c r="R472" t="s">
        <v>2273</v>
      </c>
      <c r="S472">
        <v>5</v>
      </c>
      <c r="T472" t="s">
        <v>2319</v>
      </c>
      <c r="U472" t="s">
        <v>2320</v>
      </c>
    </row>
    <row r="473" spans="1:21" x14ac:dyDescent="0.25">
      <c r="A473" t="s">
        <v>2815</v>
      </c>
      <c r="B473" t="s">
        <v>4</v>
      </c>
      <c r="C473" t="s">
        <v>134</v>
      </c>
      <c r="D473" t="s">
        <v>24</v>
      </c>
      <c r="E473" t="s">
        <v>857</v>
      </c>
      <c r="F473" t="s">
        <v>637</v>
      </c>
      <c r="G473" t="s">
        <v>2271</v>
      </c>
      <c r="H473" s="20">
        <v>46250</v>
      </c>
      <c r="I473">
        <v>1800</v>
      </c>
      <c r="J473">
        <v>57</v>
      </c>
      <c r="K473">
        <v>46</v>
      </c>
      <c r="L473">
        <v>39</v>
      </c>
      <c r="P473" t="s">
        <v>2272</v>
      </c>
      <c r="R473" t="s">
        <v>2273</v>
      </c>
      <c r="S473">
        <v>4</v>
      </c>
      <c r="T473" t="s">
        <v>2274</v>
      </c>
      <c r="U473" t="s">
        <v>2275</v>
      </c>
    </row>
    <row r="474" spans="1:21" x14ac:dyDescent="0.25">
      <c r="A474" t="s">
        <v>2816</v>
      </c>
      <c r="B474" t="s">
        <v>4</v>
      </c>
      <c r="C474" t="s">
        <v>134</v>
      </c>
      <c r="D474" t="s">
        <v>24</v>
      </c>
      <c r="E474" t="s">
        <v>858</v>
      </c>
      <c r="F474" t="s">
        <v>596</v>
      </c>
      <c r="G474" t="s">
        <v>2271</v>
      </c>
      <c r="H474" s="20">
        <v>46250</v>
      </c>
      <c r="I474">
        <v>1800</v>
      </c>
      <c r="J474">
        <v>57</v>
      </c>
      <c r="K474">
        <v>46</v>
      </c>
      <c r="L474">
        <v>39</v>
      </c>
      <c r="P474" t="s">
        <v>2272</v>
      </c>
      <c r="R474" t="s">
        <v>2273</v>
      </c>
      <c r="S474">
        <v>4</v>
      </c>
      <c r="T474" t="s">
        <v>2274</v>
      </c>
      <c r="U474" t="s">
        <v>2275</v>
      </c>
    </row>
    <row r="475" spans="1:21" x14ac:dyDescent="0.25">
      <c r="A475" t="s">
        <v>2817</v>
      </c>
      <c r="B475" t="s">
        <v>4</v>
      </c>
      <c r="C475" t="s">
        <v>134</v>
      </c>
      <c r="D475" t="s">
        <v>21</v>
      </c>
      <c r="E475" t="s">
        <v>859</v>
      </c>
      <c r="F475" t="s">
        <v>163</v>
      </c>
      <c r="G475" t="s">
        <v>2271</v>
      </c>
      <c r="H475" s="20">
        <v>46254</v>
      </c>
      <c r="I475">
        <v>1500</v>
      </c>
      <c r="J475">
        <v>76</v>
      </c>
      <c r="K475">
        <v>46</v>
      </c>
      <c r="L475">
        <v>35</v>
      </c>
      <c r="P475" t="s">
        <v>2272</v>
      </c>
      <c r="R475" t="s">
        <v>2273</v>
      </c>
      <c r="S475">
        <v>5</v>
      </c>
      <c r="T475" t="s">
        <v>2319</v>
      </c>
      <c r="U475" t="s">
        <v>2320</v>
      </c>
    </row>
    <row r="476" spans="1:21" x14ac:dyDescent="0.25">
      <c r="A476" t="s">
        <v>2818</v>
      </c>
      <c r="B476" t="s">
        <v>4</v>
      </c>
      <c r="C476" t="s">
        <v>134</v>
      </c>
      <c r="D476" t="s">
        <v>21</v>
      </c>
      <c r="E476" t="s">
        <v>860</v>
      </c>
      <c r="F476" t="s">
        <v>108</v>
      </c>
      <c r="G476" t="s">
        <v>2271</v>
      </c>
      <c r="H476" s="20">
        <v>46254</v>
      </c>
      <c r="I476">
        <v>1500</v>
      </c>
      <c r="J476">
        <v>76</v>
      </c>
      <c r="K476">
        <v>46</v>
      </c>
      <c r="L476">
        <v>35</v>
      </c>
      <c r="P476" t="s">
        <v>2272</v>
      </c>
      <c r="R476" t="s">
        <v>2273</v>
      </c>
      <c r="S476">
        <v>5</v>
      </c>
      <c r="T476" t="s">
        <v>2319</v>
      </c>
      <c r="U476" t="s">
        <v>2320</v>
      </c>
    </row>
    <row r="477" spans="1:21" x14ac:dyDescent="0.25">
      <c r="A477" t="s">
        <v>2819</v>
      </c>
      <c r="B477" t="s">
        <v>4</v>
      </c>
      <c r="C477" t="s">
        <v>138</v>
      </c>
      <c r="D477" t="s">
        <v>24</v>
      </c>
      <c r="E477" t="s">
        <v>862</v>
      </c>
      <c r="F477" t="s">
        <v>202</v>
      </c>
      <c r="G477" t="s">
        <v>2271</v>
      </c>
      <c r="H477" s="20">
        <v>46250</v>
      </c>
      <c r="I477">
        <v>1800</v>
      </c>
      <c r="J477">
        <v>112</v>
      </c>
      <c r="K477">
        <v>97</v>
      </c>
      <c r="L477">
        <v>81</v>
      </c>
      <c r="M477">
        <v>78</v>
      </c>
      <c r="P477" t="s">
        <v>2272</v>
      </c>
      <c r="R477" t="s">
        <v>2273</v>
      </c>
      <c r="S477">
        <v>4</v>
      </c>
      <c r="T477" t="s">
        <v>2274</v>
      </c>
      <c r="U477" t="s">
        <v>2275</v>
      </c>
    </row>
    <row r="478" spans="1:21" x14ac:dyDescent="0.25">
      <c r="A478" t="s">
        <v>2820</v>
      </c>
      <c r="B478" t="s">
        <v>4</v>
      </c>
      <c r="C478" t="s">
        <v>138</v>
      </c>
      <c r="D478" t="s">
        <v>24</v>
      </c>
      <c r="E478" t="s">
        <v>863</v>
      </c>
      <c r="F478" t="s">
        <v>309</v>
      </c>
      <c r="G478" t="s">
        <v>2271</v>
      </c>
      <c r="H478" s="20">
        <v>46250</v>
      </c>
      <c r="I478">
        <v>1800</v>
      </c>
      <c r="J478">
        <v>112</v>
      </c>
      <c r="K478">
        <v>97</v>
      </c>
      <c r="L478">
        <v>81</v>
      </c>
      <c r="M478">
        <v>78</v>
      </c>
      <c r="P478" t="s">
        <v>2272</v>
      </c>
      <c r="R478" t="s">
        <v>2273</v>
      </c>
      <c r="S478">
        <v>4</v>
      </c>
      <c r="T478" t="s">
        <v>2274</v>
      </c>
      <c r="U478" t="s">
        <v>2275</v>
      </c>
    </row>
    <row r="479" spans="1:21" x14ac:dyDescent="0.25">
      <c r="A479" t="s">
        <v>2821</v>
      </c>
      <c r="B479" t="s">
        <v>4</v>
      </c>
      <c r="C479" t="s">
        <v>138</v>
      </c>
      <c r="D479" t="s">
        <v>21</v>
      </c>
      <c r="E479" t="s">
        <v>864</v>
      </c>
      <c r="F479" t="s">
        <v>374</v>
      </c>
      <c r="G479" t="s">
        <v>2444</v>
      </c>
      <c r="H479" s="20">
        <v>46254</v>
      </c>
      <c r="I479">
        <v>1500</v>
      </c>
      <c r="J479">
        <v>138</v>
      </c>
      <c r="K479">
        <v>113</v>
      </c>
      <c r="L479">
        <v>85</v>
      </c>
      <c r="P479" t="s">
        <v>2272</v>
      </c>
      <c r="R479" t="s">
        <v>2273</v>
      </c>
      <c r="S479">
        <v>15</v>
      </c>
      <c r="T479" t="s">
        <v>2345</v>
      </c>
      <c r="U479" t="s">
        <v>2346</v>
      </c>
    </row>
    <row r="480" spans="1:21" x14ac:dyDescent="0.25">
      <c r="A480" t="s">
        <v>2822</v>
      </c>
      <c r="B480" t="s">
        <v>4</v>
      </c>
      <c r="C480" t="s">
        <v>140</v>
      </c>
      <c r="D480" t="s">
        <v>21</v>
      </c>
      <c r="E480" t="s">
        <v>866</v>
      </c>
      <c r="F480" t="s">
        <v>515</v>
      </c>
      <c r="G480" t="s">
        <v>2271</v>
      </c>
      <c r="H480" s="20">
        <v>46254</v>
      </c>
      <c r="I480">
        <v>1500</v>
      </c>
      <c r="J480">
        <v>68</v>
      </c>
      <c r="K480">
        <v>47</v>
      </c>
      <c r="L480">
        <v>30</v>
      </c>
      <c r="P480" t="s">
        <v>2272</v>
      </c>
      <c r="R480" t="s">
        <v>2273</v>
      </c>
      <c r="S480">
        <v>5</v>
      </c>
      <c r="T480" t="s">
        <v>2319</v>
      </c>
      <c r="U480" t="s">
        <v>2320</v>
      </c>
    </row>
    <row r="481" spans="1:21" x14ac:dyDescent="0.25">
      <c r="A481" t="s">
        <v>2823</v>
      </c>
      <c r="B481" t="s">
        <v>4</v>
      </c>
      <c r="C481" t="s">
        <v>140</v>
      </c>
      <c r="D481" t="s">
        <v>24</v>
      </c>
      <c r="E481" t="s">
        <v>867</v>
      </c>
      <c r="F481" t="s">
        <v>395</v>
      </c>
      <c r="G481" t="s">
        <v>2271</v>
      </c>
      <c r="H481" s="20">
        <v>46250</v>
      </c>
      <c r="I481">
        <v>1800</v>
      </c>
      <c r="J481">
        <v>72</v>
      </c>
      <c r="K481">
        <v>52</v>
      </c>
      <c r="L481">
        <v>29</v>
      </c>
      <c r="P481" t="s">
        <v>2272</v>
      </c>
      <c r="R481" t="s">
        <v>2273</v>
      </c>
      <c r="S481">
        <v>4</v>
      </c>
      <c r="T481" t="s">
        <v>2274</v>
      </c>
      <c r="U481" t="s">
        <v>2275</v>
      </c>
    </row>
    <row r="482" spans="1:21" x14ac:dyDescent="0.25">
      <c r="A482" t="s">
        <v>2824</v>
      </c>
      <c r="B482" t="s">
        <v>4</v>
      </c>
      <c r="C482" t="s">
        <v>140</v>
      </c>
      <c r="D482" t="s">
        <v>24</v>
      </c>
      <c r="E482" t="s">
        <v>868</v>
      </c>
      <c r="F482" t="s">
        <v>165</v>
      </c>
      <c r="G482" t="s">
        <v>2271</v>
      </c>
      <c r="H482" s="20">
        <v>46250</v>
      </c>
      <c r="I482">
        <v>1800</v>
      </c>
      <c r="J482">
        <v>72</v>
      </c>
      <c r="K482">
        <v>52</v>
      </c>
      <c r="L482">
        <v>29</v>
      </c>
      <c r="P482" t="s">
        <v>2272</v>
      </c>
      <c r="R482" t="s">
        <v>2273</v>
      </c>
      <c r="S482">
        <v>4</v>
      </c>
      <c r="T482" t="s">
        <v>2274</v>
      </c>
      <c r="U482" t="s">
        <v>2275</v>
      </c>
    </row>
    <row r="483" spans="1:21" x14ac:dyDescent="0.25">
      <c r="A483" t="s">
        <v>2825</v>
      </c>
      <c r="B483" t="s">
        <v>4</v>
      </c>
      <c r="C483" t="s">
        <v>140</v>
      </c>
      <c r="D483" t="s">
        <v>24</v>
      </c>
      <c r="E483" t="s">
        <v>869</v>
      </c>
      <c r="F483" t="s">
        <v>232</v>
      </c>
      <c r="G483" t="s">
        <v>2271</v>
      </c>
      <c r="H483" s="20">
        <v>46250</v>
      </c>
      <c r="I483">
        <v>1800</v>
      </c>
      <c r="J483">
        <v>72</v>
      </c>
      <c r="K483">
        <v>52</v>
      </c>
      <c r="L483">
        <v>29</v>
      </c>
      <c r="P483" t="s">
        <v>2272</v>
      </c>
      <c r="R483" t="s">
        <v>2273</v>
      </c>
      <c r="S483">
        <v>4</v>
      </c>
      <c r="T483" t="s">
        <v>2274</v>
      </c>
      <c r="U483" t="s">
        <v>2275</v>
      </c>
    </row>
    <row r="484" spans="1:21" x14ac:dyDescent="0.25">
      <c r="A484" t="s">
        <v>2826</v>
      </c>
      <c r="B484" t="s">
        <v>4</v>
      </c>
      <c r="C484" t="s">
        <v>140</v>
      </c>
      <c r="D484" t="s">
        <v>21</v>
      </c>
      <c r="E484" t="s">
        <v>870</v>
      </c>
      <c r="F484" t="s">
        <v>106</v>
      </c>
      <c r="G484" t="s">
        <v>2271</v>
      </c>
      <c r="H484" s="20">
        <v>46254</v>
      </c>
      <c r="I484">
        <v>1500</v>
      </c>
      <c r="J484">
        <v>68</v>
      </c>
      <c r="K484">
        <v>47</v>
      </c>
      <c r="L484">
        <v>30</v>
      </c>
      <c r="P484" t="s">
        <v>2272</v>
      </c>
      <c r="R484" t="s">
        <v>2273</v>
      </c>
      <c r="S484">
        <v>5</v>
      </c>
      <c r="T484" t="s">
        <v>2319</v>
      </c>
      <c r="U484" t="s">
        <v>2320</v>
      </c>
    </row>
    <row r="485" spans="1:21" x14ac:dyDescent="0.25">
      <c r="A485" t="s">
        <v>2827</v>
      </c>
      <c r="B485" t="s">
        <v>4</v>
      </c>
      <c r="C485" t="s">
        <v>140</v>
      </c>
      <c r="D485" t="s">
        <v>21</v>
      </c>
      <c r="E485" t="s">
        <v>871</v>
      </c>
      <c r="F485" t="s">
        <v>872</v>
      </c>
      <c r="G485" t="s">
        <v>2271</v>
      </c>
      <c r="H485" s="20">
        <v>46254</v>
      </c>
      <c r="I485">
        <v>1500</v>
      </c>
      <c r="J485">
        <v>68</v>
      </c>
      <c r="K485">
        <v>47</v>
      </c>
      <c r="L485">
        <v>30</v>
      </c>
      <c r="P485" t="s">
        <v>2272</v>
      </c>
      <c r="R485" t="s">
        <v>2273</v>
      </c>
      <c r="S485">
        <v>5</v>
      </c>
      <c r="T485" t="s">
        <v>2319</v>
      </c>
      <c r="U485" t="s">
        <v>2320</v>
      </c>
    </row>
    <row r="486" spans="1:21" x14ac:dyDescent="0.25">
      <c r="A486" t="s">
        <v>2828</v>
      </c>
      <c r="B486" t="s">
        <v>4</v>
      </c>
      <c r="C486" t="s">
        <v>144</v>
      </c>
      <c r="D486" t="s">
        <v>24</v>
      </c>
      <c r="E486" t="s">
        <v>874</v>
      </c>
      <c r="F486" t="s">
        <v>630</v>
      </c>
      <c r="G486" t="s">
        <v>2271</v>
      </c>
      <c r="H486" s="20">
        <v>46250</v>
      </c>
      <c r="I486">
        <v>1800</v>
      </c>
      <c r="J486">
        <v>41</v>
      </c>
      <c r="K486">
        <v>29</v>
      </c>
      <c r="L486">
        <v>24</v>
      </c>
      <c r="P486" t="s">
        <v>2272</v>
      </c>
      <c r="R486" t="s">
        <v>2273</v>
      </c>
      <c r="S486">
        <v>4</v>
      </c>
      <c r="T486" t="s">
        <v>2274</v>
      </c>
      <c r="U486" t="s">
        <v>2275</v>
      </c>
    </row>
    <row r="487" spans="1:21" x14ac:dyDescent="0.25">
      <c r="A487" t="s">
        <v>2829</v>
      </c>
      <c r="B487" t="s">
        <v>4</v>
      </c>
      <c r="C487" t="s">
        <v>144</v>
      </c>
      <c r="D487" t="s">
        <v>24</v>
      </c>
      <c r="E487" t="s">
        <v>875</v>
      </c>
      <c r="F487" t="s">
        <v>208</v>
      </c>
      <c r="G487" t="s">
        <v>2271</v>
      </c>
      <c r="H487" s="20">
        <v>46250</v>
      </c>
      <c r="I487">
        <v>1800</v>
      </c>
      <c r="J487">
        <v>41</v>
      </c>
      <c r="K487">
        <v>29</v>
      </c>
      <c r="L487">
        <v>24</v>
      </c>
      <c r="P487" t="s">
        <v>2272</v>
      </c>
      <c r="R487" t="s">
        <v>2273</v>
      </c>
      <c r="S487">
        <v>4</v>
      </c>
      <c r="T487" t="s">
        <v>2274</v>
      </c>
      <c r="U487" t="s">
        <v>2275</v>
      </c>
    </row>
    <row r="488" spans="1:21" x14ac:dyDescent="0.25">
      <c r="A488" t="s">
        <v>2830</v>
      </c>
      <c r="B488" t="s">
        <v>4</v>
      </c>
      <c r="C488" t="s">
        <v>144</v>
      </c>
      <c r="D488" t="s">
        <v>24</v>
      </c>
      <c r="E488" t="s">
        <v>876</v>
      </c>
      <c r="F488" t="s">
        <v>347</v>
      </c>
      <c r="G488" t="s">
        <v>2271</v>
      </c>
      <c r="H488" s="20">
        <v>46250</v>
      </c>
      <c r="I488">
        <v>1800</v>
      </c>
      <c r="J488">
        <v>41</v>
      </c>
      <c r="K488">
        <v>29</v>
      </c>
      <c r="L488">
        <v>24</v>
      </c>
      <c r="P488" t="s">
        <v>2272</v>
      </c>
      <c r="R488" t="s">
        <v>2273</v>
      </c>
      <c r="S488">
        <v>4</v>
      </c>
      <c r="T488" t="s">
        <v>2274</v>
      </c>
      <c r="U488" t="s">
        <v>2275</v>
      </c>
    </row>
    <row r="489" spans="1:21" x14ac:dyDescent="0.25">
      <c r="A489" t="s">
        <v>2831</v>
      </c>
      <c r="B489" t="s">
        <v>4</v>
      </c>
      <c r="C489" t="s">
        <v>144</v>
      </c>
      <c r="D489" t="s">
        <v>24</v>
      </c>
      <c r="E489" t="s">
        <v>877</v>
      </c>
      <c r="F489" t="s">
        <v>317</v>
      </c>
      <c r="G489" t="s">
        <v>2271</v>
      </c>
      <c r="H489" s="20">
        <v>46250</v>
      </c>
      <c r="I489">
        <v>1800</v>
      </c>
      <c r="J489">
        <v>41</v>
      </c>
      <c r="K489">
        <v>29</v>
      </c>
      <c r="L489">
        <v>24</v>
      </c>
      <c r="P489" t="s">
        <v>2272</v>
      </c>
      <c r="R489" t="s">
        <v>2273</v>
      </c>
      <c r="S489">
        <v>4</v>
      </c>
      <c r="T489" t="s">
        <v>2274</v>
      </c>
      <c r="U489" t="s">
        <v>2275</v>
      </c>
    </row>
    <row r="490" spans="1:21" x14ac:dyDescent="0.25">
      <c r="A490" t="s">
        <v>2832</v>
      </c>
      <c r="B490" t="s">
        <v>4</v>
      </c>
      <c r="C490" t="s">
        <v>144</v>
      </c>
      <c r="D490" t="s">
        <v>21</v>
      </c>
      <c r="E490" t="s">
        <v>878</v>
      </c>
      <c r="F490" t="s">
        <v>70</v>
      </c>
      <c r="G490" t="s">
        <v>2271</v>
      </c>
      <c r="H490" s="20">
        <v>46254</v>
      </c>
      <c r="I490">
        <v>1500</v>
      </c>
      <c r="J490">
        <v>46</v>
      </c>
      <c r="K490">
        <v>29</v>
      </c>
      <c r="L490">
        <v>12</v>
      </c>
      <c r="P490" t="s">
        <v>2272</v>
      </c>
      <c r="R490" t="s">
        <v>2273</v>
      </c>
      <c r="S490">
        <v>5</v>
      </c>
      <c r="T490" t="s">
        <v>2319</v>
      </c>
      <c r="U490" t="s">
        <v>2320</v>
      </c>
    </row>
    <row r="491" spans="1:21" x14ac:dyDescent="0.25">
      <c r="A491" t="s">
        <v>2833</v>
      </c>
      <c r="B491" t="s">
        <v>4</v>
      </c>
      <c r="C491" t="s">
        <v>144</v>
      </c>
      <c r="D491" t="s">
        <v>21</v>
      </c>
      <c r="E491" t="s">
        <v>879</v>
      </c>
      <c r="F491" t="s">
        <v>163</v>
      </c>
      <c r="G491" t="s">
        <v>2271</v>
      </c>
      <c r="H491" s="20">
        <v>46254</v>
      </c>
      <c r="I491">
        <v>1500</v>
      </c>
      <c r="J491">
        <v>46</v>
      </c>
      <c r="K491">
        <v>29</v>
      </c>
      <c r="L491">
        <v>12</v>
      </c>
      <c r="P491" t="s">
        <v>2272</v>
      </c>
      <c r="R491" t="s">
        <v>2273</v>
      </c>
      <c r="S491">
        <v>5</v>
      </c>
      <c r="T491" t="s">
        <v>2319</v>
      </c>
      <c r="U491" t="s">
        <v>2320</v>
      </c>
    </row>
    <row r="492" spans="1:21" x14ac:dyDescent="0.25">
      <c r="A492" t="s">
        <v>2834</v>
      </c>
      <c r="B492" t="s">
        <v>4</v>
      </c>
      <c r="C492" t="s">
        <v>144</v>
      </c>
      <c r="D492" t="s">
        <v>21</v>
      </c>
      <c r="E492" t="s">
        <v>880</v>
      </c>
      <c r="F492" t="s">
        <v>366</v>
      </c>
      <c r="G492" t="s">
        <v>2271</v>
      </c>
      <c r="H492" s="20">
        <v>46254</v>
      </c>
      <c r="I492">
        <v>1500</v>
      </c>
      <c r="J492">
        <v>46</v>
      </c>
      <c r="K492">
        <v>29</v>
      </c>
      <c r="L492">
        <v>12</v>
      </c>
      <c r="P492" t="s">
        <v>2272</v>
      </c>
      <c r="R492" t="s">
        <v>2273</v>
      </c>
      <c r="S492">
        <v>5</v>
      </c>
      <c r="T492" t="s">
        <v>2319</v>
      </c>
      <c r="U492" t="s">
        <v>2320</v>
      </c>
    </row>
    <row r="493" spans="1:21" x14ac:dyDescent="0.25">
      <c r="A493" t="s">
        <v>2835</v>
      </c>
      <c r="B493" t="s">
        <v>4</v>
      </c>
      <c r="C493" t="s">
        <v>144</v>
      </c>
      <c r="D493" t="s">
        <v>21</v>
      </c>
      <c r="E493" t="s">
        <v>881</v>
      </c>
      <c r="F493" t="s">
        <v>293</v>
      </c>
      <c r="G493" t="s">
        <v>2271</v>
      </c>
      <c r="H493" s="20">
        <v>46254</v>
      </c>
      <c r="I493">
        <v>1500</v>
      </c>
      <c r="J493">
        <v>46</v>
      </c>
      <c r="K493">
        <v>29</v>
      </c>
      <c r="L493">
        <v>12</v>
      </c>
      <c r="P493" t="s">
        <v>2272</v>
      </c>
      <c r="R493" t="s">
        <v>2273</v>
      </c>
      <c r="S493">
        <v>5</v>
      </c>
      <c r="T493" t="s">
        <v>2319</v>
      </c>
      <c r="U493" t="s">
        <v>2320</v>
      </c>
    </row>
    <row r="494" spans="1:21" x14ac:dyDescent="0.25">
      <c r="A494" t="s">
        <v>2836</v>
      </c>
      <c r="B494" t="s">
        <v>4</v>
      </c>
      <c r="C494" t="s">
        <v>148</v>
      </c>
      <c r="D494" t="s">
        <v>21</v>
      </c>
      <c r="E494" t="s">
        <v>883</v>
      </c>
      <c r="F494" t="s">
        <v>689</v>
      </c>
      <c r="G494" t="s">
        <v>2444</v>
      </c>
      <c r="H494" s="20">
        <v>46254</v>
      </c>
      <c r="I494">
        <v>1500</v>
      </c>
      <c r="J494">
        <v>96</v>
      </c>
      <c r="K494">
        <v>66</v>
      </c>
      <c r="L494">
        <v>40</v>
      </c>
      <c r="P494" t="s">
        <v>2272</v>
      </c>
      <c r="R494" t="s">
        <v>2273</v>
      </c>
      <c r="S494">
        <v>5</v>
      </c>
      <c r="T494" t="s">
        <v>2319</v>
      </c>
      <c r="U494" t="s">
        <v>2320</v>
      </c>
    </row>
    <row r="495" spans="1:21" x14ac:dyDescent="0.25">
      <c r="A495" t="s">
        <v>2837</v>
      </c>
      <c r="B495" t="s">
        <v>4</v>
      </c>
      <c r="C495" t="s">
        <v>148</v>
      </c>
      <c r="D495" t="s">
        <v>21</v>
      </c>
      <c r="E495" t="s">
        <v>884</v>
      </c>
      <c r="F495" t="s">
        <v>168</v>
      </c>
      <c r="G495" t="s">
        <v>2444</v>
      </c>
      <c r="H495" s="20">
        <v>46254</v>
      </c>
      <c r="I495">
        <v>1500</v>
      </c>
      <c r="J495">
        <v>96</v>
      </c>
      <c r="K495">
        <v>66</v>
      </c>
      <c r="L495">
        <v>40</v>
      </c>
      <c r="P495" t="s">
        <v>2272</v>
      </c>
      <c r="R495" t="s">
        <v>2273</v>
      </c>
      <c r="S495">
        <v>5</v>
      </c>
      <c r="T495" t="s">
        <v>2319</v>
      </c>
      <c r="U495" t="s">
        <v>2320</v>
      </c>
    </row>
    <row r="496" spans="1:21" x14ac:dyDescent="0.25">
      <c r="A496" t="s">
        <v>2838</v>
      </c>
      <c r="B496" t="s">
        <v>4</v>
      </c>
      <c r="C496" t="s">
        <v>148</v>
      </c>
      <c r="D496" t="s">
        <v>21</v>
      </c>
      <c r="E496" t="s">
        <v>885</v>
      </c>
      <c r="F496" t="s">
        <v>356</v>
      </c>
      <c r="G496" t="s">
        <v>2444</v>
      </c>
      <c r="H496" s="20">
        <v>46254</v>
      </c>
      <c r="I496">
        <v>1500</v>
      </c>
      <c r="J496">
        <v>96</v>
      </c>
      <c r="K496">
        <v>66</v>
      </c>
      <c r="L496">
        <v>40</v>
      </c>
      <c r="P496" t="s">
        <v>2272</v>
      </c>
      <c r="R496" t="s">
        <v>2273</v>
      </c>
      <c r="S496">
        <v>5</v>
      </c>
      <c r="T496" t="s">
        <v>2319</v>
      </c>
      <c r="U496" t="s">
        <v>2320</v>
      </c>
    </row>
    <row r="497" spans="1:21" x14ac:dyDescent="0.25">
      <c r="A497" t="s">
        <v>2839</v>
      </c>
      <c r="B497" t="s">
        <v>4</v>
      </c>
      <c r="C497" t="s">
        <v>148</v>
      </c>
      <c r="D497" t="s">
        <v>21</v>
      </c>
      <c r="E497" t="s">
        <v>886</v>
      </c>
      <c r="F497" t="s">
        <v>772</v>
      </c>
      <c r="G497" t="s">
        <v>2444</v>
      </c>
      <c r="H497" s="20">
        <v>46254</v>
      </c>
      <c r="I497">
        <v>1500</v>
      </c>
      <c r="J497">
        <v>96</v>
      </c>
      <c r="K497">
        <v>66</v>
      </c>
      <c r="L497">
        <v>40</v>
      </c>
      <c r="P497" t="s">
        <v>2272</v>
      </c>
      <c r="R497" t="s">
        <v>2273</v>
      </c>
      <c r="S497">
        <v>5</v>
      </c>
      <c r="T497" t="s">
        <v>2319</v>
      </c>
      <c r="U497" t="s">
        <v>2320</v>
      </c>
    </row>
    <row r="498" spans="1:21" x14ac:dyDescent="0.25">
      <c r="A498" t="s">
        <v>2840</v>
      </c>
      <c r="B498" t="s">
        <v>4</v>
      </c>
      <c r="C498" t="s">
        <v>148</v>
      </c>
      <c r="D498" t="s">
        <v>29</v>
      </c>
      <c r="E498" t="s">
        <v>887</v>
      </c>
      <c r="F498" t="s">
        <v>716</v>
      </c>
      <c r="H498" s="20"/>
      <c r="P498" t="s">
        <v>2291</v>
      </c>
      <c r="R498" t="s">
        <v>2292</v>
      </c>
    </row>
    <row r="499" spans="1:21" x14ac:dyDescent="0.25">
      <c r="A499" t="s">
        <v>2841</v>
      </c>
      <c r="B499" t="s">
        <v>4</v>
      </c>
      <c r="C499" t="s">
        <v>148</v>
      </c>
      <c r="D499" t="s">
        <v>29</v>
      </c>
      <c r="E499" t="s">
        <v>888</v>
      </c>
      <c r="F499" t="s">
        <v>326</v>
      </c>
      <c r="H499" s="20"/>
      <c r="P499" t="s">
        <v>2291</v>
      </c>
      <c r="R499" t="s">
        <v>2292</v>
      </c>
    </row>
    <row r="500" spans="1:21" x14ac:dyDescent="0.25">
      <c r="A500" t="s">
        <v>2842</v>
      </c>
      <c r="B500" t="s">
        <v>4</v>
      </c>
      <c r="C500" t="s">
        <v>148</v>
      </c>
      <c r="D500" t="s">
        <v>29</v>
      </c>
      <c r="E500" t="s">
        <v>889</v>
      </c>
      <c r="F500" t="s">
        <v>890</v>
      </c>
      <c r="H500" s="20"/>
      <c r="P500" t="s">
        <v>2291</v>
      </c>
      <c r="R500" t="s">
        <v>2292</v>
      </c>
    </row>
    <row r="501" spans="1:21" x14ac:dyDescent="0.25">
      <c r="A501" t="s">
        <v>2843</v>
      </c>
      <c r="B501" t="s">
        <v>4</v>
      </c>
      <c r="C501" t="s">
        <v>148</v>
      </c>
      <c r="D501" t="s">
        <v>29</v>
      </c>
      <c r="E501" t="s">
        <v>891</v>
      </c>
      <c r="F501" t="s">
        <v>208</v>
      </c>
      <c r="H501" s="20"/>
      <c r="P501" t="s">
        <v>2291</v>
      </c>
      <c r="R501" t="s">
        <v>2292</v>
      </c>
    </row>
    <row r="502" spans="1:21" x14ac:dyDescent="0.25">
      <c r="A502" t="s">
        <v>2844</v>
      </c>
      <c r="B502" t="s">
        <v>4</v>
      </c>
      <c r="C502" t="s">
        <v>148</v>
      </c>
      <c r="D502" t="s">
        <v>24</v>
      </c>
      <c r="E502" t="s">
        <v>892</v>
      </c>
      <c r="F502" t="s">
        <v>199</v>
      </c>
      <c r="G502" t="s">
        <v>2271</v>
      </c>
      <c r="H502" s="20">
        <v>46250</v>
      </c>
      <c r="I502">
        <v>1800</v>
      </c>
      <c r="J502">
        <v>96</v>
      </c>
      <c r="K502">
        <v>86</v>
      </c>
      <c r="L502">
        <v>80</v>
      </c>
      <c r="P502" t="s">
        <v>2272</v>
      </c>
      <c r="R502" t="s">
        <v>2273</v>
      </c>
      <c r="S502">
        <v>4</v>
      </c>
      <c r="T502" t="s">
        <v>2274</v>
      </c>
      <c r="U502" t="s">
        <v>2275</v>
      </c>
    </row>
    <row r="503" spans="1:21" x14ac:dyDescent="0.25">
      <c r="A503" t="s">
        <v>2845</v>
      </c>
      <c r="B503" t="s">
        <v>4</v>
      </c>
      <c r="C503" t="s">
        <v>148</v>
      </c>
      <c r="D503" t="s">
        <v>24</v>
      </c>
      <c r="E503" t="s">
        <v>893</v>
      </c>
      <c r="F503" t="s">
        <v>366</v>
      </c>
      <c r="G503" t="s">
        <v>2271</v>
      </c>
      <c r="H503" s="20">
        <v>46250</v>
      </c>
      <c r="I503">
        <v>1800</v>
      </c>
      <c r="J503">
        <v>96</v>
      </c>
      <c r="K503">
        <v>86</v>
      </c>
      <c r="L503">
        <v>80</v>
      </c>
      <c r="P503" t="s">
        <v>2272</v>
      </c>
      <c r="R503" t="s">
        <v>2273</v>
      </c>
      <c r="S503">
        <v>4</v>
      </c>
      <c r="T503" t="s">
        <v>2274</v>
      </c>
      <c r="U503" t="s">
        <v>2275</v>
      </c>
    </row>
    <row r="504" spans="1:21" x14ac:dyDescent="0.25">
      <c r="A504" t="s">
        <v>2846</v>
      </c>
      <c r="B504" t="s">
        <v>4</v>
      </c>
      <c r="C504" t="s">
        <v>148</v>
      </c>
      <c r="D504" t="s">
        <v>24</v>
      </c>
      <c r="E504" t="s">
        <v>894</v>
      </c>
      <c r="F504" t="s">
        <v>260</v>
      </c>
      <c r="G504" t="s">
        <v>2271</v>
      </c>
      <c r="H504" s="20">
        <v>46250</v>
      </c>
      <c r="I504">
        <v>1800</v>
      </c>
      <c r="J504">
        <v>96</v>
      </c>
      <c r="K504">
        <v>86</v>
      </c>
      <c r="L504">
        <v>80</v>
      </c>
      <c r="P504" t="s">
        <v>2272</v>
      </c>
      <c r="R504" t="s">
        <v>2273</v>
      </c>
      <c r="S504">
        <v>4</v>
      </c>
      <c r="T504" t="s">
        <v>2274</v>
      </c>
      <c r="U504" t="s">
        <v>2275</v>
      </c>
    </row>
    <row r="505" spans="1:21" x14ac:dyDescent="0.25">
      <c r="A505" t="s">
        <v>2847</v>
      </c>
      <c r="B505" t="s">
        <v>4</v>
      </c>
      <c r="C505" t="s">
        <v>148</v>
      </c>
      <c r="D505" t="s">
        <v>24</v>
      </c>
      <c r="E505" t="s">
        <v>895</v>
      </c>
      <c r="F505" t="s">
        <v>484</v>
      </c>
      <c r="G505" t="s">
        <v>2271</v>
      </c>
      <c r="H505" s="20">
        <v>46250</v>
      </c>
      <c r="I505">
        <v>1800</v>
      </c>
      <c r="J505">
        <v>96</v>
      </c>
      <c r="K505">
        <v>86</v>
      </c>
      <c r="L505">
        <v>80</v>
      </c>
      <c r="P505" t="s">
        <v>2272</v>
      </c>
      <c r="R505" t="s">
        <v>2273</v>
      </c>
      <c r="S505">
        <v>4</v>
      </c>
      <c r="T505" t="s">
        <v>2274</v>
      </c>
      <c r="U505" t="s">
        <v>2275</v>
      </c>
    </row>
    <row r="506" spans="1:21" x14ac:dyDescent="0.25">
      <c r="A506" t="s">
        <v>2848</v>
      </c>
      <c r="B506" t="s">
        <v>4</v>
      </c>
      <c r="C506" t="s">
        <v>148</v>
      </c>
      <c r="D506" t="s">
        <v>24</v>
      </c>
      <c r="E506" t="s">
        <v>896</v>
      </c>
      <c r="F506" t="s">
        <v>76</v>
      </c>
      <c r="G506" t="s">
        <v>2271</v>
      </c>
      <c r="H506" s="20">
        <v>46250</v>
      </c>
      <c r="I506">
        <v>1800</v>
      </c>
      <c r="J506">
        <v>96</v>
      </c>
      <c r="K506">
        <v>86</v>
      </c>
      <c r="L506">
        <v>80</v>
      </c>
      <c r="P506" t="s">
        <v>2272</v>
      </c>
      <c r="R506" t="s">
        <v>2273</v>
      </c>
      <c r="S506">
        <v>4</v>
      </c>
      <c r="T506" t="s">
        <v>2274</v>
      </c>
      <c r="U506" t="s">
        <v>2275</v>
      </c>
    </row>
    <row r="507" spans="1:21" x14ac:dyDescent="0.25">
      <c r="A507" t="s">
        <v>2849</v>
      </c>
      <c r="B507" t="s">
        <v>4</v>
      </c>
      <c r="C507" t="s">
        <v>148</v>
      </c>
      <c r="D507" t="s">
        <v>24</v>
      </c>
      <c r="E507" t="s">
        <v>897</v>
      </c>
      <c r="F507" t="s">
        <v>235</v>
      </c>
      <c r="G507" t="s">
        <v>2271</v>
      </c>
      <c r="H507" s="20">
        <v>46250</v>
      </c>
      <c r="I507">
        <v>1800</v>
      </c>
      <c r="J507">
        <v>96</v>
      </c>
      <c r="K507">
        <v>86</v>
      </c>
      <c r="L507">
        <v>80</v>
      </c>
      <c r="P507" t="s">
        <v>2272</v>
      </c>
      <c r="R507" t="s">
        <v>2273</v>
      </c>
      <c r="S507">
        <v>4</v>
      </c>
      <c r="T507" t="s">
        <v>2274</v>
      </c>
      <c r="U507" t="s">
        <v>2275</v>
      </c>
    </row>
    <row r="508" spans="1:21" x14ac:dyDescent="0.25">
      <c r="A508" t="s">
        <v>2850</v>
      </c>
      <c r="B508" t="s">
        <v>4</v>
      </c>
      <c r="C508" t="s">
        <v>150</v>
      </c>
      <c r="D508" t="s">
        <v>21</v>
      </c>
      <c r="E508" t="s">
        <v>899</v>
      </c>
      <c r="F508" t="s">
        <v>464</v>
      </c>
      <c r="G508" t="s">
        <v>2271</v>
      </c>
      <c r="H508" s="20">
        <v>46254</v>
      </c>
      <c r="I508">
        <v>1500</v>
      </c>
      <c r="J508">
        <v>73</v>
      </c>
      <c r="K508">
        <v>55</v>
      </c>
      <c r="L508">
        <v>48</v>
      </c>
      <c r="P508" t="s">
        <v>2272</v>
      </c>
      <c r="R508" t="s">
        <v>2273</v>
      </c>
      <c r="S508">
        <v>10</v>
      </c>
      <c r="T508" t="s">
        <v>2851</v>
      </c>
      <c r="U508" t="s">
        <v>2852</v>
      </c>
    </row>
    <row r="509" spans="1:21" x14ac:dyDescent="0.25">
      <c r="A509" t="s">
        <v>2853</v>
      </c>
      <c r="B509" t="s">
        <v>4</v>
      </c>
      <c r="C509" t="s">
        <v>150</v>
      </c>
      <c r="D509" t="s">
        <v>21</v>
      </c>
      <c r="E509" t="s">
        <v>900</v>
      </c>
      <c r="F509" t="s">
        <v>182</v>
      </c>
      <c r="G509" t="s">
        <v>2271</v>
      </c>
      <c r="H509" s="20">
        <v>46254</v>
      </c>
      <c r="I509">
        <v>1500</v>
      </c>
      <c r="J509">
        <v>73</v>
      </c>
      <c r="K509">
        <v>55</v>
      </c>
      <c r="L509">
        <v>48</v>
      </c>
      <c r="P509" t="s">
        <v>2272</v>
      </c>
      <c r="R509" t="s">
        <v>2273</v>
      </c>
      <c r="S509">
        <v>10</v>
      </c>
      <c r="T509" t="s">
        <v>2851</v>
      </c>
      <c r="U509" t="s">
        <v>2852</v>
      </c>
    </row>
    <row r="510" spans="1:21" x14ac:dyDescent="0.25">
      <c r="A510" t="s">
        <v>2854</v>
      </c>
      <c r="B510" t="s">
        <v>4</v>
      </c>
      <c r="C510" t="s">
        <v>150</v>
      </c>
      <c r="D510" t="s">
        <v>24</v>
      </c>
      <c r="E510" t="s">
        <v>901</v>
      </c>
      <c r="F510" t="s">
        <v>157</v>
      </c>
      <c r="G510" t="s">
        <v>2271</v>
      </c>
      <c r="H510" s="20">
        <v>46250</v>
      </c>
      <c r="I510">
        <v>1800</v>
      </c>
      <c r="J510">
        <v>65</v>
      </c>
      <c r="K510">
        <v>52</v>
      </c>
      <c r="L510">
        <v>45</v>
      </c>
      <c r="P510" t="s">
        <v>2272</v>
      </c>
      <c r="R510" t="s">
        <v>2273</v>
      </c>
      <c r="S510">
        <v>4</v>
      </c>
      <c r="T510" t="s">
        <v>2274</v>
      </c>
      <c r="U510" t="s">
        <v>2275</v>
      </c>
    </row>
    <row r="511" spans="1:21" x14ac:dyDescent="0.25">
      <c r="A511" t="s">
        <v>2855</v>
      </c>
      <c r="B511" t="s">
        <v>4</v>
      </c>
      <c r="C511" t="s">
        <v>152</v>
      </c>
      <c r="D511" t="s">
        <v>24</v>
      </c>
      <c r="E511" t="s">
        <v>903</v>
      </c>
      <c r="F511" t="s">
        <v>364</v>
      </c>
      <c r="G511" t="s">
        <v>2271</v>
      </c>
      <c r="H511" s="20">
        <v>46250</v>
      </c>
      <c r="I511">
        <v>1800</v>
      </c>
      <c r="J511">
        <v>61</v>
      </c>
      <c r="K511">
        <v>50</v>
      </c>
      <c r="L511">
        <v>43</v>
      </c>
      <c r="P511" t="s">
        <v>2272</v>
      </c>
      <c r="R511" t="s">
        <v>2273</v>
      </c>
      <c r="S511">
        <v>4</v>
      </c>
      <c r="T511" t="s">
        <v>2274</v>
      </c>
      <c r="U511" t="s">
        <v>2275</v>
      </c>
    </row>
    <row r="512" spans="1:21" x14ac:dyDescent="0.25">
      <c r="A512" t="s">
        <v>2856</v>
      </c>
      <c r="B512" t="s">
        <v>904</v>
      </c>
      <c r="C512" t="s">
        <v>46</v>
      </c>
      <c r="D512" t="s">
        <v>24</v>
      </c>
      <c r="E512" t="s">
        <v>906</v>
      </c>
      <c r="F512" t="s">
        <v>422</v>
      </c>
      <c r="G512" t="s">
        <v>2271</v>
      </c>
      <c r="H512" s="20">
        <v>46250</v>
      </c>
      <c r="I512">
        <v>1800</v>
      </c>
      <c r="J512">
        <v>64</v>
      </c>
      <c r="K512">
        <v>54</v>
      </c>
      <c r="L512">
        <v>46</v>
      </c>
      <c r="P512" t="s">
        <v>2272</v>
      </c>
      <c r="R512" t="s">
        <v>2273</v>
      </c>
      <c r="S512">
        <v>4</v>
      </c>
      <c r="T512" t="s">
        <v>2274</v>
      </c>
      <c r="U512" t="s">
        <v>2275</v>
      </c>
    </row>
    <row r="513" spans="1:21" x14ac:dyDescent="0.25">
      <c r="A513" t="s">
        <v>2857</v>
      </c>
      <c r="B513" t="s">
        <v>904</v>
      </c>
      <c r="C513" t="s">
        <v>46</v>
      </c>
      <c r="D513" t="s">
        <v>24</v>
      </c>
      <c r="E513" t="s">
        <v>907</v>
      </c>
      <c r="F513" t="s">
        <v>908</v>
      </c>
      <c r="G513" t="s">
        <v>2271</v>
      </c>
      <c r="H513" s="20">
        <v>46250</v>
      </c>
      <c r="I513">
        <v>1800</v>
      </c>
      <c r="J513">
        <v>64</v>
      </c>
      <c r="K513">
        <v>54</v>
      </c>
      <c r="L513">
        <v>46</v>
      </c>
      <c r="P513" t="s">
        <v>2272</v>
      </c>
      <c r="R513" t="s">
        <v>2273</v>
      </c>
      <c r="S513">
        <v>4</v>
      </c>
      <c r="T513" t="s">
        <v>2274</v>
      </c>
      <c r="U513" t="s">
        <v>2275</v>
      </c>
    </row>
    <row r="514" spans="1:21" x14ac:dyDescent="0.25">
      <c r="A514" t="s">
        <v>2858</v>
      </c>
      <c r="B514" t="s">
        <v>904</v>
      </c>
      <c r="C514" t="s">
        <v>46</v>
      </c>
      <c r="D514" t="s">
        <v>24</v>
      </c>
      <c r="E514" t="s">
        <v>909</v>
      </c>
      <c r="F514" t="s">
        <v>184</v>
      </c>
      <c r="G514" t="s">
        <v>2271</v>
      </c>
      <c r="H514" s="20">
        <v>46250</v>
      </c>
      <c r="I514">
        <v>1800</v>
      </c>
      <c r="J514">
        <v>64</v>
      </c>
      <c r="K514">
        <v>54</v>
      </c>
      <c r="L514">
        <v>46</v>
      </c>
      <c r="P514" t="s">
        <v>2272</v>
      </c>
      <c r="R514" t="s">
        <v>2273</v>
      </c>
      <c r="S514">
        <v>4</v>
      </c>
      <c r="T514" t="s">
        <v>2274</v>
      </c>
      <c r="U514" t="s">
        <v>2275</v>
      </c>
    </row>
    <row r="515" spans="1:21" x14ac:dyDescent="0.25">
      <c r="A515" t="s">
        <v>2859</v>
      </c>
      <c r="B515" t="s">
        <v>904</v>
      </c>
      <c r="C515" t="s">
        <v>50</v>
      </c>
      <c r="D515" t="s">
        <v>24</v>
      </c>
      <c r="E515" t="s">
        <v>911</v>
      </c>
      <c r="F515" t="s">
        <v>307</v>
      </c>
      <c r="G515" t="s">
        <v>2271</v>
      </c>
      <c r="H515" s="20">
        <v>46250</v>
      </c>
      <c r="I515">
        <v>1800</v>
      </c>
      <c r="J515">
        <v>45</v>
      </c>
      <c r="K515">
        <v>36</v>
      </c>
      <c r="L515">
        <v>25</v>
      </c>
      <c r="M515">
        <v>13</v>
      </c>
      <c r="P515" t="s">
        <v>2272</v>
      </c>
      <c r="R515" t="s">
        <v>2273</v>
      </c>
      <c r="S515">
        <v>4</v>
      </c>
      <c r="T515" t="s">
        <v>2274</v>
      </c>
      <c r="U515" t="s">
        <v>2275</v>
      </c>
    </row>
    <row r="516" spans="1:21" x14ac:dyDescent="0.25">
      <c r="A516" t="s">
        <v>2860</v>
      </c>
      <c r="B516" t="s">
        <v>904</v>
      </c>
      <c r="C516" t="s">
        <v>50</v>
      </c>
      <c r="D516" t="s">
        <v>24</v>
      </c>
      <c r="E516" t="s">
        <v>912</v>
      </c>
      <c r="F516" t="s">
        <v>430</v>
      </c>
      <c r="G516" t="s">
        <v>2271</v>
      </c>
      <c r="H516" s="20">
        <v>46250</v>
      </c>
      <c r="I516">
        <v>1800</v>
      </c>
      <c r="J516">
        <v>45</v>
      </c>
      <c r="K516">
        <v>36</v>
      </c>
      <c r="L516">
        <v>25</v>
      </c>
      <c r="M516">
        <v>13</v>
      </c>
      <c r="P516" t="s">
        <v>2272</v>
      </c>
      <c r="R516" t="s">
        <v>2273</v>
      </c>
      <c r="S516">
        <v>4</v>
      </c>
      <c r="T516" t="s">
        <v>2274</v>
      </c>
      <c r="U516" t="s">
        <v>2275</v>
      </c>
    </row>
    <row r="517" spans="1:21" x14ac:dyDescent="0.25">
      <c r="A517" t="s">
        <v>2861</v>
      </c>
      <c r="B517" t="s">
        <v>904</v>
      </c>
      <c r="C517" t="s">
        <v>50</v>
      </c>
      <c r="D517" t="s">
        <v>24</v>
      </c>
      <c r="E517" t="s">
        <v>913</v>
      </c>
      <c r="F517" t="s">
        <v>806</v>
      </c>
      <c r="G517" t="s">
        <v>2271</v>
      </c>
      <c r="H517" s="20">
        <v>46250</v>
      </c>
      <c r="I517">
        <v>1800</v>
      </c>
      <c r="J517">
        <v>45</v>
      </c>
      <c r="K517">
        <v>36</v>
      </c>
      <c r="L517">
        <v>25</v>
      </c>
      <c r="M517">
        <v>13</v>
      </c>
      <c r="P517" t="s">
        <v>2272</v>
      </c>
      <c r="R517" t="s">
        <v>2273</v>
      </c>
      <c r="S517">
        <v>4</v>
      </c>
      <c r="T517" t="s">
        <v>2274</v>
      </c>
      <c r="U517" t="s">
        <v>2275</v>
      </c>
    </row>
    <row r="518" spans="1:21" x14ac:dyDescent="0.25">
      <c r="A518" t="s">
        <v>2862</v>
      </c>
      <c r="B518" t="s">
        <v>904</v>
      </c>
      <c r="C518" t="s">
        <v>50</v>
      </c>
      <c r="D518" t="s">
        <v>24</v>
      </c>
      <c r="E518" t="s">
        <v>914</v>
      </c>
      <c r="F518" t="s">
        <v>685</v>
      </c>
      <c r="G518" t="s">
        <v>2271</v>
      </c>
      <c r="H518" s="20">
        <v>46250</v>
      </c>
      <c r="I518">
        <v>1800</v>
      </c>
      <c r="J518">
        <v>45</v>
      </c>
      <c r="K518">
        <v>36</v>
      </c>
      <c r="L518">
        <v>25</v>
      </c>
      <c r="M518">
        <v>13</v>
      </c>
      <c r="P518" t="s">
        <v>2272</v>
      </c>
      <c r="R518" t="s">
        <v>2273</v>
      </c>
      <c r="S518">
        <v>4</v>
      </c>
      <c r="T518" t="s">
        <v>2274</v>
      </c>
      <c r="U518" t="s">
        <v>2275</v>
      </c>
    </row>
    <row r="519" spans="1:21" x14ac:dyDescent="0.25">
      <c r="A519" t="s">
        <v>2863</v>
      </c>
      <c r="B519" t="s">
        <v>904</v>
      </c>
      <c r="C519" t="s">
        <v>53</v>
      </c>
      <c r="D519" t="s">
        <v>24</v>
      </c>
      <c r="E519" t="s">
        <v>916</v>
      </c>
      <c r="F519" t="s">
        <v>307</v>
      </c>
      <c r="G519" t="s">
        <v>2271</v>
      </c>
      <c r="H519" s="20">
        <v>46250</v>
      </c>
      <c r="I519">
        <v>1800</v>
      </c>
      <c r="J519">
        <v>50</v>
      </c>
      <c r="K519">
        <v>41</v>
      </c>
      <c r="L519">
        <v>25</v>
      </c>
      <c r="M519">
        <v>13</v>
      </c>
      <c r="P519" t="s">
        <v>2272</v>
      </c>
      <c r="R519" t="s">
        <v>2273</v>
      </c>
      <c r="S519">
        <v>4</v>
      </c>
      <c r="T519" t="s">
        <v>2274</v>
      </c>
      <c r="U519" t="s">
        <v>2275</v>
      </c>
    </row>
    <row r="520" spans="1:21" x14ac:dyDescent="0.25">
      <c r="A520" t="s">
        <v>2864</v>
      </c>
      <c r="B520" t="s">
        <v>904</v>
      </c>
      <c r="C520" t="s">
        <v>53</v>
      </c>
      <c r="D520" t="s">
        <v>24</v>
      </c>
      <c r="E520" t="s">
        <v>917</v>
      </c>
      <c r="F520" t="s">
        <v>382</v>
      </c>
      <c r="G520" t="s">
        <v>2271</v>
      </c>
      <c r="H520" s="20">
        <v>46250</v>
      </c>
      <c r="I520">
        <v>1800</v>
      </c>
      <c r="J520">
        <v>50</v>
      </c>
      <c r="K520">
        <v>41</v>
      </c>
      <c r="L520">
        <v>25</v>
      </c>
      <c r="M520">
        <v>13</v>
      </c>
      <c r="P520" t="s">
        <v>2272</v>
      </c>
      <c r="R520" t="s">
        <v>2273</v>
      </c>
      <c r="S520">
        <v>4</v>
      </c>
      <c r="T520" t="s">
        <v>2274</v>
      </c>
      <c r="U520" t="s">
        <v>2275</v>
      </c>
    </row>
    <row r="521" spans="1:21" x14ac:dyDescent="0.25">
      <c r="A521" t="s">
        <v>2865</v>
      </c>
      <c r="B521" t="s">
        <v>904</v>
      </c>
      <c r="C521" t="s">
        <v>53</v>
      </c>
      <c r="D521" t="s">
        <v>24</v>
      </c>
      <c r="E521" t="s">
        <v>918</v>
      </c>
      <c r="F521" t="s">
        <v>178</v>
      </c>
      <c r="G521" t="s">
        <v>2271</v>
      </c>
      <c r="H521" s="20">
        <v>46250</v>
      </c>
      <c r="I521">
        <v>1800</v>
      </c>
      <c r="J521">
        <v>50</v>
      </c>
      <c r="K521">
        <v>41</v>
      </c>
      <c r="L521">
        <v>25</v>
      </c>
      <c r="M521">
        <v>13</v>
      </c>
      <c r="P521" t="s">
        <v>2272</v>
      </c>
      <c r="R521" t="s">
        <v>2273</v>
      </c>
      <c r="S521">
        <v>4</v>
      </c>
      <c r="T521" t="s">
        <v>2274</v>
      </c>
      <c r="U521" t="s">
        <v>2275</v>
      </c>
    </row>
    <row r="522" spans="1:21" x14ac:dyDescent="0.25">
      <c r="A522" t="s">
        <v>2866</v>
      </c>
      <c r="B522" t="s">
        <v>904</v>
      </c>
      <c r="C522" t="s">
        <v>53</v>
      </c>
      <c r="D522" t="s">
        <v>24</v>
      </c>
      <c r="E522" t="s">
        <v>919</v>
      </c>
      <c r="F522" t="s">
        <v>398</v>
      </c>
      <c r="G522" t="s">
        <v>2271</v>
      </c>
      <c r="H522" s="20">
        <v>46250</v>
      </c>
      <c r="I522">
        <v>1800</v>
      </c>
      <c r="J522">
        <v>50</v>
      </c>
      <c r="K522">
        <v>41</v>
      </c>
      <c r="L522">
        <v>25</v>
      </c>
      <c r="M522">
        <v>13</v>
      </c>
      <c r="P522" t="s">
        <v>2272</v>
      </c>
      <c r="R522" t="s">
        <v>2273</v>
      </c>
      <c r="S522">
        <v>4</v>
      </c>
      <c r="T522" t="s">
        <v>2274</v>
      </c>
      <c r="U522" t="s">
        <v>2275</v>
      </c>
    </row>
    <row r="523" spans="1:21" x14ac:dyDescent="0.25">
      <c r="A523" t="s">
        <v>2867</v>
      </c>
      <c r="B523" t="s">
        <v>904</v>
      </c>
      <c r="C523" t="s">
        <v>53</v>
      </c>
      <c r="D523" t="s">
        <v>24</v>
      </c>
      <c r="E523" t="s">
        <v>920</v>
      </c>
      <c r="F523" t="s">
        <v>580</v>
      </c>
      <c r="G523" t="s">
        <v>2271</v>
      </c>
      <c r="H523" s="20">
        <v>46250</v>
      </c>
      <c r="I523">
        <v>1800</v>
      </c>
      <c r="J523">
        <v>50</v>
      </c>
      <c r="K523">
        <v>41</v>
      </c>
      <c r="L523">
        <v>25</v>
      </c>
      <c r="M523">
        <v>13</v>
      </c>
      <c r="P523" t="s">
        <v>2272</v>
      </c>
      <c r="R523" t="s">
        <v>2273</v>
      </c>
      <c r="S523">
        <v>4</v>
      </c>
      <c r="T523" t="s">
        <v>2274</v>
      </c>
      <c r="U523" t="s">
        <v>2275</v>
      </c>
    </row>
    <row r="524" spans="1:21" x14ac:dyDescent="0.25">
      <c r="A524" t="s">
        <v>2868</v>
      </c>
      <c r="B524" t="s">
        <v>904</v>
      </c>
      <c r="C524" t="s">
        <v>57</v>
      </c>
      <c r="D524" t="s">
        <v>24</v>
      </c>
      <c r="E524" t="s">
        <v>922</v>
      </c>
      <c r="F524" t="s">
        <v>396</v>
      </c>
      <c r="G524" t="s">
        <v>2271</v>
      </c>
      <c r="H524" s="20">
        <v>46250</v>
      </c>
      <c r="I524">
        <v>1800</v>
      </c>
      <c r="J524">
        <v>56</v>
      </c>
      <c r="K524">
        <v>45</v>
      </c>
      <c r="L524">
        <v>38</v>
      </c>
      <c r="P524" t="s">
        <v>2272</v>
      </c>
      <c r="R524" t="s">
        <v>2273</v>
      </c>
      <c r="S524">
        <v>4</v>
      </c>
      <c r="T524" t="s">
        <v>2274</v>
      </c>
      <c r="U524" t="s">
        <v>2275</v>
      </c>
    </row>
    <row r="525" spans="1:21" x14ac:dyDescent="0.25">
      <c r="A525" t="s">
        <v>2869</v>
      </c>
      <c r="B525" t="s">
        <v>904</v>
      </c>
      <c r="C525" t="s">
        <v>57</v>
      </c>
      <c r="D525" t="s">
        <v>24</v>
      </c>
      <c r="E525" t="s">
        <v>923</v>
      </c>
      <c r="F525" t="s">
        <v>537</v>
      </c>
      <c r="G525" t="s">
        <v>2271</v>
      </c>
      <c r="H525" s="20">
        <v>46250</v>
      </c>
      <c r="I525">
        <v>1800</v>
      </c>
      <c r="J525">
        <v>56</v>
      </c>
      <c r="K525">
        <v>45</v>
      </c>
      <c r="L525">
        <v>38</v>
      </c>
      <c r="P525" t="s">
        <v>2272</v>
      </c>
      <c r="R525" t="s">
        <v>2273</v>
      </c>
      <c r="S525">
        <v>4</v>
      </c>
      <c r="T525" t="s">
        <v>2274</v>
      </c>
      <c r="U525" t="s">
        <v>2275</v>
      </c>
    </row>
    <row r="526" spans="1:21" x14ac:dyDescent="0.25">
      <c r="A526" t="s">
        <v>2870</v>
      </c>
      <c r="B526" t="s">
        <v>904</v>
      </c>
      <c r="C526" t="s">
        <v>57</v>
      </c>
      <c r="D526" t="s">
        <v>24</v>
      </c>
      <c r="E526" t="s">
        <v>924</v>
      </c>
      <c r="F526" t="s">
        <v>221</v>
      </c>
      <c r="G526" t="s">
        <v>2271</v>
      </c>
      <c r="H526" s="20">
        <v>46250</v>
      </c>
      <c r="I526">
        <v>1800</v>
      </c>
      <c r="J526">
        <v>56</v>
      </c>
      <c r="K526">
        <v>45</v>
      </c>
      <c r="L526">
        <v>38</v>
      </c>
      <c r="P526" t="s">
        <v>2272</v>
      </c>
      <c r="R526" t="s">
        <v>2273</v>
      </c>
      <c r="S526">
        <v>4</v>
      </c>
      <c r="T526" t="s">
        <v>2274</v>
      </c>
      <c r="U526" t="s">
        <v>2275</v>
      </c>
    </row>
    <row r="527" spans="1:21" x14ac:dyDescent="0.25">
      <c r="A527" t="s">
        <v>2871</v>
      </c>
      <c r="B527" t="s">
        <v>904</v>
      </c>
      <c r="C527" t="s">
        <v>57</v>
      </c>
      <c r="D527" t="s">
        <v>24</v>
      </c>
      <c r="E527" t="s">
        <v>925</v>
      </c>
      <c r="F527" t="s">
        <v>693</v>
      </c>
      <c r="G527" t="s">
        <v>2271</v>
      </c>
      <c r="H527" s="20">
        <v>46250</v>
      </c>
      <c r="I527">
        <v>1800</v>
      </c>
      <c r="J527">
        <v>56</v>
      </c>
      <c r="K527">
        <v>45</v>
      </c>
      <c r="L527">
        <v>38</v>
      </c>
      <c r="P527" t="s">
        <v>2272</v>
      </c>
      <c r="R527" t="s">
        <v>2273</v>
      </c>
      <c r="S527">
        <v>4</v>
      </c>
      <c r="T527" t="s">
        <v>2274</v>
      </c>
      <c r="U527" t="s">
        <v>2275</v>
      </c>
    </row>
    <row r="528" spans="1:21" x14ac:dyDescent="0.25">
      <c r="A528" t="s">
        <v>2872</v>
      </c>
      <c r="B528" t="s">
        <v>904</v>
      </c>
      <c r="C528" t="s">
        <v>63</v>
      </c>
      <c r="D528" t="s">
        <v>24</v>
      </c>
      <c r="E528" t="s">
        <v>927</v>
      </c>
      <c r="F528" t="s">
        <v>199</v>
      </c>
      <c r="G528" t="s">
        <v>2271</v>
      </c>
      <c r="H528" s="20">
        <v>46250</v>
      </c>
      <c r="I528">
        <v>1800</v>
      </c>
      <c r="J528">
        <v>81</v>
      </c>
      <c r="K528">
        <v>74</v>
      </c>
      <c r="L528">
        <v>54</v>
      </c>
      <c r="P528" t="s">
        <v>2272</v>
      </c>
      <c r="R528" t="s">
        <v>2273</v>
      </c>
      <c r="S528">
        <v>4</v>
      </c>
      <c r="T528" t="s">
        <v>2274</v>
      </c>
      <c r="U528" t="s">
        <v>2275</v>
      </c>
    </row>
    <row r="529" spans="1:21" x14ac:dyDescent="0.25">
      <c r="A529" t="s">
        <v>2873</v>
      </c>
      <c r="B529" t="s">
        <v>904</v>
      </c>
      <c r="C529" t="s">
        <v>63</v>
      </c>
      <c r="D529" t="s">
        <v>24</v>
      </c>
      <c r="E529" t="s">
        <v>928</v>
      </c>
      <c r="F529" t="s">
        <v>426</v>
      </c>
      <c r="G529" t="s">
        <v>2271</v>
      </c>
      <c r="H529" s="20">
        <v>46250</v>
      </c>
      <c r="I529">
        <v>1800</v>
      </c>
      <c r="J529">
        <v>81</v>
      </c>
      <c r="K529">
        <v>74</v>
      </c>
      <c r="L529">
        <v>54</v>
      </c>
      <c r="P529" t="s">
        <v>2272</v>
      </c>
      <c r="R529" t="s">
        <v>2273</v>
      </c>
      <c r="S529">
        <v>4</v>
      </c>
      <c r="T529" t="s">
        <v>2274</v>
      </c>
      <c r="U529" t="s">
        <v>2275</v>
      </c>
    </row>
    <row r="530" spans="1:21" x14ac:dyDescent="0.25">
      <c r="A530" t="s">
        <v>2874</v>
      </c>
      <c r="B530" t="s">
        <v>904</v>
      </c>
      <c r="C530" t="s">
        <v>67</v>
      </c>
      <c r="D530" t="s">
        <v>24</v>
      </c>
      <c r="E530" t="s">
        <v>930</v>
      </c>
      <c r="F530" t="s">
        <v>931</v>
      </c>
      <c r="G530" t="s">
        <v>2271</v>
      </c>
      <c r="H530" s="20">
        <v>46250</v>
      </c>
      <c r="I530">
        <v>1800</v>
      </c>
      <c r="J530">
        <v>58</v>
      </c>
      <c r="K530">
        <v>49</v>
      </c>
      <c r="L530">
        <v>44</v>
      </c>
      <c r="P530" t="s">
        <v>2272</v>
      </c>
      <c r="R530" t="s">
        <v>2273</v>
      </c>
      <c r="S530">
        <v>4</v>
      </c>
      <c r="T530" t="s">
        <v>2274</v>
      </c>
      <c r="U530" t="s">
        <v>2275</v>
      </c>
    </row>
    <row r="531" spans="1:21" x14ac:dyDescent="0.25">
      <c r="A531" t="s">
        <v>2875</v>
      </c>
      <c r="B531" t="s">
        <v>904</v>
      </c>
      <c r="C531" t="s">
        <v>67</v>
      </c>
      <c r="D531" t="s">
        <v>24</v>
      </c>
      <c r="E531" t="s">
        <v>932</v>
      </c>
      <c r="F531" t="s">
        <v>295</v>
      </c>
      <c r="G531" t="s">
        <v>2271</v>
      </c>
      <c r="H531" s="20">
        <v>46250</v>
      </c>
      <c r="I531">
        <v>1800</v>
      </c>
      <c r="J531">
        <v>58</v>
      </c>
      <c r="K531">
        <v>49</v>
      </c>
      <c r="L531">
        <v>44</v>
      </c>
      <c r="P531" t="s">
        <v>2272</v>
      </c>
      <c r="R531" t="s">
        <v>2273</v>
      </c>
      <c r="S531">
        <v>4</v>
      </c>
      <c r="T531" t="s">
        <v>2274</v>
      </c>
      <c r="U531" t="s">
        <v>2275</v>
      </c>
    </row>
    <row r="532" spans="1:21" x14ac:dyDescent="0.25">
      <c r="A532" t="s">
        <v>2876</v>
      </c>
      <c r="B532" t="s">
        <v>904</v>
      </c>
      <c r="C532" t="s">
        <v>73</v>
      </c>
      <c r="D532" t="s">
        <v>24</v>
      </c>
      <c r="E532" t="s">
        <v>934</v>
      </c>
      <c r="F532" t="s">
        <v>94</v>
      </c>
      <c r="G532" t="s">
        <v>2271</v>
      </c>
      <c r="H532" s="20">
        <v>46250</v>
      </c>
      <c r="I532">
        <v>1800</v>
      </c>
      <c r="J532">
        <v>56</v>
      </c>
      <c r="K532">
        <v>45</v>
      </c>
      <c r="L532">
        <v>44</v>
      </c>
      <c r="P532" t="s">
        <v>2272</v>
      </c>
      <c r="R532" t="s">
        <v>2273</v>
      </c>
      <c r="S532">
        <v>4</v>
      </c>
      <c r="T532" t="s">
        <v>2274</v>
      </c>
      <c r="U532" t="s">
        <v>2275</v>
      </c>
    </row>
    <row r="533" spans="1:21" x14ac:dyDescent="0.25">
      <c r="A533" t="s">
        <v>2877</v>
      </c>
      <c r="B533" t="s">
        <v>904</v>
      </c>
      <c r="C533" t="s">
        <v>73</v>
      </c>
      <c r="D533" t="s">
        <v>21</v>
      </c>
      <c r="E533" t="s">
        <v>935</v>
      </c>
      <c r="F533" t="s">
        <v>872</v>
      </c>
      <c r="G533" t="s">
        <v>2271</v>
      </c>
      <c r="H533" s="20">
        <v>46254</v>
      </c>
      <c r="I533">
        <v>1500</v>
      </c>
      <c r="J533">
        <v>60</v>
      </c>
      <c r="K533">
        <v>53</v>
      </c>
      <c r="L533">
        <v>35</v>
      </c>
      <c r="M533">
        <v>30</v>
      </c>
      <c r="N533">
        <v>25</v>
      </c>
      <c r="P533" t="s">
        <v>2272</v>
      </c>
      <c r="R533" t="s">
        <v>2273</v>
      </c>
      <c r="S533">
        <v>5</v>
      </c>
      <c r="T533" t="s">
        <v>2319</v>
      </c>
      <c r="U533" t="s">
        <v>2320</v>
      </c>
    </row>
    <row r="534" spans="1:21" x14ac:dyDescent="0.25">
      <c r="A534" t="s">
        <v>2878</v>
      </c>
      <c r="B534" t="s">
        <v>904</v>
      </c>
      <c r="C534" t="s">
        <v>79</v>
      </c>
      <c r="D534" t="s">
        <v>24</v>
      </c>
      <c r="E534" t="s">
        <v>937</v>
      </c>
      <c r="F534" t="s">
        <v>165</v>
      </c>
      <c r="G534" t="s">
        <v>2271</v>
      </c>
      <c r="H534" s="20">
        <v>46250</v>
      </c>
      <c r="I534">
        <v>1800</v>
      </c>
      <c r="J534">
        <v>45</v>
      </c>
      <c r="K534">
        <v>36</v>
      </c>
      <c r="L534">
        <v>25</v>
      </c>
      <c r="M534">
        <v>13</v>
      </c>
      <c r="P534" t="s">
        <v>2272</v>
      </c>
      <c r="R534" t="s">
        <v>2273</v>
      </c>
      <c r="S534">
        <v>4</v>
      </c>
      <c r="T534" t="s">
        <v>2274</v>
      </c>
      <c r="U534" t="s">
        <v>2275</v>
      </c>
    </row>
    <row r="535" spans="1:21" x14ac:dyDescent="0.25">
      <c r="A535" t="s">
        <v>2879</v>
      </c>
      <c r="B535" t="s">
        <v>904</v>
      </c>
      <c r="C535" t="s">
        <v>83</v>
      </c>
      <c r="D535" t="s">
        <v>24</v>
      </c>
      <c r="E535" t="s">
        <v>939</v>
      </c>
      <c r="F535" t="s">
        <v>319</v>
      </c>
      <c r="G535" t="s">
        <v>2271</v>
      </c>
      <c r="H535" s="20">
        <v>46250</v>
      </c>
      <c r="I535">
        <v>1800</v>
      </c>
      <c r="J535">
        <v>61</v>
      </c>
      <c r="K535">
        <v>50</v>
      </c>
      <c r="L535">
        <v>38</v>
      </c>
      <c r="M535">
        <v>31</v>
      </c>
      <c r="N535">
        <v>25</v>
      </c>
      <c r="P535" t="s">
        <v>2272</v>
      </c>
      <c r="R535" t="s">
        <v>2273</v>
      </c>
      <c r="S535">
        <v>4</v>
      </c>
      <c r="T535" t="s">
        <v>2274</v>
      </c>
      <c r="U535" t="s">
        <v>2275</v>
      </c>
    </row>
    <row r="536" spans="1:21" x14ac:dyDescent="0.25">
      <c r="A536" t="s">
        <v>2880</v>
      </c>
      <c r="B536" t="s">
        <v>904</v>
      </c>
      <c r="C536" t="s">
        <v>83</v>
      </c>
      <c r="D536" t="s">
        <v>24</v>
      </c>
      <c r="E536" t="s">
        <v>940</v>
      </c>
      <c r="F536" t="s">
        <v>237</v>
      </c>
      <c r="G536" t="s">
        <v>2271</v>
      </c>
      <c r="H536" s="20">
        <v>46250</v>
      </c>
      <c r="I536">
        <v>1800</v>
      </c>
      <c r="J536">
        <v>61</v>
      </c>
      <c r="K536">
        <v>50</v>
      </c>
      <c r="L536">
        <v>38</v>
      </c>
      <c r="M536">
        <v>31</v>
      </c>
      <c r="N536">
        <v>25</v>
      </c>
      <c r="P536" t="s">
        <v>2272</v>
      </c>
      <c r="R536" t="s">
        <v>2273</v>
      </c>
      <c r="S536">
        <v>4</v>
      </c>
      <c r="T536" t="s">
        <v>2274</v>
      </c>
      <c r="U536" t="s">
        <v>2275</v>
      </c>
    </row>
    <row r="537" spans="1:21" x14ac:dyDescent="0.25">
      <c r="A537" t="s">
        <v>2881</v>
      </c>
      <c r="B537" t="s">
        <v>904</v>
      </c>
      <c r="C537" t="s">
        <v>83</v>
      </c>
      <c r="D537" t="s">
        <v>24</v>
      </c>
      <c r="E537" t="s">
        <v>941</v>
      </c>
      <c r="F537" t="s">
        <v>62</v>
      </c>
      <c r="G537" t="s">
        <v>2271</v>
      </c>
      <c r="H537" s="20">
        <v>46250</v>
      </c>
      <c r="I537">
        <v>1800</v>
      </c>
      <c r="J537">
        <v>61</v>
      </c>
      <c r="K537">
        <v>50</v>
      </c>
      <c r="L537">
        <v>38</v>
      </c>
      <c r="M537">
        <v>31</v>
      </c>
      <c r="N537">
        <v>25</v>
      </c>
      <c r="P537" t="s">
        <v>2272</v>
      </c>
      <c r="R537" t="s">
        <v>2273</v>
      </c>
      <c r="S537">
        <v>4</v>
      </c>
      <c r="T537" t="s">
        <v>2274</v>
      </c>
      <c r="U537" t="s">
        <v>2275</v>
      </c>
    </row>
    <row r="538" spans="1:21" x14ac:dyDescent="0.25">
      <c r="A538" t="s">
        <v>2882</v>
      </c>
      <c r="B538" t="s">
        <v>904</v>
      </c>
      <c r="C538" t="s">
        <v>91</v>
      </c>
      <c r="D538" t="s">
        <v>24</v>
      </c>
      <c r="E538" t="s">
        <v>944</v>
      </c>
      <c r="F538" t="s">
        <v>488</v>
      </c>
      <c r="G538" t="s">
        <v>2271</v>
      </c>
      <c r="H538" s="20">
        <v>46250</v>
      </c>
      <c r="I538">
        <v>1800</v>
      </c>
      <c r="J538">
        <v>74</v>
      </c>
      <c r="K538">
        <v>61</v>
      </c>
      <c r="L538">
        <v>49</v>
      </c>
      <c r="P538" t="s">
        <v>2272</v>
      </c>
      <c r="R538" t="s">
        <v>2273</v>
      </c>
      <c r="S538">
        <v>4</v>
      </c>
      <c r="T538" t="s">
        <v>2274</v>
      </c>
      <c r="U538" t="s">
        <v>2275</v>
      </c>
    </row>
    <row r="539" spans="1:21" x14ac:dyDescent="0.25">
      <c r="A539" t="s">
        <v>2883</v>
      </c>
      <c r="B539" t="s">
        <v>904</v>
      </c>
      <c r="C539" t="s">
        <v>91</v>
      </c>
      <c r="D539" t="s">
        <v>24</v>
      </c>
      <c r="E539" t="s">
        <v>945</v>
      </c>
      <c r="F539" t="s">
        <v>589</v>
      </c>
      <c r="G539" t="s">
        <v>2271</v>
      </c>
      <c r="H539" s="20">
        <v>46250</v>
      </c>
      <c r="I539">
        <v>1800</v>
      </c>
      <c r="J539">
        <v>74</v>
      </c>
      <c r="K539">
        <v>61</v>
      </c>
      <c r="L539">
        <v>49</v>
      </c>
      <c r="P539" t="s">
        <v>2272</v>
      </c>
      <c r="R539" t="s">
        <v>2273</v>
      </c>
      <c r="S539">
        <v>4</v>
      </c>
      <c r="T539" t="s">
        <v>2274</v>
      </c>
      <c r="U539" t="s">
        <v>2275</v>
      </c>
    </row>
    <row r="540" spans="1:21" x14ac:dyDescent="0.25">
      <c r="A540" t="s">
        <v>2884</v>
      </c>
      <c r="B540" t="s">
        <v>904</v>
      </c>
      <c r="C540" t="s">
        <v>97</v>
      </c>
      <c r="D540" t="s">
        <v>24</v>
      </c>
      <c r="E540" t="s">
        <v>947</v>
      </c>
      <c r="F540" t="s">
        <v>746</v>
      </c>
      <c r="G540" t="s">
        <v>2271</v>
      </c>
      <c r="H540" s="20">
        <v>46250</v>
      </c>
      <c r="I540">
        <v>1800</v>
      </c>
      <c r="J540">
        <v>56</v>
      </c>
      <c r="K540">
        <v>45</v>
      </c>
      <c r="L540">
        <v>38</v>
      </c>
      <c r="P540" t="s">
        <v>2272</v>
      </c>
      <c r="R540" t="s">
        <v>2273</v>
      </c>
      <c r="S540">
        <v>4</v>
      </c>
      <c r="T540" t="s">
        <v>2274</v>
      </c>
      <c r="U540" t="s">
        <v>2275</v>
      </c>
    </row>
    <row r="541" spans="1:21" x14ac:dyDescent="0.25">
      <c r="A541" t="s">
        <v>2885</v>
      </c>
      <c r="B541" t="s">
        <v>904</v>
      </c>
      <c r="C541" t="s">
        <v>97</v>
      </c>
      <c r="D541" t="s">
        <v>24</v>
      </c>
      <c r="E541" t="s">
        <v>948</v>
      </c>
      <c r="F541" t="s">
        <v>949</v>
      </c>
      <c r="G541" t="s">
        <v>2271</v>
      </c>
      <c r="H541" s="20">
        <v>46250</v>
      </c>
      <c r="I541">
        <v>1800</v>
      </c>
      <c r="J541">
        <v>56</v>
      </c>
      <c r="K541">
        <v>45</v>
      </c>
      <c r="L541">
        <v>38</v>
      </c>
      <c r="P541" t="s">
        <v>2272</v>
      </c>
      <c r="R541" t="s">
        <v>2273</v>
      </c>
      <c r="S541">
        <v>4</v>
      </c>
      <c r="T541" t="s">
        <v>2274</v>
      </c>
      <c r="U541" t="s">
        <v>2275</v>
      </c>
    </row>
    <row r="542" spans="1:21" x14ac:dyDescent="0.25">
      <c r="A542" t="s">
        <v>2886</v>
      </c>
      <c r="B542" t="s">
        <v>904</v>
      </c>
      <c r="C542" t="s">
        <v>103</v>
      </c>
      <c r="D542" t="s">
        <v>24</v>
      </c>
      <c r="E542" t="s">
        <v>951</v>
      </c>
      <c r="F542" t="s">
        <v>464</v>
      </c>
      <c r="G542" t="s">
        <v>2271</v>
      </c>
      <c r="H542" s="20">
        <v>46250</v>
      </c>
      <c r="I542">
        <v>1800</v>
      </c>
      <c r="J542">
        <v>63</v>
      </c>
      <c r="K542">
        <v>54</v>
      </c>
      <c r="L542">
        <v>46</v>
      </c>
      <c r="P542" t="s">
        <v>2272</v>
      </c>
      <c r="R542" t="s">
        <v>2273</v>
      </c>
      <c r="S542">
        <v>4</v>
      </c>
      <c r="T542" t="s">
        <v>2274</v>
      </c>
      <c r="U542" t="s">
        <v>2275</v>
      </c>
    </row>
    <row r="543" spans="1:21" x14ac:dyDescent="0.25">
      <c r="A543" t="s">
        <v>2887</v>
      </c>
      <c r="B543" t="s">
        <v>904</v>
      </c>
      <c r="C543" t="s">
        <v>103</v>
      </c>
      <c r="D543" t="s">
        <v>24</v>
      </c>
      <c r="E543" t="s">
        <v>952</v>
      </c>
      <c r="F543" t="s">
        <v>953</v>
      </c>
      <c r="G543" t="s">
        <v>2271</v>
      </c>
      <c r="H543" s="20">
        <v>46250</v>
      </c>
      <c r="I543">
        <v>1800</v>
      </c>
      <c r="J543">
        <v>63</v>
      </c>
      <c r="K543">
        <v>54</v>
      </c>
      <c r="L543">
        <v>46</v>
      </c>
      <c r="P543" t="s">
        <v>2272</v>
      </c>
      <c r="R543" t="s">
        <v>2273</v>
      </c>
      <c r="S543">
        <v>4</v>
      </c>
      <c r="T543" t="s">
        <v>2274</v>
      </c>
      <c r="U543" t="s">
        <v>2275</v>
      </c>
    </row>
    <row r="544" spans="1:21" x14ac:dyDescent="0.25">
      <c r="A544" t="s">
        <v>2888</v>
      </c>
      <c r="B544" t="s">
        <v>904</v>
      </c>
      <c r="C544" t="s">
        <v>103</v>
      </c>
      <c r="D544" t="s">
        <v>24</v>
      </c>
      <c r="E544" t="s">
        <v>954</v>
      </c>
      <c r="F544" t="s">
        <v>335</v>
      </c>
      <c r="G544" t="s">
        <v>2271</v>
      </c>
      <c r="H544" s="20">
        <v>46250</v>
      </c>
      <c r="I544">
        <v>1800</v>
      </c>
      <c r="J544">
        <v>63</v>
      </c>
      <c r="K544">
        <v>54</v>
      </c>
      <c r="L544">
        <v>46</v>
      </c>
      <c r="P544" t="s">
        <v>2272</v>
      </c>
      <c r="R544" t="s">
        <v>2273</v>
      </c>
      <c r="S544">
        <v>4</v>
      </c>
      <c r="T544" t="s">
        <v>2274</v>
      </c>
      <c r="U544" t="s">
        <v>2275</v>
      </c>
    </row>
    <row r="545" spans="1:21" x14ac:dyDescent="0.25">
      <c r="A545" t="s">
        <v>2889</v>
      </c>
      <c r="B545" t="s">
        <v>904</v>
      </c>
      <c r="C545" t="s">
        <v>103</v>
      </c>
      <c r="D545" t="s">
        <v>24</v>
      </c>
      <c r="E545" t="s">
        <v>955</v>
      </c>
      <c r="F545" t="s">
        <v>655</v>
      </c>
      <c r="G545" t="s">
        <v>2271</v>
      </c>
      <c r="H545" s="20">
        <v>46250</v>
      </c>
      <c r="I545">
        <v>1800</v>
      </c>
      <c r="J545">
        <v>63</v>
      </c>
      <c r="K545">
        <v>54</v>
      </c>
      <c r="L545">
        <v>46</v>
      </c>
      <c r="P545" t="s">
        <v>2272</v>
      </c>
      <c r="R545" t="s">
        <v>2273</v>
      </c>
      <c r="S545">
        <v>4</v>
      </c>
      <c r="T545" t="s">
        <v>2274</v>
      </c>
      <c r="U545" t="s">
        <v>2275</v>
      </c>
    </row>
    <row r="546" spans="1:21" x14ac:dyDescent="0.25">
      <c r="A546" t="s">
        <v>2890</v>
      </c>
      <c r="B546" t="s">
        <v>904</v>
      </c>
      <c r="C546" t="s">
        <v>109</v>
      </c>
      <c r="D546" t="s">
        <v>24</v>
      </c>
      <c r="E546" t="s">
        <v>957</v>
      </c>
      <c r="F546" t="s">
        <v>476</v>
      </c>
      <c r="G546" t="s">
        <v>2271</v>
      </c>
      <c r="H546" s="20">
        <v>46250</v>
      </c>
      <c r="I546">
        <v>1800</v>
      </c>
      <c r="J546">
        <v>56</v>
      </c>
      <c r="K546">
        <v>45</v>
      </c>
      <c r="L546">
        <v>41</v>
      </c>
      <c r="P546" t="s">
        <v>2272</v>
      </c>
      <c r="R546" t="s">
        <v>2273</v>
      </c>
      <c r="S546">
        <v>4</v>
      </c>
      <c r="T546" t="s">
        <v>2274</v>
      </c>
      <c r="U546" t="s">
        <v>2275</v>
      </c>
    </row>
    <row r="547" spans="1:21" x14ac:dyDescent="0.25">
      <c r="A547" t="s">
        <v>2891</v>
      </c>
      <c r="B547" t="s">
        <v>904</v>
      </c>
      <c r="C547" t="s">
        <v>109</v>
      </c>
      <c r="D547" t="s">
        <v>24</v>
      </c>
      <c r="E547" t="s">
        <v>958</v>
      </c>
      <c r="F547" t="s">
        <v>419</v>
      </c>
      <c r="G547" t="s">
        <v>2271</v>
      </c>
      <c r="H547" s="20">
        <v>46250</v>
      </c>
      <c r="I547">
        <v>1800</v>
      </c>
      <c r="J547">
        <v>56</v>
      </c>
      <c r="K547">
        <v>45</v>
      </c>
      <c r="L547">
        <v>41</v>
      </c>
      <c r="P547" t="s">
        <v>2272</v>
      </c>
      <c r="R547" t="s">
        <v>2273</v>
      </c>
      <c r="S547">
        <v>4</v>
      </c>
      <c r="T547" t="s">
        <v>2274</v>
      </c>
      <c r="U547" t="s">
        <v>2275</v>
      </c>
    </row>
    <row r="548" spans="1:21" x14ac:dyDescent="0.25">
      <c r="A548" t="s">
        <v>2892</v>
      </c>
      <c r="B548" t="s">
        <v>904</v>
      </c>
      <c r="C548" t="s">
        <v>113</v>
      </c>
      <c r="D548" t="s">
        <v>24</v>
      </c>
      <c r="E548" t="s">
        <v>960</v>
      </c>
      <c r="F548" t="s">
        <v>339</v>
      </c>
      <c r="G548" t="s">
        <v>2271</v>
      </c>
      <c r="H548" s="20">
        <v>46250</v>
      </c>
      <c r="I548">
        <v>1800</v>
      </c>
      <c r="J548">
        <v>58</v>
      </c>
      <c r="K548">
        <v>49</v>
      </c>
      <c r="L548">
        <v>44</v>
      </c>
      <c r="P548" t="s">
        <v>2272</v>
      </c>
      <c r="R548" t="s">
        <v>2273</v>
      </c>
      <c r="S548">
        <v>4</v>
      </c>
      <c r="T548" t="s">
        <v>2274</v>
      </c>
      <c r="U548" t="s">
        <v>2275</v>
      </c>
    </row>
    <row r="549" spans="1:21" x14ac:dyDescent="0.25">
      <c r="A549" t="s">
        <v>2893</v>
      </c>
      <c r="B549" t="s">
        <v>904</v>
      </c>
      <c r="C549" t="s">
        <v>113</v>
      </c>
      <c r="D549" t="s">
        <v>24</v>
      </c>
      <c r="E549" t="s">
        <v>961</v>
      </c>
      <c r="F549" t="s">
        <v>260</v>
      </c>
      <c r="G549" t="s">
        <v>2271</v>
      </c>
      <c r="H549" s="20">
        <v>46250</v>
      </c>
      <c r="I549">
        <v>1800</v>
      </c>
      <c r="J549">
        <v>58</v>
      </c>
      <c r="K549">
        <v>49</v>
      </c>
      <c r="L549">
        <v>44</v>
      </c>
      <c r="P549" t="s">
        <v>2272</v>
      </c>
      <c r="R549" t="s">
        <v>2273</v>
      </c>
      <c r="S549">
        <v>4</v>
      </c>
      <c r="T549" t="s">
        <v>2274</v>
      </c>
      <c r="U549" t="s">
        <v>2275</v>
      </c>
    </row>
    <row r="550" spans="1:21" x14ac:dyDescent="0.25">
      <c r="A550" t="s">
        <v>2894</v>
      </c>
      <c r="B550" t="s">
        <v>904</v>
      </c>
      <c r="C550" t="s">
        <v>113</v>
      </c>
      <c r="D550" t="s">
        <v>24</v>
      </c>
      <c r="E550" t="s">
        <v>962</v>
      </c>
      <c r="F550" t="s">
        <v>293</v>
      </c>
      <c r="G550" t="s">
        <v>2271</v>
      </c>
      <c r="H550" s="20">
        <v>46250</v>
      </c>
      <c r="I550">
        <v>1800</v>
      </c>
      <c r="J550">
        <v>58</v>
      </c>
      <c r="K550">
        <v>49</v>
      </c>
      <c r="L550">
        <v>44</v>
      </c>
      <c r="P550" t="s">
        <v>2272</v>
      </c>
      <c r="R550" t="s">
        <v>2273</v>
      </c>
      <c r="S550">
        <v>4</v>
      </c>
      <c r="T550" t="s">
        <v>2274</v>
      </c>
      <c r="U550" t="s">
        <v>2275</v>
      </c>
    </row>
    <row r="551" spans="1:21" x14ac:dyDescent="0.25">
      <c r="A551" t="s">
        <v>2895</v>
      </c>
      <c r="B551" t="s">
        <v>904</v>
      </c>
      <c r="C551" t="s">
        <v>116</v>
      </c>
      <c r="D551" t="s">
        <v>24</v>
      </c>
      <c r="E551" t="s">
        <v>964</v>
      </c>
      <c r="F551" t="s">
        <v>528</v>
      </c>
      <c r="G551" t="s">
        <v>2271</v>
      </c>
      <c r="H551" s="20">
        <v>46250</v>
      </c>
      <c r="I551">
        <v>1800</v>
      </c>
      <c r="J551">
        <v>53</v>
      </c>
      <c r="K551">
        <v>44</v>
      </c>
      <c r="L551">
        <v>33</v>
      </c>
      <c r="P551" t="s">
        <v>2272</v>
      </c>
      <c r="R551" t="s">
        <v>2273</v>
      </c>
      <c r="S551">
        <v>4</v>
      </c>
      <c r="T551" t="s">
        <v>2274</v>
      </c>
      <c r="U551" t="s">
        <v>2275</v>
      </c>
    </row>
    <row r="552" spans="1:21" x14ac:dyDescent="0.25">
      <c r="A552" t="s">
        <v>2896</v>
      </c>
      <c r="B552" t="s">
        <v>904</v>
      </c>
      <c r="C552" t="s">
        <v>116</v>
      </c>
      <c r="D552" t="s">
        <v>24</v>
      </c>
      <c r="E552" t="s">
        <v>965</v>
      </c>
      <c r="F552" t="s">
        <v>693</v>
      </c>
      <c r="G552" t="s">
        <v>2271</v>
      </c>
      <c r="H552" s="20">
        <v>46250</v>
      </c>
      <c r="I552">
        <v>1800</v>
      </c>
      <c r="J552">
        <v>53</v>
      </c>
      <c r="K552">
        <v>44</v>
      </c>
      <c r="L552">
        <v>33</v>
      </c>
      <c r="P552" t="s">
        <v>2272</v>
      </c>
      <c r="R552" t="s">
        <v>2273</v>
      </c>
      <c r="S552">
        <v>4</v>
      </c>
      <c r="T552" t="s">
        <v>2274</v>
      </c>
      <c r="U552" t="s">
        <v>2275</v>
      </c>
    </row>
    <row r="553" spans="1:21" x14ac:dyDescent="0.25">
      <c r="A553" t="s">
        <v>2897</v>
      </c>
      <c r="B553" t="s">
        <v>904</v>
      </c>
      <c r="C553" t="s">
        <v>122</v>
      </c>
      <c r="D553" t="s">
        <v>24</v>
      </c>
      <c r="E553" t="s">
        <v>967</v>
      </c>
      <c r="F553" t="s">
        <v>356</v>
      </c>
      <c r="G553" t="s">
        <v>2271</v>
      </c>
      <c r="H553" s="20">
        <v>46250</v>
      </c>
      <c r="I553">
        <v>1800</v>
      </c>
      <c r="J553">
        <v>67</v>
      </c>
      <c r="K553">
        <v>54</v>
      </c>
      <c r="L553">
        <v>46</v>
      </c>
      <c r="P553" t="s">
        <v>2272</v>
      </c>
      <c r="R553" t="s">
        <v>2273</v>
      </c>
      <c r="S553">
        <v>4</v>
      </c>
      <c r="T553" t="s">
        <v>2274</v>
      </c>
      <c r="U553" t="s">
        <v>2275</v>
      </c>
    </row>
    <row r="554" spans="1:21" x14ac:dyDescent="0.25">
      <c r="A554" t="s">
        <v>2898</v>
      </c>
      <c r="B554" t="s">
        <v>904</v>
      </c>
      <c r="C554" t="s">
        <v>124</v>
      </c>
      <c r="D554" t="s">
        <v>24</v>
      </c>
      <c r="E554" t="s">
        <v>969</v>
      </c>
      <c r="F554" t="s">
        <v>633</v>
      </c>
      <c r="G554" t="s">
        <v>2271</v>
      </c>
      <c r="H554" s="20">
        <v>46250</v>
      </c>
      <c r="I554">
        <v>1800</v>
      </c>
      <c r="J554">
        <v>60</v>
      </c>
      <c r="K554">
        <v>49</v>
      </c>
      <c r="L554">
        <v>42</v>
      </c>
      <c r="P554" t="s">
        <v>2272</v>
      </c>
      <c r="R554" t="s">
        <v>2273</v>
      </c>
      <c r="S554">
        <v>4</v>
      </c>
      <c r="T554" t="s">
        <v>2274</v>
      </c>
      <c r="U554" t="s">
        <v>2275</v>
      </c>
    </row>
    <row r="555" spans="1:21" x14ac:dyDescent="0.25">
      <c r="A555" t="s">
        <v>2899</v>
      </c>
      <c r="B555" t="s">
        <v>904</v>
      </c>
      <c r="C555" t="s">
        <v>132</v>
      </c>
      <c r="D555" t="s">
        <v>24</v>
      </c>
      <c r="E555" t="s">
        <v>972</v>
      </c>
      <c r="F555" t="s">
        <v>326</v>
      </c>
      <c r="G555" t="s">
        <v>2271</v>
      </c>
      <c r="H555" s="20">
        <v>46250</v>
      </c>
      <c r="I555">
        <v>1800</v>
      </c>
      <c r="J555">
        <v>45</v>
      </c>
      <c r="K555">
        <v>36</v>
      </c>
      <c r="L555">
        <v>25</v>
      </c>
      <c r="M555">
        <v>13</v>
      </c>
      <c r="P555" t="s">
        <v>2272</v>
      </c>
      <c r="R555" t="s">
        <v>2273</v>
      </c>
      <c r="S555">
        <v>4</v>
      </c>
      <c r="T555" t="s">
        <v>2274</v>
      </c>
      <c r="U555" t="s">
        <v>2275</v>
      </c>
    </row>
    <row r="556" spans="1:21" x14ac:dyDescent="0.25">
      <c r="A556" t="s">
        <v>2900</v>
      </c>
      <c r="B556" t="s">
        <v>904</v>
      </c>
      <c r="C556" t="s">
        <v>132</v>
      </c>
      <c r="D556" t="s">
        <v>24</v>
      </c>
      <c r="E556" t="s">
        <v>973</v>
      </c>
      <c r="F556" t="s">
        <v>974</v>
      </c>
      <c r="G556" t="s">
        <v>2271</v>
      </c>
      <c r="H556" s="20">
        <v>46250</v>
      </c>
      <c r="I556">
        <v>1800</v>
      </c>
      <c r="J556">
        <v>45</v>
      </c>
      <c r="K556">
        <v>36</v>
      </c>
      <c r="L556">
        <v>25</v>
      </c>
      <c r="M556">
        <v>13</v>
      </c>
      <c r="P556" t="s">
        <v>2272</v>
      </c>
      <c r="R556" t="s">
        <v>2273</v>
      </c>
      <c r="S556">
        <v>4</v>
      </c>
      <c r="T556" t="s">
        <v>2274</v>
      </c>
      <c r="U556" t="s">
        <v>2275</v>
      </c>
    </row>
    <row r="557" spans="1:21" x14ac:dyDescent="0.25">
      <c r="A557" t="s">
        <v>2901</v>
      </c>
      <c r="B557" t="s">
        <v>904</v>
      </c>
      <c r="C557" t="s">
        <v>134</v>
      </c>
      <c r="D557" t="s">
        <v>24</v>
      </c>
      <c r="E557" t="s">
        <v>976</v>
      </c>
      <c r="F557" t="s">
        <v>488</v>
      </c>
      <c r="G557" t="s">
        <v>2271</v>
      </c>
      <c r="H557" s="20">
        <v>46250</v>
      </c>
      <c r="I557">
        <v>1800</v>
      </c>
      <c r="J557">
        <v>50</v>
      </c>
      <c r="K557">
        <v>41</v>
      </c>
      <c r="L557">
        <v>25</v>
      </c>
      <c r="M557">
        <v>13</v>
      </c>
      <c r="P557" t="s">
        <v>2272</v>
      </c>
      <c r="R557" t="s">
        <v>2273</v>
      </c>
      <c r="S557">
        <v>4</v>
      </c>
      <c r="T557" t="s">
        <v>2274</v>
      </c>
      <c r="U557" t="s">
        <v>2275</v>
      </c>
    </row>
    <row r="558" spans="1:21" x14ac:dyDescent="0.25">
      <c r="A558" t="s">
        <v>2902</v>
      </c>
      <c r="B558" t="s">
        <v>904</v>
      </c>
      <c r="C558" t="s">
        <v>134</v>
      </c>
      <c r="D558" t="s">
        <v>24</v>
      </c>
      <c r="E558" t="s">
        <v>977</v>
      </c>
      <c r="F558" t="s">
        <v>890</v>
      </c>
      <c r="G558" t="s">
        <v>2271</v>
      </c>
      <c r="H558" s="20">
        <v>46250</v>
      </c>
      <c r="I558">
        <v>1800</v>
      </c>
      <c r="J558">
        <v>50</v>
      </c>
      <c r="K558">
        <v>41</v>
      </c>
      <c r="L558">
        <v>25</v>
      </c>
      <c r="M558">
        <v>13</v>
      </c>
      <c r="P558" t="s">
        <v>2272</v>
      </c>
      <c r="R558" t="s">
        <v>2273</v>
      </c>
      <c r="S558">
        <v>4</v>
      </c>
      <c r="T558" t="s">
        <v>2274</v>
      </c>
      <c r="U558" t="s">
        <v>2275</v>
      </c>
    </row>
    <row r="559" spans="1:21" x14ac:dyDescent="0.25">
      <c r="A559" t="s">
        <v>2903</v>
      </c>
      <c r="B559" t="s">
        <v>904</v>
      </c>
      <c r="C559" t="s">
        <v>134</v>
      </c>
      <c r="D559" t="s">
        <v>24</v>
      </c>
      <c r="E559" t="s">
        <v>136</v>
      </c>
      <c r="F559" t="s">
        <v>112</v>
      </c>
      <c r="G559" t="s">
        <v>2271</v>
      </c>
      <c r="H559" s="20">
        <v>46250</v>
      </c>
      <c r="I559">
        <v>1800</v>
      </c>
      <c r="J559">
        <v>50</v>
      </c>
      <c r="K559">
        <v>41</v>
      </c>
      <c r="L559">
        <v>25</v>
      </c>
      <c r="M559">
        <v>13</v>
      </c>
      <c r="P559" t="s">
        <v>2272</v>
      </c>
      <c r="R559" t="s">
        <v>2273</v>
      </c>
      <c r="S559">
        <v>4</v>
      </c>
      <c r="T559" t="s">
        <v>2274</v>
      </c>
      <c r="U559" t="s">
        <v>2275</v>
      </c>
    </row>
    <row r="560" spans="1:21" x14ac:dyDescent="0.25">
      <c r="A560" t="s">
        <v>2904</v>
      </c>
      <c r="B560" t="s">
        <v>904</v>
      </c>
      <c r="C560" t="s">
        <v>134</v>
      </c>
      <c r="D560" t="s">
        <v>24</v>
      </c>
      <c r="E560" t="s">
        <v>978</v>
      </c>
      <c r="F560" t="s">
        <v>170</v>
      </c>
      <c r="G560" t="s">
        <v>2271</v>
      </c>
      <c r="H560" s="20">
        <v>46250</v>
      </c>
      <c r="I560">
        <v>1800</v>
      </c>
      <c r="J560">
        <v>50</v>
      </c>
      <c r="K560">
        <v>41</v>
      </c>
      <c r="L560">
        <v>25</v>
      </c>
      <c r="M560">
        <v>13</v>
      </c>
      <c r="P560" t="s">
        <v>2272</v>
      </c>
      <c r="R560" t="s">
        <v>2273</v>
      </c>
      <c r="S560">
        <v>4</v>
      </c>
      <c r="T560" t="s">
        <v>2274</v>
      </c>
      <c r="U560" t="s">
        <v>2275</v>
      </c>
    </row>
    <row r="561" spans="1:21" x14ac:dyDescent="0.25">
      <c r="A561" t="s">
        <v>2905</v>
      </c>
      <c r="B561" t="s">
        <v>904</v>
      </c>
      <c r="C561" t="s">
        <v>134</v>
      </c>
      <c r="D561" t="s">
        <v>24</v>
      </c>
      <c r="E561" t="s">
        <v>979</v>
      </c>
      <c r="F561" t="s">
        <v>347</v>
      </c>
      <c r="G561" t="s">
        <v>2271</v>
      </c>
      <c r="H561" s="20">
        <v>46250</v>
      </c>
      <c r="I561">
        <v>1800</v>
      </c>
      <c r="J561">
        <v>50</v>
      </c>
      <c r="K561">
        <v>41</v>
      </c>
      <c r="L561">
        <v>25</v>
      </c>
      <c r="M561">
        <v>13</v>
      </c>
      <c r="P561" t="s">
        <v>2272</v>
      </c>
      <c r="R561" t="s">
        <v>2273</v>
      </c>
      <c r="S561">
        <v>4</v>
      </c>
      <c r="T561" t="s">
        <v>2274</v>
      </c>
      <c r="U561" t="s">
        <v>2275</v>
      </c>
    </row>
    <row r="562" spans="1:21" x14ac:dyDescent="0.25">
      <c r="A562" t="s">
        <v>2906</v>
      </c>
      <c r="B562" t="s">
        <v>904</v>
      </c>
      <c r="C562" t="s">
        <v>134</v>
      </c>
      <c r="D562" t="s">
        <v>24</v>
      </c>
      <c r="E562" t="s">
        <v>980</v>
      </c>
      <c r="F562" t="s">
        <v>981</v>
      </c>
      <c r="G562" t="s">
        <v>2271</v>
      </c>
      <c r="H562" s="20">
        <v>46250</v>
      </c>
      <c r="I562">
        <v>1800</v>
      </c>
      <c r="J562">
        <v>50</v>
      </c>
      <c r="K562">
        <v>41</v>
      </c>
      <c r="L562">
        <v>25</v>
      </c>
      <c r="M562">
        <v>13</v>
      </c>
      <c r="P562" t="s">
        <v>2272</v>
      </c>
      <c r="R562" t="s">
        <v>2273</v>
      </c>
      <c r="S562">
        <v>4</v>
      </c>
      <c r="T562" t="s">
        <v>2274</v>
      </c>
      <c r="U562" t="s">
        <v>2275</v>
      </c>
    </row>
    <row r="563" spans="1:21" x14ac:dyDescent="0.25">
      <c r="A563" t="s">
        <v>2907</v>
      </c>
      <c r="B563" t="s">
        <v>904</v>
      </c>
      <c r="C563" t="s">
        <v>134</v>
      </c>
      <c r="D563" t="s">
        <v>24</v>
      </c>
      <c r="E563" t="s">
        <v>982</v>
      </c>
      <c r="F563" t="s">
        <v>349</v>
      </c>
      <c r="G563" t="s">
        <v>2271</v>
      </c>
      <c r="H563" s="20">
        <v>46250</v>
      </c>
      <c r="I563">
        <v>1800</v>
      </c>
      <c r="J563">
        <v>50</v>
      </c>
      <c r="K563">
        <v>41</v>
      </c>
      <c r="L563">
        <v>25</v>
      </c>
      <c r="M563">
        <v>13</v>
      </c>
      <c r="P563" t="s">
        <v>2272</v>
      </c>
      <c r="R563" t="s">
        <v>2273</v>
      </c>
      <c r="S563">
        <v>4</v>
      </c>
      <c r="T563" t="s">
        <v>2274</v>
      </c>
      <c r="U563" t="s">
        <v>2275</v>
      </c>
    </row>
    <row r="564" spans="1:21" x14ac:dyDescent="0.25">
      <c r="A564" t="s">
        <v>2908</v>
      </c>
      <c r="B564" t="s">
        <v>904</v>
      </c>
      <c r="C564" t="s">
        <v>134</v>
      </c>
      <c r="D564" t="s">
        <v>21</v>
      </c>
      <c r="E564" t="s">
        <v>983</v>
      </c>
      <c r="F564" t="s">
        <v>339</v>
      </c>
      <c r="G564" t="s">
        <v>2271</v>
      </c>
      <c r="H564" s="20">
        <v>46254</v>
      </c>
      <c r="I564">
        <v>1500</v>
      </c>
      <c r="J564">
        <v>47</v>
      </c>
      <c r="K564">
        <v>38</v>
      </c>
      <c r="L564">
        <v>10</v>
      </c>
      <c r="P564" t="s">
        <v>2272</v>
      </c>
      <c r="R564" t="s">
        <v>2273</v>
      </c>
      <c r="S564">
        <v>5</v>
      </c>
      <c r="T564" t="s">
        <v>2319</v>
      </c>
      <c r="U564" t="s">
        <v>2320</v>
      </c>
    </row>
    <row r="565" spans="1:21" x14ac:dyDescent="0.25">
      <c r="A565" t="s">
        <v>2909</v>
      </c>
      <c r="B565" t="s">
        <v>904</v>
      </c>
      <c r="C565" t="s">
        <v>134</v>
      </c>
      <c r="D565" t="s">
        <v>21</v>
      </c>
      <c r="E565" t="s">
        <v>984</v>
      </c>
      <c r="F565" t="s">
        <v>985</v>
      </c>
      <c r="G565" t="s">
        <v>2271</v>
      </c>
      <c r="H565" s="20">
        <v>46254</v>
      </c>
      <c r="I565">
        <v>1500</v>
      </c>
      <c r="J565">
        <v>47</v>
      </c>
      <c r="K565">
        <v>38</v>
      </c>
      <c r="L565">
        <v>10</v>
      </c>
      <c r="P565" t="s">
        <v>2272</v>
      </c>
      <c r="R565" t="s">
        <v>2273</v>
      </c>
      <c r="S565">
        <v>5</v>
      </c>
      <c r="T565" t="s">
        <v>2319</v>
      </c>
      <c r="U565" t="s">
        <v>2320</v>
      </c>
    </row>
    <row r="566" spans="1:21" x14ac:dyDescent="0.25">
      <c r="A566" t="s">
        <v>2910</v>
      </c>
      <c r="B566" t="s">
        <v>904</v>
      </c>
      <c r="C566" t="s">
        <v>134</v>
      </c>
      <c r="D566" t="s">
        <v>21</v>
      </c>
      <c r="E566" t="s">
        <v>986</v>
      </c>
      <c r="F566" t="s">
        <v>368</v>
      </c>
      <c r="G566" t="s">
        <v>2271</v>
      </c>
      <c r="H566" s="20">
        <v>46254</v>
      </c>
      <c r="I566">
        <v>1500</v>
      </c>
      <c r="J566">
        <v>47</v>
      </c>
      <c r="K566">
        <v>38</v>
      </c>
      <c r="L566">
        <v>10</v>
      </c>
      <c r="P566" t="s">
        <v>2272</v>
      </c>
      <c r="R566" t="s">
        <v>2273</v>
      </c>
      <c r="S566">
        <v>5</v>
      </c>
      <c r="T566" t="s">
        <v>2319</v>
      </c>
      <c r="U566" t="s">
        <v>2320</v>
      </c>
    </row>
    <row r="567" spans="1:21" x14ac:dyDescent="0.25">
      <c r="A567" t="s">
        <v>2911</v>
      </c>
      <c r="B567" t="s">
        <v>904</v>
      </c>
      <c r="C567" t="s">
        <v>134</v>
      </c>
      <c r="D567" t="s">
        <v>21</v>
      </c>
      <c r="E567" t="s">
        <v>987</v>
      </c>
      <c r="F567" t="s">
        <v>678</v>
      </c>
      <c r="G567" t="s">
        <v>2271</v>
      </c>
      <c r="H567" s="20">
        <v>46254</v>
      </c>
      <c r="I567">
        <v>1500</v>
      </c>
      <c r="J567">
        <v>47</v>
      </c>
      <c r="K567">
        <v>38</v>
      </c>
      <c r="L567">
        <v>10</v>
      </c>
      <c r="P567" t="s">
        <v>2272</v>
      </c>
      <c r="R567" t="s">
        <v>2273</v>
      </c>
      <c r="S567">
        <v>5</v>
      </c>
      <c r="T567" t="s">
        <v>2319</v>
      </c>
      <c r="U567" t="s">
        <v>2320</v>
      </c>
    </row>
    <row r="568" spans="1:21" x14ac:dyDescent="0.25">
      <c r="A568" t="s">
        <v>2912</v>
      </c>
      <c r="B568" t="s">
        <v>904</v>
      </c>
      <c r="C568" t="s">
        <v>140</v>
      </c>
      <c r="D568" t="s">
        <v>24</v>
      </c>
      <c r="E568" t="s">
        <v>990</v>
      </c>
      <c r="F568" t="s">
        <v>411</v>
      </c>
      <c r="G568" t="s">
        <v>2271</v>
      </c>
      <c r="H568" s="20">
        <v>46250</v>
      </c>
      <c r="I568">
        <v>1800</v>
      </c>
      <c r="J568">
        <v>53</v>
      </c>
      <c r="K568">
        <v>41</v>
      </c>
      <c r="L568">
        <v>34</v>
      </c>
      <c r="P568" t="s">
        <v>2272</v>
      </c>
      <c r="R568" t="s">
        <v>2273</v>
      </c>
      <c r="S568">
        <v>4</v>
      </c>
      <c r="T568" t="s">
        <v>2274</v>
      </c>
      <c r="U568" t="s">
        <v>2275</v>
      </c>
    </row>
    <row r="569" spans="1:21" x14ac:dyDescent="0.25">
      <c r="A569" t="s">
        <v>2913</v>
      </c>
      <c r="B569" t="s">
        <v>904</v>
      </c>
      <c r="C569" t="s">
        <v>144</v>
      </c>
      <c r="D569" t="s">
        <v>24</v>
      </c>
      <c r="E569" t="s">
        <v>992</v>
      </c>
      <c r="F569" t="s">
        <v>476</v>
      </c>
      <c r="G569" t="s">
        <v>2271</v>
      </c>
      <c r="H569" s="20">
        <v>46250</v>
      </c>
      <c r="I569">
        <v>1800</v>
      </c>
      <c r="J569">
        <v>60</v>
      </c>
      <c r="K569">
        <v>49</v>
      </c>
      <c r="L569">
        <v>42</v>
      </c>
      <c r="P569" t="s">
        <v>2272</v>
      </c>
      <c r="R569" t="s">
        <v>2273</v>
      </c>
      <c r="S569">
        <v>4</v>
      </c>
      <c r="T569" t="s">
        <v>2274</v>
      </c>
      <c r="U569" t="s">
        <v>2275</v>
      </c>
    </row>
    <row r="570" spans="1:21" x14ac:dyDescent="0.25">
      <c r="A570" t="s">
        <v>2914</v>
      </c>
      <c r="B570" t="s">
        <v>904</v>
      </c>
      <c r="C570" t="s">
        <v>144</v>
      </c>
      <c r="D570" t="s">
        <v>24</v>
      </c>
      <c r="E570" t="s">
        <v>993</v>
      </c>
      <c r="F570" t="s">
        <v>60</v>
      </c>
      <c r="G570" t="s">
        <v>2271</v>
      </c>
      <c r="H570" s="20">
        <v>46250</v>
      </c>
      <c r="I570">
        <v>1800</v>
      </c>
      <c r="J570">
        <v>60</v>
      </c>
      <c r="K570">
        <v>49</v>
      </c>
      <c r="L570">
        <v>42</v>
      </c>
      <c r="P570" t="s">
        <v>2272</v>
      </c>
      <c r="R570" t="s">
        <v>2273</v>
      </c>
      <c r="S570">
        <v>4</v>
      </c>
      <c r="T570" t="s">
        <v>2274</v>
      </c>
      <c r="U570" t="s">
        <v>2275</v>
      </c>
    </row>
    <row r="571" spans="1:21" x14ac:dyDescent="0.25">
      <c r="A571" t="s">
        <v>2915</v>
      </c>
      <c r="B571" t="s">
        <v>904</v>
      </c>
      <c r="C571" t="s">
        <v>150</v>
      </c>
      <c r="D571" t="s">
        <v>24</v>
      </c>
      <c r="E571" t="s">
        <v>996</v>
      </c>
      <c r="F571" t="s">
        <v>86</v>
      </c>
      <c r="G571" t="s">
        <v>2271</v>
      </c>
      <c r="H571" s="20">
        <v>46250</v>
      </c>
      <c r="I571">
        <v>1800</v>
      </c>
      <c r="J571">
        <v>45</v>
      </c>
      <c r="K571">
        <v>36</v>
      </c>
      <c r="L571">
        <v>25</v>
      </c>
      <c r="M571">
        <v>13</v>
      </c>
      <c r="P571" t="s">
        <v>2272</v>
      </c>
      <c r="R571" t="s">
        <v>2273</v>
      </c>
      <c r="S571">
        <v>4</v>
      </c>
      <c r="T571" t="s">
        <v>2274</v>
      </c>
      <c r="U571" t="s">
        <v>2275</v>
      </c>
    </row>
    <row r="572" spans="1:21" x14ac:dyDescent="0.25">
      <c r="A572" t="s">
        <v>2916</v>
      </c>
      <c r="B572" t="s">
        <v>904</v>
      </c>
      <c r="C572" t="s">
        <v>150</v>
      </c>
      <c r="D572" t="s">
        <v>24</v>
      </c>
      <c r="E572" t="s">
        <v>997</v>
      </c>
      <c r="F572" t="s">
        <v>330</v>
      </c>
      <c r="G572" t="s">
        <v>2271</v>
      </c>
      <c r="H572" s="20">
        <v>46250</v>
      </c>
      <c r="I572">
        <v>1800</v>
      </c>
      <c r="J572">
        <v>45</v>
      </c>
      <c r="K572">
        <v>36</v>
      </c>
      <c r="L572">
        <v>25</v>
      </c>
      <c r="M572">
        <v>13</v>
      </c>
      <c r="P572" t="s">
        <v>2272</v>
      </c>
      <c r="R572" t="s">
        <v>2273</v>
      </c>
      <c r="S572">
        <v>4</v>
      </c>
      <c r="T572" t="s">
        <v>2274</v>
      </c>
      <c r="U572" t="s">
        <v>2275</v>
      </c>
    </row>
    <row r="573" spans="1:21" x14ac:dyDescent="0.25">
      <c r="A573" t="s">
        <v>2917</v>
      </c>
      <c r="B573" t="s">
        <v>904</v>
      </c>
      <c r="C573" t="s">
        <v>150</v>
      </c>
      <c r="D573" t="s">
        <v>24</v>
      </c>
      <c r="E573" t="s">
        <v>998</v>
      </c>
      <c r="F573" t="s">
        <v>999</v>
      </c>
      <c r="G573" t="s">
        <v>2271</v>
      </c>
      <c r="H573" s="20">
        <v>46250</v>
      </c>
      <c r="I573">
        <v>1800</v>
      </c>
      <c r="J573">
        <v>45</v>
      </c>
      <c r="K573">
        <v>36</v>
      </c>
      <c r="L573">
        <v>25</v>
      </c>
      <c r="M573">
        <v>13</v>
      </c>
      <c r="P573" t="s">
        <v>2272</v>
      </c>
      <c r="R573" t="s">
        <v>2273</v>
      </c>
      <c r="S573">
        <v>4</v>
      </c>
      <c r="T573" t="s">
        <v>2274</v>
      </c>
      <c r="U573" t="s">
        <v>2275</v>
      </c>
    </row>
    <row r="574" spans="1:21" x14ac:dyDescent="0.25">
      <c r="A574" t="s">
        <v>2918</v>
      </c>
      <c r="B574" t="s">
        <v>904</v>
      </c>
      <c r="C574" t="s">
        <v>150</v>
      </c>
      <c r="D574" t="s">
        <v>24</v>
      </c>
      <c r="E574" t="s">
        <v>1000</v>
      </c>
      <c r="F574" t="s">
        <v>342</v>
      </c>
      <c r="G574" t="s">
        <v>2271</v>
      </c>
      <c r="H574" s="20">
        <v>46250</v>
      </c>
      <c r="I574">
        <v>1800</v>
      </c>
      <c r="J574">
        <v>45</v>
      </c>
      <c r="K574">
        <v>36</v>
      </c>
      <c r="L574">
        <v>25</v>
      </c>
      <c r="M574">
        <v>13</v>
      </c>
      <c r="P574" t="s">
        <v>2272</v>
      </c>
      <c r="R574" t="s">
        <v>2273</v>
      </c>
      <c r="S574">
        <v>4</v>
      </c>
      <c r="T574" t="s">
        <v>2274</v>
      </c>
      <c r="U574" t="s">
        <v>2275</v>
      </c>
    </row>
    <row r="575" spans="1:21" x14ac:dyDescent="0.25">
      <c r="A575" t="s">
        <v>2919</v>
      </c>
      <c r="B575" t="s">
        <v>904</v>
      </c>
      <c r="C575" t="s">
        <v>150</v>
      </c>
      <c r="D575" t="s">
        <v>21</v>
      </c>
      <c r="E575" t="s">
        <v>1001</v>
      </c>
      <c r="F575" t="s">
        <v>244</v>
      </c>
      <c r="G575" t="s">
        <v>2271</v>
      </c>
      <c r="H575" s="20">
        <v>46254</v>
      </c>
      <c r="I575">
        <v>1500</v>
      </c>
      <c r="J575">
        <v>52</v>
      </c>
      <c r="K575">
        <v>37</v>
      </c>
      <c r="L575">
        <v>10</v>
      </c>
      <c r="P575" t="s">
        <v>2272</v>
      </c>
      <c r="R575" t="s">
        <v>2273</v>
      </c>
      <c r="S575">
        <v>5</v>
      </c>
      <c r="T575" t="s">
        <v>2319</v>
      </c>
      <c r="U575" t="s">
        <v>2320</v>
      </c>
    </row>
    <row r="576" spans="1:21" x14ac:dyDescent="0.25">
      <c r="A576" t="s">
        <v>2920</v>
      </c>
      <c r="B576" t="s">
        <v>904</v>
      </c>
      <c r="C576" t="s">
        <v>152</v>
      </c>
      <c r="D576" t="s">
        <v>24</v>
      </c>
      <c r="E576" t="s">
        <v>1003</v>
      </c>
      <c r="F576" t="s">
        <v>390</v>
      </c>
      <c r="G576" t="s">
        <v>2271</v>
      </c>
      <c r="H576" s="20">
        <v>46250</v>
      </c>
      <c r="I576">
        <v>1800</v>
      </c>
      <c r="J576">
        <v>45</v>
      </c>
      <c r="K576">
        <v>36</v>
      </c>
      <c r="L576">
        <v>25</v>
      </c>
      <c r="M576">
        <v>13</v>
      </c>
      <c r="P576" t="s">
        <v>2272</v>
      </c>
      <c r="R576" t="s">
        <v>2273</v>
      </c>
      <c r="S576">
        <v>4</v>
      </c>
      <c r="T576" t="s">
        <v>2274</v>
      </c>
      <c r="U576" t="s">
        <v>2275</v>
      </c>
    </row>
    <row r="577" spans="1:21" x14ac:dyDescent="0.25">
      <c r="A577" t="s">
        <v>2921</v>
      </c>
      <c r="B577" t="s">
        <v>1004</v>
      </c>
      <c r="C577" t="s">
        <v>46</v>
      </c>
      <c r="D577" t="s">
        <v>24</v>
      </c>
      <c r="E577" t="s">
        <v>1006</v>
      </c>
      <c r="F577" t="s">
        <v>242</v>
      </c>
      <c r="G577" t="s">
        <v>2271</v>
      </c>
      <c r="H577" s="20">
        <v>46250</v>
      </c>
      <c r="I577">
        <v>1800</v>
      </c>
      <c r="J577">
        <v>73</v>
      </c>
      <c r="K577">
        <v>64</v>
      </c>
      <c r="L577">
        <v>40</v>
      </c>
      <c r="P577" t="s">
        <v>2272</v>
      </c>
      <c r="R577" t="s">
        <v>2273</v>
      </c>
      <c r="S577">
        <v>4</v>
      </c>
      <c r="T577" t="s">
        <v>2274</v>
      </c>
      <c r="U577" t="s">
        <v>2275</v>
      </c>
    </row>
    <row r="578" spans="1:21" x14ac:dyDescent="0.25">
      <c r="A578" t="s">
        <v>2922</v>
      </c>
      <c r="B578" t="s">
        <v>1004</v>
      </c>
      <c r="C578" t="s">
        <v>46</v>
      </c>
      <c r="D578" t="s">
        <v>24</v>
      </c>
      <c r="E578" t="s">
        <v>1007</v>
      </c>
      <c r="F578" t="s">
        <v>66</v>
      </c>
      <c r="G578" t="s">
        <v>2271</v>
      </c>
      <c r="H578" s="20">
        <v>46250</v>
      </c>
      <c r="I578">
        <v>1800</v>
      </c>
      <c r="J578">
        <v>73</v>
      </c>
      <c r="K578">
        <v>64</v>
      </c>
      <c r="L578">
        <v>40</v>
      </c>
      <c r="P578" t="s">
        <v>2272</v>
      </c>
      <c r="R578" t="s">
        <v>2273</v>
      </c>
      <c r="S578">
        <v>4</v>
      </c>
      <c r="T578" t="s">
        <v>2274</v>
      </c>
      <c r="U578" t="s">
        <v>2275</v>
      </c>
    </row>
    <row r="579" spans="1:21" x14ac:dyDescent="0.25">
      <c r="A579" t="s">
        <v>2923</v>
      </c>
      <c r="B579" t="s">
        <v>1004</v>
      </c>
      <c r="C579" t="s">
        <v>50</v>
      </c>
      <c r="D579" t="s">
        <v>24</v>
      </c>
      <c r="E579" t="s">
        <v>1009</v>
      </c>
      <c r="F579" t="s">
        <v>382</v>
      </c>
      <c r="G579" t="s">
        <v>2271</v>
      </c>
      <c r="H579" s="20">
        <v>46250</v>
      </c>
      <c r="I579">
        <v>1800</v>
      </c>
      <c r="J579">
        <v>45</v>
      </c>
      <c r="K579">
        <v>36</v>
      </c>
      <c r="L579">
        <v>25</v>
      </c>
      <c r="M579">
        <v>13</v>
      </c>
      <c r="P579" t="s">
        <v>2272</v>
      </c>
      <c r="R579" t="s">
        <v>2273</v>
      </c>
      <c r="S579">
        <v>4</v>
      </c>
      <c r="T579" t="s">
        <v>2274</v>
      </c>
      <c r="U579" t="s">
        <v>2275</v>
      </c>
    </row>
    <row r="580" spans="1:21" x14ac:dyDescent="0.25">
      <c r="A580" t="s">
        <v>2924</v>
      </c>
      <c r="B580" t="s">
        <v>1004</v>
      </c>
      <c r="C580" t="s">
        <v>50</v>
      </c>
      <c r="D580" t="s">
        <v>24</v>
      </c>
      <c r="E580" t="s">
        <v>1010</v>
      </c>
      <c r="F580" t="s">
        <v>411</v>
      </c>
      <c r="G580" t="s">
        <v>2271</v>
      </c>
      <c r="H580" s="20">
        <v>46250</v>
      </c>
      <c r="I580">
        <v>1800</v>
      </c>
      <c r="J580">
        <v>45</v>
      </c>
      <c r="K580">
        <v>36</v>
      </c>
      <c r="L580">
        <v>25</v>
      </c>
      <c r="M580">
        <v>13</v>
      </c>
      <c r="P580" t="s">
        <v>2272</v>
      </c>
      <c r="R580" t="s">
        <v>2273</v>
      </c>
      <c r="S580">
        <v>4</v>
      </c>
      <c r="T580" t="s">
        <v>2274</v>
      </c>
      <c r="U580" t="s">
        <v>2275</v>
      </c>
    </row>
    <row r="581" spans="1:21" x14ac:dyDescent="0.25">
      <c r="A581" t="s">
        <v>2925</v>
      </c>
      <c r="B581" t="s">
        <v>1004</v>
      </c>
      <c r="C581" t="s">
        <v>50</v>
      </c>
      <c r="D581" t="s">
        <v>24</v>
      </c>
      <c r="E581" t="s">
        <v>1011</v>
      </c>
      <c r="F581" t="s">
        <v>96</v>
      </c>
      <c r="G581" t="s">
        <v>2271</v>
      </c>
      <c r="H581" s="20">
        <v>46250</v>
      </c>
      <c r="I581">
        <v>1800</v>
      </c>
      <c r="J581">
        <v>45</v>
      </c>
      <c r="K581">
        <v>36</v>
      </c>
      <c r="L581">
        <v>25</v>
      </c>
      <c r="M581">
        <v>13</v>
      </c>
      <c r="P581" t="s">
        <v>2272</v>
      </c>
      <c r="R581" t="s">
        <v>2273</v>
      </c>
      <c r="S581">
        <v>4</v>
      </c>
      <c r="T581" t="s">
        <v>2274</v>
      </c>
      <c r="U581" t="s">
        <v>2275</v>
      </c>
    </row>
    <row r="582" spans="1:21" x14ac:dyDescent="0.25">
      <c r="A582" t="s">
        <v>2926</v>
      </c>
      <c r="B582" t="s">
        <v>1004</v>
      </c>
      <c r="C582" t="s">
        <v>50</v>
      </c>
      <c r="D582" t="s">
        <v>24</v>
      </c>
      <c r="E582" t="s">
        <v>1012</v>
      </c>
      <c r="F582" t="s">
        <v>221</v>
      </c>
      <c r="G582" t="s">
        <v>2271</v>
      </c>
      <c r="H582" s="20">
        <v>46250</v>
      </c>
      <c r="I582">
        <v>1800</v>
      </c>
      <c r="J582">
        <v>45</v>
      </c>
      <c r="K582">
        <v>36</v>
      </c>
      <c r="L582">
        <v>25</v>
      </c>
      <c r="M582">
        <v>13</v>
      </c>
      <c r="P582" t="s">
        <v>2272</v>
      </c>
      <c r="R582" t="s">
        <v>2273</v>
      </c>
      <c r="S582">
        <v>4</v>
      </c>
      <c r="T582" t="s">
        <v>2274</v>
      </c>
      <c r="U582" t="s">
        <v>2275</v>
      </c>
    </row>
    <row r="583" spans="1:21" x14ac:dyDescent="0.25">
      <c r="A583" t="s">
        <v>2927</v>
      </c>
      <c r="B583" t="s">
        <v>1004</v>
      </c>
      <c r="C583" t="s">
        <v>50</v>
      </c>
      <c r="D583" t="s">
        <v>24</v>
      </c>
      <c r="E583" t="s">
        <v>1013</v>
      </c>
      <c r="F583" t="s">
        <v>674</v>
      </c>
      <c r="G583" t="s">
        <v>2271</v>
      </c>
      <c r="H583" s="20">
        <v>46250</v>
      </c>
      <c r="I583">
        <v>1800</v>
      </c>
      <c r="J583">
        <v>45</v>
      </c>
      <c r="K583">
        <v>36</v>
      </c>
      <c r="L583">
        <v>25</v>
      </c>
      <c r="M583">
        <v>13</v>
      </c>
      <c r="P583" t="s">
        <v>2272</v>
      </c>
      <c r="R583" t="s">
        <v>2273</v>
      </c>
      <c r="S583">
        <v>4</v>
      </c>
      <c r="T583" t="s">
        <v>2274</v>
      </c>
      <c r="U583" t="s">
        <v>2275</v>
      </c>
    </row>
    <row r="584" spans="1:21" x14ac:dyDescent="0.25">
      <c r="A584" t="s">
        <v>2928</v>
      </c>
      <c r="B584" t="s">
        <v>1004</v>
      </c>
      <c r="C584" t="s">
        <v>50</v>
      </c>
      <c r="D584" t="s">
        <v>24</v>
      </c>
      <c r="E584" t="s">
        <v>1014</v>
      </c>
      <c r="F584" t="s">
        <v>90</v>
      </c>
      <c r="G584" t="s">
        <v>2271</v>
      </c>
      <c r="H584" s="20">
        <v>46250</v>
      </c>
      <c r="I584">
        <v>1800</v>
      </c>
      <c r="J584">
        <v>45</v>
      </c>
      <c r="K584">
        <v>36</v>
      </c>
      <c r="L584">
        <v>25</v>
      </c>
      <c r="M584">
        <v>13</v>
      </c>
      <c r="P584" t="s">
        <v>2272</v>
      </c>
      <c r="R584" t="s">
        <v>2273</v>
      </c>
      <c r="S584">
        <v>4</v>
      </c>
      <c r="T584" t="s">
        <v>2274</v>
      </c>
      <c r="U584" t="s">
        <v>2275</v>
      </c>
    </row>
    <row r="585" spans="1:21" x14ac:dyDescent="0.25">
      <c r="A585" t="s">
        <v>2929</v>
      </c>
      <c r="B585" t="s">
        <v>1004</v>
      </c>
      <c r="C585" t="s">
        <v>53</v>
      </c>
      <c r="D585" t="s">
        <v>24</v>
      </c>
      <c r="E585" t="s">
        <v>1016</v>
      </c>
      <c r="F585" t="s">
        <v>772</v>
      </c>
      <c r="G585" t="s">
        <v>2271</v>
      </c>
      <c r="H585" s="20">
        <v>46250</v>
      </c>
      <c r="I585">
        <v>1800</v>
      </c>
      <c r="J585">
        <v>50</v>
      </c>
      <c r="K585">
        <v>41</v>
      </c>
      <c r="L585">
        <v>25</v>
      </c>
      <c r="M585">
        <v>13</v>
      </c>
      <c r="P585" t="s">
        <v>2272</v>
      </c>
      <c r="R585" t="s">
        <v>2273</v>
      </c>
      <c r="S585">
        <v>4</v>
      </c>
      <c r="T585" t="s">
        <v>2274</v>
      </c>
      <c r="U585" t="s">
        <v>2275</v>
      </c>
    </row>
    <row r="586" spans="1:21" x14ac:dyDescent="0.25">
      <c r="A586" t="s">
        <v>2930</v>
      </c>
      <c r="B586" t="s">
        <v>1004</v>
      </c>
      <c r="C586" t="s">
        <v>53</v>
      </c>
      <c r="D586" t="s">
        <v>24</v>
      </c>
      <c r="E586" t="s">
        <v>1017</v>
      </c>
      <c r="F586" t="s">
        <v>78</v>
      </c>
      <c r="G586" t="s">
        <v>2271</v>
      </c>
      <c r="H586" s="20">
        <v>46250</v>
      </c>
      <c r="I586">
        <v>1800</v>
      </c>
      <c r="J586">
        <v>50</v>
      </c>
      <c r="K586">
        <v>41</v>
      </c>
      <c r="L586">
        <v>25</v>
      </c>
      <c r="M586">
        <v>13</v>
      </c>
      <c r="P586" t="s">
        <v>2272</v>
      </c>
      <c r="R586" t="s">
        <v>2273</v>
      </c>
      <c r="S586">
        <v>4</v>
      </c>
      <c r="T586" t="s">
        <v>2274</v>
      </c>
      <c r="U586" t="s">
        <v>2275</v>
      </c>
    </row>
    <row r="587" spans="1:21" x14ac:dyDescent="0.25">
      <c r="A587" t="s">
        <v>2931</v>
      </c>
      <c r="B587" t="s">
        <v>1004</v>
      </c>
      <c r="C587" t="s">
        <v>53</v>
      </c>
      <c r="D587" t="s">
        <v>24</v>
      </c>
      <c r="E587" t="s">
        <v>1018</v>
      </c>
      <c r="F587" t="s">
        <v>455</v>
      </c>
      <c r="G587" t="s">
        <v>2271</v>
      </c>
      <c r="H587" s="20">
        <v>46250</v>
      </c>
      <c r="I587">
        <v>1800</v>
      </c>
      <c r="J587">
        <v>50</v>
      </c>
      <c r="K587">
        <v>41</v>
      </c>
      <c r="L587">
        <v>25</v>
      </c>
      <c r="M587">
        <v>13</v>
      </c>
      <c r="P587" t="s">
        <v>2272</v>
      </c>
      <c r="R587" t="s">
        <v>2273</v>
      </c>
      <c r="S587">
        <v>4</v>
      </c>
      <c r="T587" t="s">
        <v>2274</v>
      </c>
      <c r="U587" t="s">
        <v>2275</v>
      </c>
    </row>
    <row r="588" spans="1:21" x14ac:dyDescent="0.25">
      <c r="A588" t="s">
        <v>2932</v>
      </c>
      <c r="B588" t="s">
        <v>1004</v>
      </c>
      <c r="C588" t="s">
        <v>53</v>
      </c>
      <c r="D588" t="s">
        <v>24</v>
      </c>
      <c r="E588" t="s">
        <v>1019</v>
      </c>
      <c r="F588" t="s">
        <v>596</v>
      </c>
      <c r="G588" t="s">
        <v>2271</v>
      </c>
      <c r="H588" s="20">
        <v>46250</v>
      </c>
      <c r="I588">
        <v>1800</v>
      </c>
      <c r="J588">
        <v>50</v>
      </c>
      <c r="K588">
        <v>41</v>
      </c>
      <c r="L588">
        <v>25</v>
      </c>
      <c r="M588">
        <v>13</v>
      </c>
      <c r="P588" t="s">
        <v>2272</v>
      </c>
      <c r="R588" t="s">
        <v>2273</v>
      </c>
      <c r="S588">
        <v>4</v>
      </c>
      <c r="T588" t="s">
        <v>2274</v>
      </c>
      <c r="U588" t="s">
        <v>2275</v>
      </c>
    </row>
    <row r="589" spans="1:21" x14ac:dyDescent="0.25">
      <c r="A589" t="s">
        <v>2933</v>
      </c>
      <c r="B589" t="s">
        <v>1004</v>
      </c>
      <c r="C589" t="s">
        <v>53</v>
      </c>
      <c r="D589" t="s">
        <v>24</v>
      </c>
      <c r="E589" t="s">
        <v>1020</v>
      </c>
      <c r="F589" t="s">
        <v>1021</v>
      </c>
      <c r="G589" t="s">
        <v>2271</v>
      </c>
      <c r="H589" s="20">
        <v>46250</v>
      </c>
      <c r="I589">
        <v>1800</v>
      </c>
      <c r="J589">
        <v>50</v>
      </c>
      <c r="K589">
        <v>41</v>
      </c>
      <c r="L589">
        <v>25</v>
      </c>
      <c r="M589">
        <v>13</v>
      </c>
      <c r="P589" t="s">
        <v>2272</v>
      </c>
      <c r="R589" t="s">
        <v>2273</v>
      </c>
      <c r="S589">
        <v>4</v>
      </c>
      <c r="T589" t="s">
        <v>2274</v>
      </c>
      <c r="U589" t="s">
        <v>2275</v>
      </c>
    </row>
    <row r="590" spans="1:21" x14ac:dyDescent="0.25">
      <c r="A590" t="s">
        <v>2934</v>
      </c>
      <c r="B590" t="s">
        <v>1004</v>
      </c>
      <c r="C590" t="s">
        <v>57</v>
      </c>
      <c r="D590" t="s">
        <v>24</v>
      </c>
      <c r="E590" t="s">
        <v>1023</v>
      </c>
      <c r="F590" t="s">
        <v>182</v>
      </c>
      <c r="G590" t="s">
        <v>2271</v>
      </c>
      <c r="H590" s="20">
        <v>46250</v>
      </c>
      <c r="I590">
        <v>1800</v>
      </c>
      <c r="J590">
        <v>57</v>
      </c>
      <c r="K590">
        <v>47</v>
      </c>
      <c r="L590">
        <v>42</v>
      </c>
      <c r="P590" t="s">
        <v>2272</v>
      </c>
      <c r="R590" t="s">
        <v>2273</v>
      </c>
      <c r="S590">
        <v>4</v>
      </c>
      <c r="T590" t="s">
        <v>2274</v>
      </c>
      <c r="U590" t="s">
        <v>2275</v>
      </c>
    </row>
    <row r="591" spans="1:21" x14ac:dyDescent="0.25">
      <c r="A591" t="s">
        <v>2935</v>
      </c>
      <c r="B591" t="s">
        <v>1004</v>
      </c>
      <c r="C591" t="s">
        <v>63</v>
      </c>
      <c r="D591" t="s">
        <v>24</v>
      </c>
      <c r="E591" t="s">
        <v>1025</v>
      </c>
      <c r="F591" t="s">
        <v>689</v>
      </c>
      <c r="G591" t="s">
        <v>2271</v>
      </c>
      <c r="H591" s="20">
        <v>46250</v>
      </c>
      <c r="I591">
        <v>1800</v>
      </c>
      <c r="J591">
        <v>85</v>
      </c>
      <c r="K591">
        <v>75</v>
      </c>
      <c r="L591">
        <v>66</v>
      </c>
      <c r="P591" t="s">
        <v>2272</v>
      </c>
      <c r="R591" t="s">
        <v>2273</v>
      </c>
      <c r="S591">
        <v>4</v>
      </c>
      <c r="T591" t="s">
        <v>2274</v>
      </c>
      <c r="U591" t="s">
        <v>2275</v>
      </c>
    </row>
    <row r="592" spans="1:21" x14ac:dyDescent="0.25">
      <c r="A592" t="s">
        <v>2936</v>
      </c>
      <c r="B592" t="s">
        <v>1004</v>
      </c>
      <c r="C592" t="s">
        <v>63</v>
      </c>
      <c r="D592" t="s">
        <v>24</v>
      </c>
      <c r="E592" t="s">
        <v>1026</v>
      </c>
      <c r="F592" t="s">
        <v>291</v>
      </c>
      <c r="G592" t="s">
        <v>2271</v>
      </c>
      <c r="H592" s="20">
        <v>46250</v>
      </c>
      <c r="I592">
        <v>1800</v>
      </c>
      <c r="J592">
        <v>85</v>
      </c>
      <c r="K592">
        <v>75</v>
      </c>
      <c r="L592">
        <v>66</v>
      </c>
      <c r="P592" t="s">
        <v>2272</v>
      </c>
      <c r="R592" t="s">
        <v>2273</v>
      </c>
      <c r="S592">
        <v>4</v>
      </c>
      <c r="T592" t="s">
        <v>2274</v>
      </c>
      <c r="U592" t="s">
        <v>2275</v>
      </c>
    </row>
    <row r="593" spans="1:21" x14ac:dyDescent="0.25">
      <c r="A593" t="s">
        <v>2937</v>
      </c>
      <c r="B593" t="s">
        <v>1004</v>
      </c>
      <c r="C593" t="s">
        <v>63</v>
      </c>
      <c r="D593" t="s">
        <v>21</v>
      </c>
      <c r="E593" t="s">
        <v>1027</v>
      </c>
      <c r="F593" t="s">
        <v>172</v>
      </c>
      <c r="G593" t="s">
        <v>2271</v>
      </c>
      <c r="H593" s="20">
        <v>46254</v>
      </c>
      <c r="I593">
        <v>1500</v>
      </c>
      <c r="J593">
        <v>92</v>
      </c>
      <c r="K593">
        <v>77</v>
      </c>
      <c r="L593">
        <v>50</v>
      </c>
      <c r="P593" t="s">
        <v>2272</v>
      </c>
      <c r="R593" t="s">
        <v>2273</v>
      </c>
      <c r="S593">
        <v>5</v>
      </c>
      <c r="T593" t="s">
        <v>2319</v>
      </c>
      <c r="U593" t="s">
        <v>2320</v>
      </c>
    </row>
    <row r="594" spans="1:21" x14ac:dyDescent="0.25">
      <c r="A594" t="s">
        <v>2938</v>
      </c>
      <c r="B594" t="s">
        <v>1004</v>
      </c>
      <c r="C594" t="s">
        <v>67</v>
      </c>
      <c r="D594" t="s">
        <v>24</v>
      </c>
      <c r="E594" t="s">
        <v>1029</v>
      </c>
      <c r="F594" t="s">
        <v>1030</v>
      </c>
      <c r="G594" t="s">
        <v>2271</v>
      </c>
      <c r="H594" s="20">
        <v>46250</v>
      </c>
      <c r="I594">
        <v>1800</v>
      </c>
      <c r="J594">
        <v>66</v>
      </c>
      <c r="K594">
        <v>56</v>
      </c>
      <c r="L594">
        <v>46</v>
      </c>
      <c r="P594" t="s">
        <v>2272</v>
      </c>
      <c r="R594" t="s">
        <v>2273</v>
      </c>
      <c r="S594">
        <v>4</v>
      </c>
      <c r="T594" t="s">
        <v>2274</v>
      </c>
      <c r="U594" t="s">
        <v>2275</v>
      </c>
    </row>
    <row r="595" spans="1:21" x14ac:dyDescent="0.25">
      <c r="A595" t="s">
        <v>2939</v>
      </c>
      <c r="B595" t="s">
        <v>1004</v>
      </c>
      <c r="C595" t="s">
        <v>67</v>
      </c>
      <c r="D595" t="s">
        <v>24</v>
      </c>
      <c r="E595" t="s">
        <v>1031</v>
      </c>
      <c r="F595" t="s">
        <v>435</v>
      </c>
      <c r="G595" t="s">
        <v>2271</v>
      </c>
      <c r="H595" s="20">
        <v>46250</v>
      </c>
      <c r="I595">
        <v>1800</v>
      </c>
      <c r="J595">
        <v>66</v>
      </c>
      <c r="K595">
        <v>56</v>
      </c>
      <c r="L595">
        <v>46</v>
      </c>
      <c r="P595" t="s">
        <v>2272</v>
      </c>
      <c r="R595" t="s">
        <v>2273</v>
      </c>
      <c r="S595">
        <v>4</v>
      </c>
      <c r="T595" t="s">
        <v>2274</v>
      </c>
      <c r="U595" t="s">
        <v>2275</v>
      </c>
    </row>
    <row r="596" spans="1:21" x14ac:dyDescent="0.25">
      <c r="A596" t="s">
        <v>2940</v>
      </c>
      <c r="B596" t="s">
        <v>1004</v>
      </c>
      <c r="C596" t="s">
        <v>73</v>
      </c>
      <c r="D596" t="s">
        <v>24</v>
      </c>
      <c r="E596" t="s">
        <v>1033</v>
      </c>
      <c r="F596" t="s">
        <v>633</v>
      </c>
      <c r="G596" t="s">
        <v>2271</v>
      </c>
      <c r="H596" s="20">
        <v>46250</v>
      </c>
      <c r="I596">
        <v>1800</v>
      </c>
      <c r="J596">
        <v>61</v>
      </c>
      <c r="K596">
        <v>51</v>
      </c>
      <c r="L596">
        <v>46</v>
      </c>
      <c r="P596" t="s">
        <v>2272</v>
      </c>
      <c r="R596" t="s">
        <v>2273</v>
      </c>
      <c r="S596">
        <v>4</v>
      </c>
      <c r="T596" t="s">
        <v>2274</v>
      </c>
      <c r="U596" t="s">
        <v>2275</v>
      </c>
    </row>
    <row r="597" spans="1:21" x14ac:dyDescent="0.25">
      <c r="A597" t="s">
        <v>2941</v>
      </c>
      <c r="B597" t="s">
        <v>1004</v>
      </c>
      <c r="C597" t="s">
        <v>79</v>
      </c>
      <c r="D597" t="s">
        <v>24</v>
      </c>
      <c r="E597" t="s">
        <v>1035</v>
      </c>
      <c r="F597" t="s">
        <v>339</v>
      </c>
      <c r="G597" t="s">
        <v>2271</v>
      </c>
      <c r="H597" s="20">
        <v>46250</v>
      </c>
      <c r="I597">
        <v>1800</v>
      </c>
      <c r="J597">
        <v>45</v>
      </c>
      <c r="K597">
        <v>36</v>
      </c>
      <c r="L597">
        <v>25</v>
      </c>
      <c r="M597">
        <v>13</v>
      </c>
      <c r="P597" t="s">
        <v>2272</v>
      </c>
      <c r="R597" t="s">
        <v>2273</v>
      </c>
      <c r="S597">
        <v>4</v>
      </c>
      <c r="T597" t="s">
        <v>2274</v>
      </c>
      <c r="U597" t="s">
        <v>2275</v>
      </c>
    </row>
    <row r="598" spans="1:21" x14ac:dyDescent="0.25">
      <c r="A598" t="s">
        <v>2942</v>
      </c>
      <c r="B598" t="s">
        <v>1004</v>
      </c>
      <c r="C598" t="s">
        <v>79</v>
      </c>
      <c r="D598" t="s">
        <v>24</v>
      </c>
      <c r="E598" t="s">
        <v>1036</v>
      </c>
      <c r="F598" t="s">
        <v>195</v>
      </c>
      <c r="G598" t="s">
        <v>2271</v>
      </c>
      <c r="H598" s="20">
        <v>46250</v>
      </c>
      <c r="I598">
        <v>1800</v>
      </c>
      <c r="J598">
        <v>45</v>
      </c>
      <c r="K598">
        <v>36</v>
      </c>
      <c r="L598">
        <v>25</v>
      </c>
      <c r="M598">
        <v>13</v>
      </c>
      <c r="P598" t="s">
        <v>2272</v>
      </c>
      <c r="R598" t="s">
        <v>2273</v>
      </c>
      <c r="S598">
        <v>4</v>
      </c>
      <c r="T598" t="s">
        <v>2274</v>
      </c>
      <c r="U598" t="s">
        <v>2275</v>
      </c>
    </row>
    <row r="599" spans="1:21" x14ac:dyDescent="0.25">
      <c r="A599" t="s">
        <v>2943</v>
      </c>
      <c r="B599" t="s">
        <v>1004</v>
      </c>
      <c r="C599" t="s">
        <v>79</v>
      </c>
      <c r="D599" t="s">
        <v>24</v>
      </c>
      <c r="E599" t="s">
        <v>1037</v>
      </c>
      <c r="F599" t="s">
        <v>458</v>
      </c>
      <c r="G599" t="s">
        <v>2271</v>
      </c>
      <c r="H599" s="20">
        <v>46250</v>
      </c>
      <c r="I599">
        <v>1800</v>
      </c>
      <c r="J599">
        <v>45</v>
      </c>
      <c r="K599">
        <v>36</v>
      </c>
      <c r="L599">
        <v>25</v>
      </c>
      <c r="M599">
        <v>13</v>
      </c>
      <c r="P599" t="s">
        <v>2272</v>
      </c>
      <c r="R599" t="s">
        <v>2273</v>
      </c>
      <c r="S599">
        <v>4</v>
      </c>
      <c r="T599" t="s">
        <v>2274</v>
      </c>
      <c r="U599" t="s">
        <v>2275</v>
      </c>
    </row>
    <row r="600" spans="1:21" x14ac:dyDescent="0.25">
      <c r="A600" t="s">
        <v>2944</v>
      </c>
      <c r="B600" t="s">
        <v>1004</v>
      </c>
      <c r="C600" t="s">
        <v>79</v>
      </c>
      <c r="D600" t="s">
        <v>21</v>
      </c>
      <c r="E600" t="s">
        <v>1038</v>
      </c>
      <c r="F600" t="s">
        <v>237</v>
      </c>
      <c r="G600" t="s">
        <v>2271</v>
      </c>
      <c r="H600" s="20">
        <v>46254</v>
      </c>
      <c r="I600">
        <v>1500</v>
      </c>
      <c r="J600">
        <v>44</v>
      </c>
      <c r="K600">
        <v>22</v>
      </c>
      <c r="L600">
        <v>17</v>
      </c>
      <c r="P600" t="s">
        <v>2272</v>
      </c>
      <c r="R600" t="s">
        <v>2273</v>
      </c>
      <c r="S600">
        <v>5</v>
      </c>
      <c r="T600" t="s">
        <v>2319</v>
      </c>
      <c r="U600" t="s">
        <v>2320</v>
      </c>
    </row>
    <row r="601" spans="1:21" x14ac:dyDescent="0.25">
      <c r="A601" t="s">
        <v>2945</v>
      </c>
      <c r="B601" t="s">
        <v>1004</v>
      </c>
      <c r="C601" t="s">
        <v>81</v>
      </c>
      <c r="D601" t="s">
        <v>24</v>
      </c>
      <c r="E601" t="s">
        <v>1040</v>
      </c>
      <c r="F601" t="s">
        <v>484</v>
      </c>
      <c r="G601" t="s">
        <v>2271</v>
      </c>
      <c r="H601" s="20">
        <v>46250</v>
      </c>
      <c r="I601">
        <v>1800</v>
      </c>
      <c r="J601">
        <v>110</v>
      </c>
      <c r="K601">
        <v>100</v>
      </c>
      <c r="L601">
        <v>90</v>
      </c>
      <c r="P601" t="s">
        <v>2272</v>
      </c>
      <c r="R601" t="s">
        <v>2273</v>
      </c>
      <c r="S601">
        <v>4</v>
      </c>
      <c r="T601" t="s">
        <v>2274</v>
      </c>
      <c r="U601" t="s">
        <v>2275</v>
      </c>
    </row>
    <row r="602" spans="1:21" x14ac:dyDescent="0.25">
      <c r="A602" t="s">
        <v>2946</v>
      </c>
      <c r="B602" t="s">
        <v>1004</v>
      </c>
      <c r="C602" t="s">
        <v>81</v>
      </c>
      <c r="D602" t="s">
        <v>26</v>
      </c>
      <c r="E602" t="s">
        <v>1041</v>
      </c>
      <c r="F602" t="s">
        <v>119</v>
      </c>
      <c r="H602" s="20"/>
      <c r="P602" t="s">
        <v>2291</v>
      </c>
      <c r="R602" t="s">
        <v>2292</v>
      </c>
    </row>
    <row r="603" spans="1:21" x14ac:dyDescent="0.25">
      <c r="A603" t="s">
        <v>2947</v>
      </c>
      <c r="B603" t="s">
        <v>1004</v>
      </c>
      <c r="C603" t="s">
        <v>83</v>
      </c>
      <c r="D603" t="s">
        <v>24</v>
      </c>
      <c r="E603" t="s">
        <v>1043</v>
      </c>
      <c r="F603" t="s">
        <v>317</v>
      </c>
      <c r="G603" t="s">
        <v>2271</v>
      </c>
      <c r="H603" s="20">
        <v>46250</v>
      </c>
      <c r="I603">
        <v>1800</v>
      </c>
      <c r="J603">
        <v>63</v>
      </c>
      <c r="K603">
        <v>60</v>
      </c>
      <c r="L603">
        <v>38</v>
      </c>
      <c r="P603" t="s">
        <v>2272</v>
      </c>
      <c r="R603" t="s">
        <v>2273</v>
      </c>
      <c r="S603">
        <v>4</v>
      </c>
      <c r="T603" t="s">
        <v>2274</v>
      </c>
      <c r="U603" t="s">
        <v>2275</v>
      </c>
    </row>
    <row r="604" spans="1:21" x14ac:dyDescent="0.25">
      <c r="A604" t="s">
        <v>2948</v>
      </c>
      <c r="B604" t="s">
        <v>1004</v>
      </c>
      <c r="C604" t="s">
        <v>91</v>
      </c>
      <c r="D604" t="s">
        <v>24</v>
      </c>
      <c r="E604" t="s">
        <v>1045</v>
      </c>
      <c r="F604" t="s">
        <v>376</v>
      </c>
      <c r="G604" t="s">
        <v>2271</v>
      </c>
      <c r="H604" s="20">
        <v>46250</v>
      </c>
      <c r="I604">
        <v>1800</v>
      </c>
      <c r="J604">
        <v>71</v>
      </c>
      <c r="K604">
        <v>63</v>
      </c>
      <c r="L604">
        <v>44</v>
      </c>
      <c r="P604" t="s">
        <v>2272</v>
      </c>
      <c r="R604" t="s">
        <v>2273</v>
      </c>
      <c r="S604">
        <v>4</v>
      </c>
      <c r="T604" t="s">
        <v>2274</v>
      </c>
      <c r="U604" t="s">
        <v>2275</v>
      </c>
    </row>
    <row r="605" spans="1:21" x14ac:dyDescent="0.25">
      <c r="A605" t="s">
        <v>2949</v>
      </c>
      <c r="B605" t="s">
        <v>1004</v>
      </c>
      <c r="C605" t="s">
        <v>103</v>
      </c>
      <c r="D605" t="s">
        <v>24</v>
      </c>
      <c r="E605" t="s">
        <v>1048</v>
      </c>
      <c r="F605" t="s">
        <v>432</v>
      </c>
      <c r="G605" t="s">
        <v>2271</v>
      </c>
      <c r="H605" s="20">
        <v>46250</v>
      </c>
      <c r="I605">
        <v>1800</v>
      </c>
      <c r="J605">
        <v>71</v>
      </c>
      <c r="K605">
        <v>61</v>
      </c>
      <c r="L605">
        <v>51</v>
      </c>
      <c r="P605" t="s">
        <v>2272</v>
      </c>
      <c r="R605" t="s">
        <v>2273</v>
      </c>
      <c r="S605">
        <v>4</v>
      </c>
      <c r="T605" t="s">
        <v>2274</v>
      </c>
      <c r="U605" t="s">
        <v>2275</v>
      </c>
    </row>
    <row r="606" spans="1:21" x14ac:dyDescent="0.25">
      <c r="A606" t="s">
        <v>2950</v>
      </c>
      <c r="B606" t="s">
        <v>1004</v>
      </c>
      <c r="C606" t="s">
        <v>109</v>
      </c>
      <c r="D606" t="s">
        <v>24</v>
      </c>
      <c r="E606" t="s">
        <v>1050</v>
      </c>
      <c r="F606" t="s">
        <v>530</v>
      </c>
      <c r="G606" t="s">
        <v>2271</v>
      </c>
      <c r="H606" s="20">
        <v>46250</v>
      </c>
      <c r="I606">
        <v>1800</v>
      </c>
      <c r="J606">
        <v>71</v>
      </c>
      <c r="K606">
        <v>61</v>
      </c>
      <c r="L606">
        <v>44</v>
      </c>
      <c r="P606" t="s">
        <v>2272</v>
      </c>
      <c r="R606" t="s">
        <v>2273</v>
      </c>
      <c r="S606">
        <v>4</v>
      </c>
      <c r="T606" t="s">
        <v>2274</v>
      </c>
      <c r="U606" t="s">
        <v>2275</v>
      </c>
    </row>
    <row r="607" spans="1:21" x14ac:dyDescent="0.25">
      <c r="A607" t="s">
        <v>2951</v>
      </c>
      <c r="B607" t="s">
        <v>1004</v>
      </c>
      <c r="C607" t="s">
        <v>113</v>
      </c>
      <c r="D607" t="s">
        <v>24</v>
      </c>
      <c r="E607" t="s">
        <v>1052</v>
      </c>
      <c r="F607" t="s">
        <v>170</v>
      </c>
      <c r="G607" t="s">
        <v>2271</v>
      </c>
      <c r="H607" s="20">
        <v>46250</v>
      </c>
      <c r="I607">
        <v>1800</v>
      </c>
      <c r="J607">
        <v>66</v>
      </c>
      <c r="K607">
        <v>56</v>
      </c>
      <c r="L607">
        <v>46</v>
      </c>
      <c r="P607" t="s">
        <v>2272</v>
      </c>
      <c r="R607" t="s">
        <v>2273</v>
      </c>
      <c r="S607">
        <v>4</v>
      </c>
      <c r="T607" t="s">
        <v>2274</v>
      </c>
      <c r="U607" t="s">
        <v>2275</v>
      </c>
    </row>
    <row r="608" spans="1:21" x14ac:dyDescent="0.25">
      <c r="A608" t="s">
        <v>2952</v>
      </c>
      <c r="B608" t="s">
        <v>1004</v>
      </c>
      <c r="C608" t="s">
        <v>116</v>
      </c>
      <c r="D608" t="s">
        <v>24</v>
      </c>
      <c r="E608" t="s">
        <v>1054</v>
      </c>
      <c r="F608" t="s">
        <v>364</v>
      </c>
      <c r="G608" t="s">
        <v>2271</v>
      </c>
      <c r="H608" s="20">
        <v>46250</v>
      </c>
      <c r="I608">
        <v>1800</v>
      </c>
      <c r="J608">
        <v>66</v>
      </c>
      <c r="K608">
        <v>56</v>
      </c>
      <c r="L608">
        <v>38</v>
      </c>
      <c r="P608" t="s">
        <v>2272</v>
      </c>
      <c r="R608" t="s">
        <v>2273</v>
      </c>
      <c r="S608">
        <v>4</v>
      </c>
      <c r="T608" t="s">
        <v>2274</v>
      </c>
      <c r="U608" t="s">
        <v>2275</v>
      </c>
    </row>
    <row r="609" spans="1:21" x14ac:dyDescent="0.25">
      <c r="A609" t="s">
        <v>2953</v>
      </c>
      <c r="B609" t="s">
        <v>1004</v>
      </c>
      <c r="C609" t="s">
        <v>132</v>
      </c>
      <c r="D609" t="s">
        <v>24</v>
      </c>
      <c r="E609" t="s">
        <v>1059</v>
      </c>
      <c r="F609" t="s">
        <v>488</v>
      </c>
      <c r="G609" t="s">
        <v>2271</v>
      </c>
      <c r="H609" s="20">
        <v>46250</v>
      </c>
      <c r="I609">
        <v>1800</v>
      </c>
      <c r="J609">
        <v>45</v>
      </c>
      <c r="K609">
        <v>36</v>
      </c>
      <c r="L609">
        <v>25</v>
      </c>
      <c r="M609">
        <v>13</v>
      </c>
      <c r="P609" t="s">
        <v>2272</v>
      </c>
      <c r="R609" t="s">
        <v>2273</v>
      </c>
      <c r="S609">
        <v>4</v>
      </c>
      <c r="T609" t="s">
        <v>2274</v>
      </c>
      <c r="U609" t="s">
        <v>2275</v>
      </c>
    </row>
    <row r="610" spans="1:21" x14ac:dyDescent="0.25">
      <c r="A610" t="s">
        <v>2954</v>
      </c>
      <c r="B610" t="s">
        <v>1004</v>
      </c>
      <c r="C610" t="s">
        <v>132</v>
      </c>
      <c r="D610" t="s">
        <v>24</v>
      </c>
      <c r="E610" t="s">
        <v>1018</v>
      </c>
      <c r="F610" t="s">
        <v>455</v>
      </c>
      <c r="G610" t="s">
        <v>2271</v>
      </c>
      <c r="H610" s="20">
        <v>46250</v>
      </c>
      <c r="I610">
        <v>1800</v>
      </c>
      <c r="J610">
        <v>45</v>
      </c>
      <c r="K610">
        <v>36</v>
      </c>
      <c r="L610">
        <v>25</v>
      </c>
      <c r="M610">
        <v>13</v>
      </c>
      <c r="P610" t="s">
        <v>2272</v>
      </c>
      <c r="R610" t="s">
        <v>2273</v>
      </c>
      <c r="S610">
        <v>4</v>
      </c>
      <c r="T610" t="s">
        <v>2274</v>
      </c>
      <c r="U610" t="s">
        <v>2275</v>
      </c>
    </row>
    <row r="611" spans="1:21" x14ac:dyDescent="0.25">
      <c r="A611" t="s">
        <v>2955</v>
      </c>
      <c r="B611" t="s">
        <v>1004</v>
      </c>
      <c r="C611" t="s">
        <v>132</v>
      </c>
      <c r="D611" t="s">
        <v>24</v>
      </c>
      <c r="E611" t="s">
        <v>1060</v>
      </c>
      <c r="F611" t="s">
        <v>232</v>
      </c>
      <c r="G611" t="s">
        <v>2271</v>
      </c>
      <c r="H611" s="20">
        <v>46250</v>
      </c>
      <c r="I611">
        <v>1800</v>
      </c>
      <c r="J611">
        <v>45</v>
      </c>
      <c r="K611">
        <v>36</v>
      </c>
      <c r="L611">
        <v>25</v>
      </c>
      <c r="M611">
        <v>13</v>
      </c>
      <c r="P611" t="s">
        <v>2272</v>
      </c>
      <c r="R611" t="s">
        <v>2273</v>
      </c>
      <c r="S611">
        <v>4</v>
      </c>
      <c r="T611" t="s">
        <v>2274</v>
      </c>
      <c r="U611" t="s">
        <v>2275</v>
      </c>
    </row>
    <row r="612" spans="1:21" x14ac:dyDescent="0.25">
      <c r="A612" t="s">
        <v>2956</v>
      </c>
      <c r="B612" t="s">
        <v>1004</v>
      </c>
      <c r="C612" t="s">
        <v>134</v>
      </c>
      <c r="D612" t="s">
        <v>24</v>
      </c>
      <c r="E612" t="s">
        <v>1062</v>
      </c>
      <c r="F612" t="s">
        <v>836</v>
      </c>
      <c r="G612" t="s">
        <v>2271</v>
      </c>
      <c r="H612" s="20">
        <v>46250</v>
      </c>
      <c r="I612">
        <v>1800</v>
      </c>
      <c r="J612">
        <v>50</v>
      </c>
      <c r="K612">
        <v>41</v>
      </c>
      <c r="L612">
        <v>25</v>
      </c>
      <c r="M612">
        <v>13</v>
      </c>
      <c r="P612" t="s">
        <v>2272</v>
      </c>
      <c r="R612" t="s">
        <v>2273</v>
      </c>
      <c r="S612">
        <v>4</v>
      </c>
      <c r="T612" t="s">
        <v>2274</v>
      </c>
      <c r="U612" t="s">
        <v>2275</v>
      </c>
    </row>
    <row r="613" spans="1:21" x14ac:dyDescent="0.25">
      <c r="A613" t="s">
        <v>2957</v>
      </c>
      <c r="B613" t="s">
        <v>1004</v>
      </c>
      <c r="C613" t="s">
        <v>134</v>
      </c>
      <c r="D613" t="s">
        <v>24</v>
      </c>
      <c r="E613" t="s">
        <v>1063</v>
      </c>
      <c r="F613" t="s">
        <v>413</v>
      </c>
      <c r="G613" t="s">
        <v>2271</v>
      </c>
      <c r="H613" s="20">
        <v>46250</v>
      </c>
      <c r="I613">
        <v>1800</v>
      </c>
      <c r="J613">
        <v>50</v>
      </c>
      <c r="K613">
        <v>41</v>
      </c>
      <c r="L613">
        <v>25</v>
      </c>
      <c r="M613">
        <v>13</v>
      </c>
      <c r="P613" t="s">
        <v>2272</v>
      </c>
      <c r="R613" t="s">
        <v>2273</v>
      </c>
      <c r="S613">
        <v>4</v>
      </c>
      <c r="T613" t="s">
        <v>2274</v>
      </c>
      <c r="U613" t="s">
        <v>2275</v>
      </c>
    </row>
    <row r="614" spans="1:21" x14ac:dyDescent="0.25">
      <c r="A614" t="s">
        <v>2958</v>
      </c>
      <c r="B614" t="s">
        <v>1004</v>
      </c>
      <c r="C614" t="s">
        <v>144</v>
      </c>
      <c r="D614" t="s">
        <v>24</v>
      </c>
      <c r="E614" t="s">
        <v>1067</v>
      </c>
      <c r="F614" t="s">
        <v>424</v>
      </c>
      <c r="G614" t="s">
        <v>2271</v>
      </c>
      <c r="H614" s="20">
        <v>46250</v>
      </c>
      <c r="I614">
        <v>1800</v>
      </c>
      <c r="J614">
        <v>65</v>
      </c>
      <c r="K614">
        <v>54</v>
      </c>
      <c r="L614">
        <v>48</v>
      </c>
      <c r="P614" t="s">
        <v>2272</v>
      </c>
      <c r="R614" t="s">
        <v>2273</v>
      </c>
      <c r="S614">
        <v>4</v>
      </c>
      <c r="T614" t="s">
        <v>2274</v>
      </c>
      <c r="U614" t="s">
        <v>2275</v>
      </c>
    </row>
    <row r="615" spans="1:21" x14ac:dyDescent="0.25">
      <c r="A615" t="s">
        <v>2959</v>
      </c>
      <c r="B615" t="s">
        <v>1004</v>
      </c>
      <c r="C615" t="s">
        <v>150</v>
      </c>
      <c r="D615" t="s">
        <v>24</v>
      </c>
      <c r="E615" t="s">
        <v>1070</v>
      </c>
      <c r="F615" t="s">
        <v>534</v>
      </c>
      <c r="G615" t="s">
        <v>2271</v>
      </c>
      <c r="H615" s="20">
        <v>46250</v>
      </c>
      <c r="I615">
        <v>1800</v>
      </c>
      <c r="J615">
        <v>45</v>
      </c>
      <c r="K615">
        <v>36</v>
      </c>
      <c r="L615">
        <v>25</v>
      </c>
      <c r="M615">
        <v>13</v>
      </c>
      <c r="P615" t="s">
        <v>2272</v>
      </c>
      <c r="R615" t="s">
        <v>2273</v>
      </c>
      <c r="S615">
        <v>4</v>
      </c>
      <c r="T615" t="s">
        <v>2274</v>
      </c>
      <c r="U615" t="s">
        <v>2275</v>
      </c>
    </row>
    <row r="616" spans="1:21" x14ac:dyDescent="0.25">
      <c r="A616" t="s">
        <v>2960</v>
      </c>
      <c r="B616" t="s">
        <v>1004</v>
      </c>
      <c r="C616" t="s">
        <v>150</v>
      </c>
      <c r="D616" t="s">
        <v>24</v>
      </c>
      <c r="E616" t="s">
        <v>1071</v>
      </c>
      <c r="F616" t="s">
        <v>806</v>
      </c>
      <c r="G616" t="s">
        <v>2271</v>
      </c>
      <c r="H616" s="20">
        <v>46250</v>
      </c>
      <c r="I616">
        <v>1800</v>
      </c>
      <c r="J616">
        <v>45</v>
      </c>
      <c r="K616">
        <v>36</v>
      </c>
      <c r="L616">
        <v>25</v>
      </c>
      <c r="M616">
        <v>13</v>
      </c>
      <c r="P616" t="s">
        <v>2272</v>
      </c>
      <c r="R616" t="s">
        <v>2273</v>
      </c>
      <c r="S616">
        <v>4</v>
      </c>
      <c r="T616" t="s">
        <v>2274</v>
      </c>
      <c r="U616" t="s">
        <v>2275</v>
      </c>
    </row>
    <row r="617" spans="1:21" x14ac:dyDescent="0.25">
      <c r="A617" t="s">
        <v>2961</v>
      </c>
      <c r="B617" t="s">
        <v>1004</v>
      </c>
      <c r="C617" t="s">
        <v>152</v>
      </c>
      <c r="D617" t="s">
        <v>24</v>
      </c>
      <c r="E617" t="s">
        <v>1073</v>
      </c>
      <c r="F617" t="s">
        <v>215</v>
      </c>
      <c r="G617" t="s">
        <v>2271</v>
      </c>
      <c r="H617" s="20">
        <v>46250</v>
      </c>
      <c r="I617">
        <v>1800</v>
      </c>
      <c r="J617">
        <v>45</v>
      </c>
      <c r="K617">
        <v>36</v>
      </c>
      <c r="L617">
        <v>25</v>
      </c>
      <c r="M617">
        <v>13</v>
      </c>
      <c r="P617" t="s">
        <v>2272</v>
      </c>
      <c r="R617" t="s">
        <v>2273</v>
      </c>
      <c r="S617">
        <v>4</v>
      </c>
      <c r="T617" t="s">
        <v>2274</v>
      </c>
      <c r="U617" t="s">
        <v>2275</v>
      </c>
    </row>
    <row r="618" spans="1:21" x14ac:dyDescent="0.25">
      <c r="A618" t="s">
        <v>2962</v>
      </c>
      <c r="B618" t="s">
        <v>1004</v>
      </c>
      <c r="C618" t="s">
        <v>152</v>
      </c>
      <c r="D618" t="s">
        <v>24</v>
      </c>
      <c r="E618" t="s">
        <v>1074</v>
      </c>
      <c r="F618" t="s">
        <v>1030</v>
      </c>
      <c r="G618" t="s">
        <v>2271</v>
      </c>
      <c r="H618" s="20">
        <v>46250</v>
      </c>
      <c r="I618">
        <v>1800</v>
      </c>
      <c r="J618">
        <v>45</v>
      </c>
      <c r="K618">
        <v>36</v>
      </c>
      <c r="L618">
        <v>25</v>
      </c>
      <c r="M618">
        <v>13</v>
      </c>
      <c r="P618" t="s">
        <v>2272</v>
      </c>
      <c r="R618" t="s">
        <v>2273</v>
      </c>
      <c r="S618">
        <v>4</v>
      </c>
      <c r="T618" t="s">
        <v>2274</v>
      </c>
      <c r="U618" t="s">
        <v>2275</v>
      </c>
    </row>
    <row r="619" spans="1:21" x14ac:dyDescent="0.25">
      <c r="A619" t="s">
        <v>2963</v>
      </c>
      <c r="B619" t="s">
        <v>1004</v>
      </c>
      <c r="C619" t="s">
        <v>152</v>
      </c>
      <c r="D619" t="s">
        <v>24</v>
      </c>
      <c r="E619" t="s">
        <v>1075</v>
      </c>
      <c r="F619" t="s">
        <v>315</v>
      </c>
      <c r="G619" t="s">
        <v>2271</v>
      </c>
      <c r="H619" s="20">
        <v>46250</v>
      </c>
      <c r="I619">
        <v>1800</v>
      </c>
      <c r="J619">
        <v>45</v>
      </c>
      <c r="K619">
        <v>36</v>
      </c>
      <c r="L619">
        <v>25</v>
      </c>
      <c r="M619">
        <v>13</v>
      </c>
      <c r="P619" t="s">
        <v>2272</v>
      </c>
      <c r="R619" t="s">
        <v>2273</v>
      </c>
      <c r="S619">
        <v>4</v>
      </c>
      <c r="T619" t="s">
        <v>2274</v>
      </c>
      <c r="U619" t="s">
        <v>2275</v>
      </c>
    </row>
    <row r="620" spans="1:21" x14ac:dyDescent="0.25">
      <c r="A620" t="s">
        <v>2964</v>
      </c>
      <c r="B620" t="s">
        <v>1004</v>
      </c>
      <c r="C620" t="s">
        <v>152</v>
      </c>
      <c r="D620" t="s">
        <v>24</v>
      </c>
      <c r="E620" t="s">
        <v>1076</v>
      </c>
      <c r="F620" t="s">
        <v>872</v>
      </c>
      <c r="G620" t="s">
        <v>2271</v>
      </c>
      <c r="H620" s="20">
        <v>46250</v>
      </c>
      <c r="I620">
        <v>1800</v>
      </c>
      <c r="J620">
        <v>45</v>
      </c>
      <c r="K620">
        <v>36</v>
      </c>
      <c r="L620">
        <v>25</v>
      </c>
      <c r="M620">
        <v>13</v>
      </c>
      <c r="P620" t="s">
        <v>2272</v>
      </c>
      <c r="R620" t="s">
        <v>2273</v>
      </c>
      <c r="S620">
        <v>4</v>
      </c>
      <c r="T620" t="s">
        <v>2274</v>
      </c>
      <c r="U620" t="s">
        <v>2275</v>
      </c>
    </row>
    <row r="621" spans="1:21" x14ac:dyDescent="0.25">
      <c r="A621" t="s">
        <v>2965</v>
      </c>
      <c r="B621" t="s">
        <v>1004</v>
      </c>
      <c r="C621" t="s">
        <v>152</v>
      </c>
      <c r="D621" t="s">
        <v>24</v>
      </c>
      <c r="E621" t="s">
        <v>1077</v>
      </c>
      <c r="F621" t="s">
        <v>949</v>
      </c>
      <c r="G621" t="s">
        <v>2271</v>
      </c>
      <c r="H621" s="20">
        <v>46250</v>
      </c>
      <c r="I621">
        <v>1800</v>
      </c>
      <c r="J621">
        <v>45</v>
      </c>
      <c r="K621">
        <v>36</v>
      </c>
      <c r="L621">
        <v>25</v>
      </c>
      <c r="M621">
        <v>13</v>
      </c>
      <c r="P621" t="s">
        <v>2272</v>
      </c>
      <c r="R621" t="s">
        <v>2273</v>
      </c>
      <c r="S621">
        <v>4</v>
      </c>
      <c r="T621" t="s">
        <v>2274</v>
      </c>
      <c r="U621" t="s">
        <v>2275</v>
      </c>
    </row>
    <row r="622" spans="1:21" x14ac:dyDescent="0.25">
      <c r="A622" t="s">
        <v>2966</v>
      </c>
      <c r="B622" t="s">
        <v>1004</v>
      </c>
      <c r="C622" t="s">
        <v>152</v>
      </c>
      <c r="D622" t="s">
        <v>24</v>
      </c>
      <c r="E622" t="s">
        <v>1078</v>
      </c>
      <c r="F622" t="s">
        <v>392</v>
      </c>
      <c r="G622" t="s">
        <v>2271</v>
      </c>
      <c r="H622" s="20">
        <v>46250</v>
      </c>
      <c r="I622">
        <v>1800</v>
      </c>
      <c r="J622">
        <v>45</v>
      </c>
      <c r="K622">
        <v>36</v>
      </c>
      <c r="L622">
        <v>25</v>
      </c>
      <c r="M622">
        <v>13</v>
      </c>
      <c r="P622" t="s">
        <v>2272</v>
      </c>
      <c r="R622" t="s">
        <v>2273</v>
      </c>
      <c r="S622">
        <v>4</v>
      </c>
      <c r="T622" t="s">
        <v>2274</v>
      </c>
      <c r="U622" t="s">
        <v>2275</v>
      </c>
    </row>
    <row r="623" spans="1:21" x14ac:dyDescent="0.25">
      <c r="A623" t="s">
        <v>2967</v>
      </c>
      <c r="B623" t="s">
        <v>1079</v>
      </c>
      <c r="C623" t="s">
        <v>46</v>
      </c>
      <c r="D623" t="s">
        <v>21</v>
      </c>
      <c r="E623" t="s">
        <v>1081</v>
      </c>
      <c r="F623" t="s">
        <v>1082</v>
      </c>
      <c r="G623" t="s">
        <v>2271</v>
      </c>
      <c r="H623" s="20">
        <v>46254</v>
      </c>
      <c r="I623">
        <v>1500</v>
      </c>
      <c r="J623">
        <v>66</v>
      </c>
      <c r="K623">
        <v>56</v>
      </c>
      <c r="L623">
        <v>38</v>
      </c>
      <c r="P623" t="s">
        <v>2272</v>
      </c>
      <c r="R623" t="s">
        <v>2273</v>
      </c>
      <c r="S623">
        <v>8</v>
      </c>
      <c r="T623" t="s">
        <v>2663</v>
      </c>
      <c r="U623" t="s">
        <v>2664</v>
      </c>
    </row>
    <row r="624" spans="1:21" x14ac:dyDescent="0.25">
      <c r="A624" t="s">
        <v>2968</v>
      </c>
      <c r="B624" t="s">
        <v>1079</v>
      </c>
      <c r="C624" t="s">
        <v>50</v>
      </c>
      <c r="D624" t="s">
        <v>24</v>
      </c>
      <c r="E624" t="s">
        <v>1084</v>
      </c>
      <c r="F624" t="s">
        <v>1085</v>
      </c>
      <c r="G624" t="s">
        <v>2271</v>
      </c>
      <c r="H624" s="20">
        <v>46250</v>
      </c>
      <c r="I624">
        <v>1800</v>
      </c>
      <c r="J624">
        <v>62</v>
      </c>
      <c r="K624">
        <v>56</v>
      </c>
      <c r="L624">
        <v>54</v>
      </c>
      <c r="P624" t="s">
        <v>2272</v>
      </c>
      <c r="R624" t="s">
        <v>2273</v>
      </c>
      <c r="S624">
        <v>4</v>
      </c>
      <c r="T624" t="s">
        <v>2274</v>
      </c>
      <c r="U624" t="s">
        <v>2275</v>
      </c>
    </row>
    <row r="625" spans="1:21" x14ac:dyDescent="0.25">
      <c r="A625" t="s">
        <v>2969</v>
      </c>
      <c r="B625" t="s">
        <v>1079</v>
      </c>
      <c r="C625" t="s">
        <v>53</v>
      </c>
      <c r="D625" t="s">
        <v>24</v>
      </c>
      <c r="E625" t="s">
        <v>1087</v>
      </c>
      <c r="F625" t="s">
        <v>1088</v>
      </c>
      <c r="G625" t="s">
        <v>2271</v>
      </c>
      <c r="H625" s="20">
        <v>46250</v>
      </c>
      <c r="I625">
        <v>1800</v>
      </c>
      <c r="J625">
        <v>62</v>
      </c>
      <c r="K625">
        <v>56</v>
      </c>
      <c r="L625">
        <v>54</v>
      </c>
      <c r="P625" t="s">
        <v>2272</v>
      </c>
      <c r="R625" t="s">
        <v>2273</v>
      </c>
      <c r="S625">
        <v>4</v>
      </c>
      <c r="T625" t="s">
        <v>2274</v>
      </c>
      <c r="U625" t="s">
        <v>2275</v>
      </c>
    </row>
    <row r="626" spans="1:21" x14ac:dyDescent="0.25">
      <c r="A626" t="s">
        <v>2970</v>
      </c>
      <c r="B626" t="s">
        <v>1079</v>
      </c>
      <c r="C626" t="s">
        <v>53</v>
      </c>
      <c r="D626" t="s">
        <v>21</v>
      </c>
      <c r="E626" t="s">
        <v>1089</v>
      </c>
      <c r="F626" t="s">
        <v>1090</v>
      </c>
      <c r="G626" t="s">
        <v>2271</v>
      </c>
      <c r="H626" s="20">
        <v>46254</v>
      </c>
      <c r="I626">
        <v>1500</v>
      </c>
      <c r="J626">
        <v>66</v>
      </c>
      <c r="K626">
        <v>55</v>
      </c>
      <c r="L626">
        <v>43</v>
      </c>
      <c r="M626">
        <v>22</v>
      </c>
      <c r="P626" t="s">
        <v>2272</v>
      </c>
      <c r="R626" t="s">
        <v>2273</v>
      </c>
      <c r="S626">
        <v>10</v>
      </c>
      <c r="T626" t="s">
        <v>2851</v>
      </c>
      <c r="U626" t="s">
        <v>2852</v>
      </c>
    </row>
    <row r="627" spans="1:21" x14ac:dyDescent="0.25">
      <c r="A627" t="s">
        <v>2971</v>
      </c>
      <c r="B627" t="s">
        <v>1079</v>
      </c>
      <c r="C627" t="s">
        <v>57</v>
      </c>
      <c r="D627" t="s">
        <v>24</v>
      </c>
      <c r="E627" t="s">
        <v>1092</v>
      </c>
      <c r="F627" t="s">
        <v>398</v>
      </c>
      <c r="G627" t="s">
        <v>2271</v>
      </c>
      <c r="H627" s="20">
        <v>46250</v>
      </c>
      <c r="I627">
        <v>1800</v>
      </c>
      <c r="J627">
        <v>40</v>
      </c>
      <c r="K627">
        <v>25</v>
      </c>
      <c r="L627">
        <v>15</v>
      </c>
      <c r="P627" t="s">
        <v>2272</v>
      </c>
      <c r="R627" t="s">
        <v>2273</v>
      </c>
      <c r="S627">
        <v>4</v>
      </c>
      <c r="T627" t="s">
        <v>2274</v>
      </c>
      <c r="U627" t="s">
        <v>2275</v>
      </c>
    </row>
    <row r="628" spans="1:21" x14ac:dyDescent="0.25">
      <c r="A628" t="s">
        <v>2972</v>
      </c>
      <c r="B628" t="s">
        <v>1079</v>
      </c>
      <c r="C628" t="s">
        <v>63</v>
      </c>
      <c r="D628" t="s">
        <v>24</v>
      </c>
      <c r="E628" t="s">
        <v>1094</v>
      </c>
      <c r="F628" t="s">
        <v>1095</v>
      </c>
      <c r="G628" t="s">
        <v>2271</v>
      </c>
      <c r="H628" s="20">
        <v>46250</v>
      </c>
      <c r="I628">
        <v>1800</v>
      </c>
      <c r="J628">
        <v>77</v>
      </c>
      <c r="P628" t="s">
        <v>2272</v>
      </c>
      <c r="R628" t="s">
        <v>2273</v>
      </c>
      <c r="S628">
        <v>4</v>
      </c>
      <c r="T628" t="s">
        <v>2274</v>
      </c>
      <c r="U628" t="s">
        <v>2275</v>
      </c>
    </row>
    <row r="629" spans="1:21" x14ac:dyDescent="0.25">
      <c r="A629" t="s">
        <v>2973</v>
      </c>
      <c r="B629" t="s">
        <v>1079</v>
      </c>
      <c r="C629" t="s">
        <v>67</v>
      </c>
      <c r="D629" t="s">
        <v>24</v>
      </c>
      <c r="E629" t="s">
        <v>1097</v>
      </c>
      <c r="F629" t="s">
        <v>1098</v>
      </c>
      <c r="G629" t="s">
        <v>2271</v>
      </c>
      <c r="H629" s="20">
        <v>46250</v>
      </c>
      <c r="I629">
        <v>1800</v>
      </c>
      <c r="J629">
        <v>68</v>
      </c>
      <c r="K629">
        <v>58</v>
      </c>
      <c r="L629">
        <v>56</v>
      </c>
      <c r="P629" t="s">
        <v>2272</v>
      </c>
      <c r="R629" t="s">
        <v>2273</v>
      </c>
      <c r="S629">
        <v>4</v>
      </c>
      <c r="T629" t="s">
        <v>2274</v>
      </c>
      <c r="U629" t="s">
        <v>2275</v>
      </c>
    </row>
    <row r="630" spans="1:21" x14ac:dyDescent="0.25">
      <c r="A630" t="s">
        <v>2974</v>
      </c>
      <c r="B630" t="s">
        <v>1079</v>
      </c>
      <c r="C630" t="s">
        <v>67</v>
      </c>
      <c r="D630" t="s">
        <v>24</v>
      </c>
      <c r="E630" t="s">
        <v>1099</v>
      </c>
      <c r="F630" t="s">
        <v>282</v>
      </c>
      <c r="G630" t="s">
        <v>2271</v>
      </c>
      <c r="H630" s="20">
        <v>46250</v>
      </c>
      <c r="I630">
        <v>1800</v>
      </c>
      <c r="J630">
        <v>68</v>
      </c>
      <c r="K630">
        <v>58</v>
      </c>
      <c r="L630">
        <v>56</v>
      </c>
      <c r="P630" t="s">
        <v>2272</v>
      </c>
      <c r="R630" t="s">
        <v>2273</v>
      </c>
      <c r="S630">
        <v>4</v>
      </c>
      <c r="T630" t="s">
        <v>2274</v>
      </c>
      <c r="U630" t="s">
        <v>2275</v>
      </c>
    </row>
    <row r="631" spans="1:21" x14ac:dyDescent="0.25">
      <c r="A631" t="s">
        <v>2975</v>
      </c>
      <c r="B631" t="s">
        <v>1079</v>
      </c>
      <c r="C631" t="s">
        <v>67</v>
      </c>
      <c r="D631" t="s">
        <v>24</v>
      </c>
      <c r="E631" t="s">
        <v>1100</v>
      </c>
      <c r="F631" t="s">
        <v>801</v>
      </c>
      <c r="G631" t="s">
        <v>2271</v>
      </c>
      <c r="H631" s="20">
        <v>46250</v>
      </c>
      <c r="I631">
        <v>1800</v>
      </c>
      <c r="J631">
        <v>68</v>
      </c>
      <c r="K631">
        <v>58</v>
      </c>
      <c r="L631">
        <v>56</v>
      </c>
      <c r="P631" t="s">
        <v>2272</v>
      </c>
      <c r="R631" t="s">
        <v>2273</v>
      </c>
      <c r="S631">
        <v>4</v>
      </c>
      <c r="T631" t="s">
        <v>2274</v>
      </c>
      <c r="U631" t="s">
        <v>2275</v>
      </c>
    </row>
    <row r="632" spans="1:21" x14ac:dyDescent="0.25">
      <c r="A632" t="s">
        <v>2976</v>
      </c>
      <c r="B632" t="s">
        <v>1079</v>
      </c>
      <c r="C632" t="s">
        <v>67</v>
      </c>
      <c r="D632" t="s">
        <v>21</v>
      </c>
      <c r="E632" t="s">
        <v>1101</v>
      </c>
      <c r="F632" t="s">
        <v>424</v>
      </c>
      <c r="G632" t="s">
        <v>2271</v>
      </c>
      <c r="H632" s="20">
        <v>46254</v>
      </c>
      <c r="I632">
        <v>1500</v>
      </c>
      <c r="J632">
        <v>80</v>
      </c>
      <c r="K632">
        <v>68</v>
      </c>
      <c r="L632">
        <v>35</v>
      </c>
      <c r="P632" t="s">
        <v>2272</v>
      </c>
      <c r="R632" t="s">
        <v>2273</v>
      </c>
      <c r="S632">
        <v>10</v>
      </c>
      <c r="T632" t="s">
        <v>2851</v>
      </c>
      <c r="U632" t="s">
        <v>2852</v>
      </c>
    </row>
    <row r="633" spans="1:21" x14ac:dyDescent="0.25">
      <c r="A633" t="s">
        <v>2977</v>
      </c>
      <c r="B633" t="s">
        <v>1079</v>
      </c>
      <c r="C633" t="s">
        <v>73</v>
      </c>
      <c r="D633" t="s">
        <v>21</v>
      </c>
      <c r="E633" t="s">
        <v>1103</v>
      </c>
      <c r="F633" t="s">
        <v>664</v>
      </c>
      <c r="G633" t="s">
        <v>2271</v>
      </c>
      <c r="H633" s="20">
        <v>46254</v>
      </c>
      <c r="I633">
        <v>1500</v>
      </c>
      <c r="J633">
        <v>90</v>
      </c>
      <c r="K633">
        <v>60</v>
      </c>
      <c r="L633">
        <v>45</v>
      </c>
      <c r="P633" t="s">
        <v>2272</v>
      </c>
      <c r="R633" t="s">
        <v>2273</v>
      </c>
      <c r="S633">
        <v>8</v>
      </c>
      <c r="T633" t="s">
        <v>2663</v>
      </c>
      <c r="U633" t="s">
        <v>2664</v>
      </c>
    </row>
    <row r="634" spans="1:21" x14ac:dyDescent="0.25">
      <c r="A634" t="s">
        <v>2978</v>
      </c>
      <c r="B634" t="s">
        <v>1079</v>
      </c>
      <c r="C634" t="s">
        <v>83</v>
      </c>
      <c r="D634" t="s">
        <v>24</v>
      </c>
      <c r="E634" t="s">
        <v>1107</v>
      </c>
      <c r="F634" t="s">
        <v>1108</v>
      </c>
      <c r="G634" t="s">
        <v>2271</v>
      </c>
      <c r="H634" s="20">
        <v>46250</v>
      </c>
      <c r="I634">
        <v>1800</v>
      </c>
      <c r="J634">
        <v>52</v>
      </c>
      <c r="K634">
        <v>42</v>
      </c>
      <c r="L634">
        <v>36</v>
      </c>
      <c r="P634" t="s">
        <v>2272</v>
      </c>
      <c r="R634" t="s">
        <v>2273</v>
      </c>
      <c r="S634">
        <v>4</v>
      </c>
      <c r="T634" t="s">
        <v>2274</v>
      </c>
      <c r="U634" t="s">
        <v>2275</v>
      </c>
    </row>
    <row r="635" spans="1:21" x14ac:dyDescent="0.25">
      <c r="A635" t="s">
        <v>2979</v>
      </c>
      <c r="B635" t="s">
        <v>1079</v>
      </c>
      <c r="C635" t="s">
        <v>83</v>
      </c>
      <c r="D635" t="s">
        <v>21</v>
      </c>
      <c r="E635" t="s">
        <v>1109</v>
      </c>
      <c r="F635" t="s">
        <v>165</v>
      </c>
      <c r="G635" t="s">
        <v>2271</v>
      </c>
      <c r="H635" s="20">
        <v>46254</v>
      </c>
      <c r="I635">
        <v>1500</v>
      </c>
      <c r="J635">
        <v>53</v>
      </c>
      <c r="K635">
        <v>41</v>
      </c>
      <c r="L635">
        <v>32</v>
      </c>
      <c r="P635" t="s">
        <v>2272</v>
      </c>
      <c r="R635" t="s">
        <v>2273</v>
      </c>
      <c r="S635">
        <v>8</v>
      </c>
      <c r="T635" t="s">
        <v>2663</v>
      </c>
      <c r="U635" t="s">
        <v>2664</v>
      </c>
    </row>
    <row r="636" spans="1:21" x14ac:dyDescent="0.25">
      <c r="A636" t="s">
        <v>2980</v>
      </c>
      <c r="B636" t="s">
        <v>1079</v>
      </c>
      <c r="C636" t="s">
        <v>91</v>
      </c>
      <c r="D636" t="s">
        <v>24</v>
      </c>
      <c r="E636" t="s">
        <v>1111</v>
      </c>
      <c r="F636" t="s">
        <v>1112</v>
      </c>
      <c r="G636" t="s">
        <v>2271</v>
      </c>
      <c r="H636" s="20">
        <v>46250</v>
      </c>
      <c r="I636">
        <v>1800</v>
      </c>
      <c r="J636">
        <v>52</v>
      </c>
      <c r="K636">
        <v>42</v>
      </c>
      <c r="L636">
        <v>36</v>
      </c>
      <c r="P636" t="s">
        <v>2272</v>
      </c>
      <c r="R636" t="s">
        <v>2273</v>
      </c>
      <c r="S636">
        <v>4</v>
      </c>
      <c r="T636" t="s">
        <v>2274</v>
      </c>
      <c r="U636" t="s">
        <v>2275</v>
      </c>
    </row>
    <row r="637" spans="1:21" x14ac:dyDescent="0.25">
      <c r="A637" t="s">
        <v>2981</v>
      </c>
      <c r="B637" t="s">
        <v>1079</v>
      </c>
      <c r="C637" t="s">
        <v>91</v>
      </c>
      <c r="D637" t="s">
        <v>21</v>
      </c>
      <c r="E637" t="s">
        <v>1113</v>
      </c>
      <c r="F637" t="s">
        <v>738</v>
      </c>
      <c r="G637" t="s">
        <v>2271</v>
      </c>
      <c r="H637" s="20">
        <v>46254</v>
      </c>
      <c r="I637">
        <v>1500</v>
      </c>
      <c r="J637">
        <v>73</v>
      </c>
      <c r="K637">
        <v>50</v>
      </c>
      <c r="L637">
        <v>34</v>
      </c>
      <c r="P637" t="s">
        <v>2272</v>
      </c>
      <c r="R637" t="s">
        <v>2273</v>
      </c>
      <c r="S637">
        <v>8</v>
      </c>
      <c r="T637" t="s">
        <v>2663</v>
      </c>
      <c r="U637" t="s">
        <v>2664</v>
      </c>
    </row>
    <row r="638" spans="1:21" x14ac:dyDescent="0.25">
      <c r="A638" t="s">
        <v>2982</v>
      </c>
      <c r="B638" t="s">
        <v>1079</v>
      </c>
      <c r="C638" t="s">
        <v>97</v>
      </c>
      <c r="D638" t="s">
        <v>24</v>
      </c>
      <c r="E638" t="s">
        <v>1115</v>
      </c>
      <c r="F638" t="s">
        <v>637</v>
      </c>
      <c r="G638" t="s">
        <v>2271</v>
      </c>
      <c r="H638" s="20">
        <v>46250</v>
      </c>
      <c r="I638">
        <v>1800</v>
      </c>
      <c r="J638">
        <v>52</v>
      </c>
      <c r="K638">
        <v>42</v>
      </c>
      <c r="L638">
        <v>36</v>
      </c>
      <c r="P638" t="s">
        <v>2272</v>
      </c>
      <c r="R638" t="s">
        <v>2273</v>
      </c>
      <c r="S638">
        <v>4</v>
      </c>
      <c r="T638" t="s">
        <v>2274</v>
      </c>
      <c r="U638" t="s">
        <v>2275</v>
      </c>
    </row>
    <row r="639" spans="1:21" x14ac:dyDescent="0.25">
      <c r="A639" t="s">
        <v>2983</v>
      </c>
      <c r="B639" t="s">
        <v>1079</v>
      </c>
      <c r="C639" t="s">
        <v>97</v>
      </c>
      <c r="D639" t="s">
        <v>24</v>
      </c>
      <c r="E639" t="s">
        <v>1116</v>
      </c>
      <c r="F639" t="s">
        <v>300</v>
      </c>
      <c r="G639" t="s">
        <v>2271</v>
      </c>
      <c r="H639" s="20">
        <v>46250</v>
      </c>
      <c r="I639">
        <v>1800</v>
      </c>
      <c r="J639">
        <v>52</v>
      </c>
      <c r="K639">
        <v>42</v>
      </c>
      <c r="L639">
        <v>36</v>
      </c>
      <c r="P639" t="s">
        <v>2272</v>
      </c>
      <c r="R639" t="s">
        <v>2273</v>
      </c>
      <c r="S639">
        <v>4</v>
      </c>
      <c r="T639" t="s">
        <v>2274</v>
      </c>
      <c r="U639" t="s">
        <v>2275</v>
      </c>
    </row>
    <row r="640" spans="1:21" x14ac:dyDescent="0.25">
      <c r="A640" t="s">
        <v>2984</v>
      </c>
      <c r="B640" t="s">
        <v>1079</v>
      </c>
      <c r="C640" t="s">
        <v>97</v>
      </c>
      <c r="D640" t="s">
        <v>24</v>
      </c>
      <c r="E640" t="s">
        <v>1117</v>
      </c>
      <c r="F640" t="s">
        <v>1118</v>
      </c>
      <c r="G640" t="s">
        <v>2271</v>
      </c>
      <c r="H640" s="20">
        <v>46250</v>
      </c>
      <c r="I640">
        <v>1800</v>
      </c>
      <c r="J640">
        <v>52</v>
      </c>
      <c r="K640">
        <v>42</v>
      </c>
      <c r="L640">
        <v>36</v>
      </c>
      <c r="P640" t="s">
        <v>2272</v>
      </c>
      <c r="R640" t="s">
        <v>2273</v>
      </c>
      <c r="S640">
        <v>4</v>
      </c>
      <c r="T640" t="s">
        <v>2274</v>
      </c>
      <c r="U640" t="s">
        <v>2275</v>
      </c>
    </row>
    <row r="641" spans="1:21" x14ac:dyDescent="0.25">
      <c r="A641" t="s">
        <v>2985</v>
      </c>
      <c r="B641" t="s">
        <v>1079</v>
      </c>
      <c r="C641" t="s">
        <v>103</v>
      </c>
      <c r="D641" t="s">
        <v>24</v>
      </c>
      <c r="E641" t="s">
        <v>1120</v>
      </c>
      <c r="F641" t="s">
        <v>1121</v>
      </c>
      <c r="G641" t="s">
        <v>2271</v>
      </c>
      <c r="H641" s="20">
        <v>46250</v>
      </c>
      <c r="I641">
        <v>1800</v>
      </c>
      <c r="J641">
        <v>60</v>
      </c>
      <c r="K641">
        <v>50</v>
      </c>
      <c r="L641">
        <v>42</v>
      </c>
      <c r="P641" t="s">
        <v>2272</v>
      </c>
      <c r="R641" t="s">
        <v>2273</v>
      </c>
      <c r="S641">
        <v>4</v>
      </c>
      <c r="T641" t="s">
        <v>2274</v>
      </c>
      <c r="U641" t="s">
        <v>2275</v>
      </c>
    </row>
    <row r="642" spans="1:21" x14ac:dyDescent="0.25">
      <c r="A642" t="s">
        <v>2986</v>
      </c>
      <c r="B642" t="s">
        <v>1079</v>
      </c>
      <c r="C642" t="s">
        <v>103</v>
      </c>
      <c r="D642" t="s">
        <v>24</v>
      </c>
      <c r="E642" t="s">
        <v>1122</v>
      </c>
      <c r="F642" t="s">
        <v>244</v>
      </c>
      <c r="G642" t="s">
        <v>2271</v>
      </c>
      <c r="H642" s="20">
        <v>46250</v>
      </c>
      <c r="I642">
        <v>1800</v>
      </c>
      <c r="J642">
        <v>60</v>
      </c>
      <c r="K642">
        <v>50</v>
      </c>
      <c r="L642">
        <v>42</v>
      </c>
      <c r="P642" t="s">
        <v>2272</v>
      </c>
      <c r="R642" t="s">
        <v>2273</v>
      </c>
      <c r="S642">
        <v>4</v>
      </c>
      <c r="T642" t="s">
        <v>2274</v>
      </c>
      <c r="U642" t="s">
        <v>2275</v>
      </c>
    </row>
    <row r="643" spans="1:21" x14ac:dyDescent="0.25">
      <c r="A643" t="s">
        <v>2987</v>
      </c>
      <c r="B643" t="s">
        <v>1079</v>
      </c>
      <c r="C643" t="s">
        <v>109</v>
      </c>
      <c r="D643" t="s">
        <v>24</v>
      </c>
      <c r="E643" t="s">
        <v>1124</v>
      </c>
      <c r="F643" t="s">
        <v>143</v>
      </c>
      <c r="G643" t="s">
        <v>2271</v>
      </c>
      <c r="H643" s="20">
        <v>46250</v>
      </c>
      <c r="I643">
        <v>1800</v>
      </c>
      <c r="J643">
        <v>60</v>
      </c>
      <c r="K643">
        <v>40</v>
      </c>
      <c r="L643">
        <v>35</v>
      </c>
      <c r="P643" t="s">
        <v>2272</v>
      </c>
      <c r="R643" t="s">
        <v>2273</v>
      </c>
      <c r="S643">
        <v>9</v>
      </c>
      <c r="T643" t="s">
        <v>2304</v>
      </c>
      <c r="U643" t="s">
        <v>2305</v>
      </c>
    </row>
    <row r="644" spans="1:21" x14ac:dyDescent="0.25">
      <c r="A644" t="s">
        <v>2988</v>
      </c>
      <c r="B644" t="s">
        <v>1079</v>
      </c>
      <c r="C644" t="s">
        <v>113</v>
      </c>
      <c r="D644" t="s">
        <v>24</v>
      </c>
      <c r="E644" t="s">
        <v>1126</v>
      </c>
      <c r="F644" t="s">
        <v>182</v>
      </c>
      <c r="G644" t="s">
        <v>2271</v>
      </c>
      <c r="H644" s="20">
        <v>46250</v>
      </c>
      <c r="I644">
        <v>1800</v>
      </c>
      <c r="J644">
        <v>60</v>
      </c>
      <c r="K644">
        <v>40</v>
      </c>
      <c r="L644">
        <v>35</v>
      </c>
      <c r="P644" t="s">
        <v>2272</v>
      </c>
      <c r="R644" t="s">
        <v>2273</v>
      </c>
      <c r="S644">
        <v>4</v>
      </c>
      <c r="T644" t="s">
        <v>2274</v>
      </c>
      <c r="U644" t="s">
        <v>2275</v>
      </c>
    </row>
    <row r="645" spans="1:21" x14ac:dyDescent="0.25">
      <c r="A645" t="s">
        <v>2989</v>
      </c>
      <c r="B645" t="s">
        <v>1079</v>
      </c>
      <c r="C645" t="s">
        <v>116</v>
      </c>
      <c r="D645" t="s">
        <v>24</v>
      </c>
      <c r="E645" t="s">
        <v>1128</v>
      </c>
      <c r="F645" t="s">
        <v>1129</v>
      </c>
      <c r="G645" t="s">
        <v>2271</v>
      </c>
      <c r="H645" s="20">
        <v>46250</v>
      </c>
      <c r="I645">
        <v>1800</v>
      </c>
      <c r="J645">
        <v>72</v>
      </c>
      <c r="K645">
        <v>52</v>
      </c>
      <c r="L645">
        <v>44</v>
      </c>
      <c r="M645">
        <v>30</v>
      </c>
      <c r="N645">
        <v>23</v>
      </c>
      <c r="P645" t="s">
        <v>2272</v>
      </c>
      <c r="R645" t="s">
        <v>2273</v>
      </c>
      <c r="S645">
        <v>4</v>
      </c>
      <c r="T645" t="s">
        <v>2274</v>
      </c>
      <c r="U645" t="s">
        <v>2275</v>
      </c>
    </row>
    <row r="646" spans="1:21" x14ac:dyDescent="0.25">
      <c r="A646" t="s">
        <v>2990</v>
      </c>
      <c r="B646" t="s">
        <v>1079</v>
      </c>
      <c r="C646" t="s">
        <v>116</v>
      </c>
      <c r="D646" t="s">
        <v>21</v>
      </c>
      <c r="E646" t="s">
        <v>1130</v>
      </c>
      <c r="F646" t="s">
        <v>1131</v>
      </c>
      <c r="G646" t="s">
        <v>2271</v>
      </c>
      <c r="H646" s="20">
        <v>46254</v>
      </c>
      <c r="I646">
        <v>1500</v>
      </c>
      <c r="J646">
        <v>63</v>
      </c>
      <c r="K646">
        <v>54</v>
      </c>
      <c r="L646">
        <v>32</v>
      </c>
      <c r="M646">
        <v>23</v>
      </c>
      <c r="N646">
        <v>16</v>
      </c>
      <c r="P646" t="s">
        <v>2272</v>
      </c>
      <c r="R646" t="s">
        <v>2273</v>
      </c>
      <c r="S646">
        <v>8</v>
      </c>
      <c r="T646" t="s">
        <v>2663</v>
      </c>
      <c r="U646" t="s">
        <v>2664</v>
      </c>
    </row>
    <row r="647" spans="1:21" x14ac:dyDescent="0.25">
      <c r="A647" t="s">
        <v>2991</v>
      </c>
      <c r="B647" t="s">
        <v>1079</v>
      </c>
      <c r="C647" t="s">
        <v>140</v>
      </c>
      <c r="D647" t="s">
        <v>24</v>
      </c>
      <c r="E647" t="s">
        <v>1139</v>
      </c>
      <c r="F647" t="s">
        <v>1140</v>
      </c>
      <c r="G647" t="s">
        <v>2271</v>
      </c>
      <c r="H647" s="20">
        <v>46250</v>
      </c>
      <c r="I647">
        <v>1800</v>
      </c>
      <c r="J647">
        <v>66</v>
      </c>
      <c r="K647">
        <v>61</v>
      </c>
      <c r="L647">
        <v>60</v>
      </c>
      <c r="P647" t="s">
        <v>2272</v>
      </c>
      <c r="R647" t="s">
        <v>2273</v>
      </c>
      <c r="S647">
        <v>4</v>
      </c>
      <c r="T647" t="s">
        <v>2274</v>
      </c>
      <c r="U647" t="s">
        <v>2275</v>
      </c>
    </row>
    <row r="648" spans="1:21" x14ac:dyDescent="0.25">
      <c r="A648" t="s">
        <v>2992</v>
      </c>
      <c r="B648" t="s">
        <v>1079</v>
      </c>
      <c r="C648" t="s">
        <v>144</v>
      </c>
      <c r="D648" t="s">
        <v>24</v>
      </c>
      <c r="E648" t="s">
        <v>1142</v>
      </c>
      <c r="F648" t="s">
        <v>250</v>
      </c>
      <c r="G648" t="s">
        <v>2271</v>
      </c>
      <c r="H648" s="20">
        <v>46250</v>
      </c>
      <c r="I648">
        <v>1800</v>
      </c>
      <c r="J648">
        <v>35</v>
      </c>
      <c r="P648" t="s">
        <v>2272</v>
      </c>
      <c r="R648" t="s">
        <v>2273</v>
      </c>
      <c r="S648">
        <v>4</v>
      </c>
      <c r="T648" t="s">
        <v>2274</v>
      </c>
      <c r="U648" t="s">
        <v>2275</v>
      </c>
    </row>
    <row r="649" spans="1:21" x14ac:dyDescent="0.25">
      <c r="A649" t="s">
        <v>2993</v>
      </c>
      <c r="B649" t="s">
        <v>154</v>
      </c>
      <c r="C649" t="s">
        <v>63</v>
      </c>
      <c r="D649" t="s">
        <v>24</v>
      </c>
      <c r="E649" t="s">
        <v>1147</v>
      </c>
      <c r="F649" t="s">
        <v>1148</v>
      </c>
      <c r="G649" t="s">
        <v>2271</v>
      </c>
      <c r="H649" s="20">
        <v>46250</v>
      </c>
      <c r="I649">
        <v>1800</v>
      </c>
      <c r="J649">
        <v>80</v>
      </c>
      <c r="K649">
        <v>70</v>
      </c>
      <c r="L649">
        <v>66</v>
      </c>
      <c r="P649" t="s">
        <v>2272</v>
      </c>
      <c r="R649" t="s">
        <v>2273</v>
      </c>
      <c r="S649">
        <v>4</v>
      </c>
      <c r="T649" t="s">
        <v>2274</v>
      </c>
      <c r="U649" t="s">
        <v>2275</v>
      </c>
    </row>
    <row r="650" spans="1:21" x14ac:dyDescent="0.25">
      <c r="A650" t="s">
        <v>2994</v>
      </c>
      <c r="B650" t="s">
        <v>154</v>
      </c>
      <c r="C650" t="s">
        <v>63</v>
      </c>
      <c r="D650" t="s">
        <v>24</v>
      </c>
      <c r="E650" t="s">
        <v>1149</v>
      </c>
      <c r="F650" t="s">
        <v>729</v>
      </c>
      <c r="G650" t="s">
        <v>2271</v>
      </c>
      <c r="H650" s="20">
        <v>46250</v>
      </c>
      <c r="I650">
        <v>1800</v>
      </c>
      <c r="J650">
        <v>80</v>
      </c>
      <c r="K650">
        <v>70</v>
      </c>
      <c r="L650">
        <v>66</v>
      </c>
      <c r="P650" t="s">
        <v>2272</v>
      </c>
      <c r="R650" t="s">
        <v>2273</v>
      </c>
      <c r="S650">
        <v>4</v>
      </c>
      <c r="T650" t="s">
        <v>2274</v>
      </c>
      <c r="U650" t="s">
        <v>2275</v>
      </c>
    </row>
    <row r="651" spans="1:21" x14ac:dyDescent="0.25">
      <c r="A651" t="s">
        <v>2995</v>
      </c>
      <c r="B651" t="s">
        <v>154</v>
      </c>
      <c r="C651" t="s">
        <v>63</v>
      </c>
      <c r="D651" t="s">
        <v>21</v>
      </c>
      <c r="E651" t="s">
        <v>1150</v>
      </c>
      <c r="F651" t="s">
        <v>143</v>
      </c>
      <c r="G651" t="s">
        <v>2271</v>
      </c>
      <c r="H651" s="20">
        <v>46254</v>
      </c>
      <c r="I651">
        <v>1500</v>
      </c>
      <c r="J651">
        <v>72</v>
      </c>
      <c r="K651">
        <v>63</v>
      </c>
      <c r="L651">
        <v>40</v>
      </c>
      <c r="M651">
        <v>35</v>
      </c>
      <c r="P651" t="s">
        <v>2272</v>
      </c>
      <c r="R651" t="s">
        <v>2273</v>
      </c>
      <c r="S651">
        <v>5</v>
      </c>
      <c r="T651" t="s">
        <v>2319</v>
      </c>
      <c r="U651" t="s">
        <v>2320</v>
      </c>
    </row>
    <row r="652" spans="1:21" x14ac:dyDescent="0.25">
      <c r="A652" t="s">
        <v>2996</v>
      </c>
      <c r="B652" t="s">
        <v>154</v>
      </c>
      <c r="C652" t="s">
        <v>63</v>
      </c>
      <c r="D652" t="s">
        <v>21</v>
      </c>
      <c r="E652" t="s">
        <v>1151</v>
      </c>
      <c r="F652" t="s">
        <v>247</v>
      </c>
      <c r="G652" t="s">
        <v>2271</v>
      </c>
      <c r="H652" s="20">
        <v>46254</v>
      </c>
      <c r="I652">
        <v>1500</v>
      </c>
      <c r="J652">
        <v>72</v>
      </c>
      <c r="K652">
        <v>63</v>
      </c>
      <c r="L652">
        <v>40</v>
      </c>
      <c r="M652">
        <v>35</v>
      </c>
      <c r="P652" t="s">
        <v>2272</v>
      </c>
      <c r="R652" t="s">
        <v>2273</v>
      </c>
      <c r="S652">
        <v>5</v>
      </c>
      <c r="T652" t="s">
        <v>2319</v>
      </c>
      <c r="U652" t="s">
        <v>2320</v>
      </c>
    </row>
    <row r="653" spans="1:21" x14ac:dyDescent="0.25">
      <c r="A653" t="s">
        <v>2997</v>
      </c>
      <c r="B653" t="s">
        <v>154</v>
      </c>
      <c r="C653" t="s">
        <v>63</v>
      </c>
      <c r="D653" t="s">
        <v>21</v>
      </c>
      <c r="E653" t="s">
        <v>1152</v>
      </c>
      <c r="F653" t="s">
        <v>738</v>
      </c>
      <c r="G653" t="s">
        <v>2271</v>
      </c>
      <c r="H653" s="20">
        <v>46254</v>
      </c>
      <c r="I653">
        <v>1500</v>
      </c>
      <c r="J653">
        <v>72</v>
      </c>
      <c r="K653">
        <v>63</v>
      </c>
      <c r="L653">
        <v>40</v>
      </c>
      <c r="M653">
        <v>35</v>
      </c>
      <c r="P653" t="s">
        <v>2272</v>
      </c>
      <c r="R653" t="s">
        <v>2273</v>
      </c>
      <c r="S653">
        <v>5</v>
      </c>
      <c r="T653" t="s">
        <v>2319</v>
      </c>
      <c r="U653" t="s">
        <v>2320</v>
      </c>
    </row>
    <row r="654" spans="1:21" x14ac:dyDescent="0.25">
      <c r="A654" t="s">
        <v>2998</v>
      </c>
      <c r="B654" t="s">
        <v>154</v>
      </c>
      <c r="C654" t="s">
        <v>63</v>
      </c>
      <c r="D654" t="s">
        <v>26</v>
      </c>
      <c r="E654" t="s">
        <v>1153</v>
      </c>
      <c r="F654" t="s">
        <v>630</v>
      </c>
      <c r="H654" s="20"/>
      <c r="P654" t="s">
        <v>2291</v>
      </c>
      <c r="R654" t="s">
        <v>2292</v>
      </c>
    </row>
    <row r="655" spans="1:21" x14ac:dyDescent="0.25">
      <c r="A655" t="s">
        <v>2999</v>
      </c>
      <c r="B655" t="s">
        <v>154</v>
      </c>
      <c r="C655" t="s">
        <v>63</v>
      </c>
      <c r="D655" t="s">
        <v>26</v>
      </c>
      <c r="E655" t="s">
        <v>1154</v>
      </c>
      <c r="F655" t="s">
        <v>820</v>
      </c>
      <c r="H655" s="20"/>
      <c r="P655" t="s">
        <v>2291</v>
      </c>
      <c r="R655" t="s">
        <v>2292</v>
      </c>
    </row>
    <row r="656" spans="1:21" x14ac:dyDescent="0.25">
      <c r="A656" t="s">
        <v>3000</v>
      </c>
      <c r="B656" t="s">
        <v>2</v>
      </c>
      <c r="C656" t="s">
        <v>353</v>
      </c>
      <c r="D656" t="s">
        <v>24</v>
      </c>
      <c r="E656" t="s">
        <v>1156</v>
      </c>
      <c r="F656" t="s">
        <v>1157</v>
      </c>
      <c r="G656" t="s">
        <v>2271</v>
      </c>
      <c r="H656" s="20">
        <v>46250</v>
      </c>
      <c r="I656">
        <v>1800</v>
      </c>
      <c r="J656">
        <v>50</v>
      </c>
      <c r="K656">
        <v>40</v>
      </c>
      <c r="L656">
        <v>32</v>
      </c>
      <c r="P656" t="s">
        <v>2272</v>
      </c>
      <c r="R656" t="s">
        <v>2273</v>
      </c>
      <c r="S656">
        <v>4</v>
      </c>
      <c r="T656" t="s">
        <v>2274</v>
      </c>
      <c r="U656" t="s">
        <v>2275</v>
      </c>
    </row>
    <row r="657" spans="1:21" x14ac:dyDescent="0.25">
      <c r="A657" t="s">
        <v>3001</v>
      </c>
      <c r="B657" t="s">
        <v>2</v>
      </c>
      <c r="C657" t="s">
        <v>353</v>
      </c>
      <c r="D657" t="s">
        <v>24</v>
      </c>
      <c r="E657" t="s">
        <v>1158</v>
      </c>
      <c r="F657" t="s">
        <v>1085</v>
      </c>
      <c r="G657" t="s">
        <v>2271</v>
      </c>
      <c r="H657" s="20">
        <v>46250</v>
      </c>
      <c r="I657">
        <v>1800</v>
      </c>
      <c r="J657">
        <v>50</v>
      </c>
      <c r="K657">
        <v>40</v>
      </c>
      <c r="L657">
        <v>32</v>
      </c>
      <c r="P657" t="s">
        <v>2272</v>
      </c>
      <c r="R657" t="s">
        <v>2273</v>
      </c>
      <c r="S657">
        <v>4</v>
      </c>
      <c r="T657" t="s">
        <v>2274</v>
      </c>
      <c r="U657" t="s">
        <v>2275</v>
      </c>
    </row>
    <row r="658" spans="1:21" x14ac:dyDescent="0.25">
      <c r="A658" t="s">
        <v>3002</v>
      </c>
      <c r="B658" t="s">
        <v>2</v>
      </c>
      <c r="C658" t="s">
        <v>353</v>
      </c>
      <c r="D658" t="s">
        <v>24</v>
      </c>
      <c r="E658" t="s">
        <v>1159</v>
      </c>
      <c r="F658" t="s">
        <v>285</v>
      </c>
      <c r="G658" t="s">
        <v>2271</v>
      </c>
      <c r="H658" s="20">
        <v>46250</v>
      </c>
      <c r="I658">
        <v>1800</v>
      </c>
      <c r="J658">
        <v>50</v>
      </c>
      <c r="K658">
        <v>40</v>
      </c>
      <c r="L658">
        <v>32</v>
      </c>
      <c r="P658" t="s">
        <v>2272</v>
      </c>
      <c r="R658" t="s">
        <v>2273</v>
      </c>
      <c r="S658">
        <v>4</v>
      </c>
      <c r="T658" t="s">
        <v>2274</v>
      </c>
      <c r="U658" t="s">
        <v>2275</v>
      </c>
    </row>
    <row r="659" spans="1:21" x14ac:dyDescent="0.25">
      <c r="A659" t="s">
        <v>3003</v>
      </c>
      <c r="B659" t="s">
        <v>2</v>
      </c>
      <c r="C659" t="s">
        <v>353</v>
      </c>
      <c r="D659" t="s">
        <v>24</v>
      </c>
      <c r="E659" t="s">
        <v>1160</v>
      </c>
      <c r="F659" t="s">
        <v>131</v>
      </c>
      <c r="G659" t="s">
        <v>2271</v>
      </c>
      <c r="H659" s="20">
        <v>46250</v>
      </c>
      <c r="I659">
        <v>1800</v>
      </c>
      <c r="J659">
        <v>50</v>
      </c>
      <c r="K659">
        <v>40</v>
      </c>
      <c r="L659">
        <v>32</v>
      </c>
      <c r="P659" t="s">
        <v>2272</v>
      </c>
      <c r="R659" t="s">
        <v>2273</v>
      </c>
      <c r="S659">
        <v>4</v>
      </c>
      <c r="T659" t="s">
        <v>2274</v>
      </c>
      <c r="U659" t="s">
        <v>2275</v>
      </c>
    </row>
    <row r="660" spans="1:21" x14ac:dyDescent="0.25">
      <c r="A660" t="s">
        <v>3004</v>
      </c>
      <c r="B660" t="s">
        <v>2</v>
      </c>
      <c r="C660" t="s">
        <v>353</v>
      </c>
      <c r="D660" t="s">
        <v>24</v>
      </c>
      <c r="E660" t="s">
        <v>1161</v>
      </c>
      <c r="F660" t="s">
        <v>56</v>
      </c>
      <c r="G660" t="s">
        <v>2271</v>
      </c>
      <c r="H660" s="20">
        <v>46250</v>
      </c>
      <c r="I660">
        <v>1800</v>
      </c>
      <c r="J660">
        <v>50</v>
      </c>
      <c r="K660">
        <v>40</v>
      </c>
      <c r="L660">
        <v>32</v>
      </c>
      <c r="P660" t="s">
        <v>2272</v>
      </c>
      <c r="R660" t="s">
        <v>2273</v>
      </c>
      <c r="S660">
        <v>4</v>
      </c>
      <c r="T660" t="s">
        <v>2274</v>
      </c>
      <c r="U660" t="s">
        <v>2275</v>
      </c>
    </row>
    <row r="661" spans="1:21" x14ac:dyDescent="0.25">
      <c r="A661" t="s">
        <v>3005</v>
      </c>
      <c r="B661" t="s">
        <v>2</v>
      </c>
      <c r="C661" t="s">
        <v>353</v>
      </c>
      <c r="D661" t="s">
        <v>24</v>
      </c>
      <c r="E661" t="s">
        <v>1162</v>
      </c>
      <c r="F661" t="s">
        <v>466</v>
      </c>
      <c r="G661" t="s">
        <v>2271</v>
      </c>
      <c r="H661" s="20">
        <v>46250</v>
      </c>
      <c r="I661">
        <v>1800</v>
      </c>
      <c r="J661">
        <v>50</v>
      </c>
      <c r="K661">
        <v>40</v>
      </c>
      <c r="L661">
        <v>32</v>
      </c>
      <c r="P661" t="s">
        <v>2272</v>
      </c>
      <c r="R661" t="s">
        <v>2273</v>
      </c>
      <c r="S661">
        <v>4</v>
      </c>
      <c r="T661" t="s">
        <v>2274</v>
      </c>
      <c r="U661" t="s">
        <v>2275</v>
      </c>
    </row>
    <row r="662" spans="1:21" x14ac:dyDescent="0.25">
      <c r="A662" t="s">
        <v>3006</v>
      </c>
      <c r="B662" t="s">
        <v>2</v>
      </c>
      <c r="C662" t="s">
        <v>353</v>
      </c>
      <c r="D662" t="s">
        <v>24</v>
      </c>
      <c r="E662" t="s">
        <v>1163</v>
      </c>
      <c r="F662" t="s">
        <v>1164</v>
      </c>
      <c r="G662" t="s">
        <v>2271</v>
      </c>
      <c r="H662" s="20">
        <v>46250</v>
      </c>
      <c r="I662">
        <v>1800</v>
      </c>
      <c r="J662">
        <v>50</v>
      </c>
      <c r="K662">
        <v>40</v>
      </c>
      <c r="L662">
        <v>32</v>
      </c>
      <c r="P662" t="s">
        <v>2272</v>
      </c>
      <c r="R662" t="s">
        <v>2273</v>
      </c>
      <c r="S662">
        <v>4</v>
      </c>
      <c r="T662" t="s">
        <v>2274</v>
      </c>
      <c r="U662" t="s">
        <v>2275</v>
      </c>
    </row>
    <row r="663" spans="1:21" x14ac:dyDescent="0.25">
      <c r="A663" t="s">
        <v>3007</v>
      </c>
      <c r="B663" t="s">
        <v>2</v>
      </c>
      <c r="C663" t="s">
        <v>353</v>
      </c>
      <c r="D663" t="s">
        <v>24</v>
      </c>
      <c r="E663" t="s">
        <v>1165</v>
      </c>
      <c r="F663" t="s">
        <v>744</v>
      </c>
      <c r="G663" t="s">
        <v>2271</v>
      </c>
      <c r="H663" s="20">
        <v>46250</v>
      </c>
      <c r="I663">
        <v>1800</v>
      </c>
      <c r="J663">
        <v>50</v>
      </c>
      <c r="K663">
        <v>40</v>
      </c>
      <c r="L663">
        <v>32</v>
      </c>
      <c r="P663" t="s">
        <v>2272</v>
      </c>
      <c r="R663" t="s">
        <v>2273</v>
      </c>
      <c r="S663">
        <v>4</v>
      </c>
      <c r="T663" t="s">
        <v>2274</v>
      </c>
      <c r="U663" t="s">
        <v>2275</v>
      </c>
    </row>
    <row r="664" spans="1:21" x14ac:dyDescent="0.25">
      <c r="A664" t="s">
        <v>3008</v>
      </c>
      <c r="B664" t="s">
        <v>2</v>
      </c>
      <c r="C664" t="s">
        <v>353</v>
      </c>
      <c r="D664" t="s">
        <v>24</v>
      </c>
      <c r="E664" t="s">
        <v>1166</v>
      </c>
      <c r="F664" t="s">
        <v>1167</v>
      </c>
      <c r="G664" t="s">
        <v>2271</v>
      </c>
      <c r="H664" s="20">
        <v>46250</v>
      </c>
      <c r="I664">
        <v>1800</v>
      </c>
      <c r="J664">
        <v>50</v>
      </c>
      <c r="K664">
        <v>40</v>
      </c>
      <c r="L664">
        <v>32</v>
      </c>
      <c r="P664" t="s">
        <v>2272</v>
      </c>
      <c r="R664" t="s">
        <v>2273</v>
      </c>
      <c r="S664">
        <v>4</v>
      </c>
      <c r="T664" t="s">
        <v>2274</v>
      </c>
      <c r="U664" t="s">
        <v>2275</v>
      </c>
    </row>
    <row r="665" spans="1:21" x14ac:dyDescent="0.25">
      <c r="A665" t="s">
        <v>3009</v>
      </c>
      <c r="B665" t="s">
        <v>2</v>
      </c>
      <c r="C665" t="s">
        <v>353</v>
      </c>
      <c r="D665" t="s">
        <v>21</v>
      </c>
      <c r="E665" t="s">
        <v>1168</v>
      </c>
      <c r="F665" t="s">
        <v>746</v>
      </c>
      <c r="G665" t="s">
        <v>2271</v>
      </c>
      <c r="H665" s="20">
        <v>46254</v>
      </c>
      <c r="I665">
        <v>1500</v>
      </c>
      <c r="J665">
        <v>48</v>
      </c>
      <c r="K665">
        <v>39</v>
      </c>
      <c r="L665">
        <v>28</v>
      </c>
      <c r="M665">
        <v>25</v>
      </c>
      <c r="P665" t="s">
        <v>2272</v>
      </c>
      <c r="R665" t="s">
        <v>2273</v>
      </c>
      <c r="S665">
        <v>11</v>
      </c>
      <c r="T665" t="s">
        <v>3010</v>
      </c>
      <c r="U665" t="s">
        <v>3011</v>
      </c>
    </row>
    <row r="666" spans="1:21" x14ac:dyDescent="0.25">
      <c r="A666" t="s">
        <v>3012</v>
      </c>
      <c r="B666" t="s">
        <v>2</v>
      </c>
      <c r="C666" t="s">
        <v>353</v>
      </c>
      <c r="D666" t="s">
        <v>21</v>
      </c>
      <c r="E666" t="s">
        <v>1169</v>
      </c>
      <c r="F666" t="s">
        <v>212</v>
      </c>
      <c r="G666" t="s">
        <v>2271</v>
      </c>
      <c r="H666" s="20">
        <v>46254</v>
      </c>
      <c r="I666">
        <v>1500</v>
      </c>
      <c r="J666">
        <v>48</v>
      </c>
      <c r="K666">
        <v>39</v>
      </c>
      <c r="L666">
        <v>28</v>
      </c>
      <c r="M666">
        <v>25</v>
      </c>
      <c r="P666" t="s">
        <v>2272</v>
      </c>
      <c r="R666" t="s">
        <v>2273</v>
      </c>
      <c r="S666">
        <v>11</v>
      </c>
      <c r="T666" t="s">
        <v>3010</v>
      </c>
      <c r="U666" t="s">
        <v>3011</v>
      </c>
    </row>
    <row r="667" spans="1:21" x14ac:dyDescent="0.25">
      <c r="A667" t="s">
        <v>3013</v>
      </c>
      <c r="B667" t="s">
        <v>2</v>
      </c>
      <c r="C667" t="s">
        <v>353</v>
      </c>
      <c r="D667" t="s">
        <v>21</v>
      </c>
      <c r="E667" t="s">
        <v>1170</v>
      </c>
      <c r="F667" t="s">
        <v>303</v>
      </c>
      <c r="G667" t="s">
        <v>2271</v>
      </c>
      <c r="H667" s="20">
        <v>46254</v>
      </c>
      <c r="I667">
        <v>1500</v>
      </c>
      <c r="J667">
        <v>48</v>
      </c>
      <c r="K667">
        <v>39</v>
      </c>
      <c r="L667">
        <v>28</v>
      </c>
      <c r="M667">
        <v>25</v>
      </c>
      <c r="P667" t="s">
        <v>2272</v>
      </c>
      <c r="R667" t="s">
        <v>2273</v>
      </c>
      <c r="S667">
        <v>11</v>
      </c>
      <c r="T667" t="s">
        <v>3010</v>
      </c>
      <c r="U667" t="s">
        <v>3011</v>
      </c>
    </row>
    <row r="668" spans="1:21" x14ac:dyDescent="0.25">
      <c r="A668" t="s">
        <v>3014</v>
      </c>
      <c r="B668" t="s">
        <v>2</v>
      </c>
      <c r="C668" t="s">
        <v>353</v>
      </c>
      <c r="D668" t="s">
        <v>26</v>
      </c>
      <c r="E668" t="s">
        <v>1171</v>
      </c>
      <c r="F668" t="s">
        <v>451</v>
      </c>
      <c r="H668" s="20"/>
      <c r="P668" t="s">
        <v>2291</v>
      </c>
      <c r="R668" t="s">
        <v>2292</v>
      </c>
    </row>
    <row r="669" spans="1:21" x14ac:dyDescent="0.25">
      <c r="A669" t="s">
        <v>3015</v>
      </c>
      <c r="B669" t="s">
        <v>2</v>
      </c>
      <c r="C669" t="s">
        <v>353</v>
      </c>
      <c r="D669" t="s">
        <v>26</v>
      </c>
      <c r="E669" t="s">
        <v>1172</v>
      </c>
      <c r="F669" t="s">
        <v>726</v>
      </c>
      <c r="H669" s="20"/>
      <c r="P669" t="s">
        <v>2291</v>
      </c>
      <c r="R669" t="s">
        <v>2292</v>
      </c>
    </row>
    <row r="670" spans="1:21" x14ac:dyDescent="0.25">
      <c r="A670" t="s">
        <v>3016</v>
      </c>
      <c r="B670" t="s">
        <v>2</v>
      </c>
      <c r="C670" t="s">
        <v>353</v>
      </c>
      <c r="D670" t="s">
        <v>26</v>
      </c>
      <c r="E670" t="s">
        <v>1173</v>
      </c>
      <c r="F670" t="s">
        <v>1174</v>
      </c>
      <c r="H670" s="20"/>
      <c r="P670" t="s">
        <v>2291</v>
      </c>
      <c r="R670" t="s">
        <v>2292</v>
      </c>
    </row>
    <row r="671" spans="1:21" x14ac:dyDescent="0.25">
      <c r="A671" t="s">
        <v>3017</v>
      </c>
      <c r="B671" t="s">
        <v>2</v>
      </c>
      <c r="C671" t="s">
        <v>353</v>
      </c>
      <c r="D671" t="s">
        <v>21</v>
      </c>
      <c r="E671" t="s">
        <v>1175</v>
      </c>
      <c r="F671" t="s">
        <v>333</v>
      </c>
      <c r="G671" t="s">
        <v>2271</v>
      </c>
      <c r="H671" s="20">
        <v>46254</v>
      </c>
      <c r="I671">
        <v>1500</v>
      </c>
      <c r="J671">
        <v>48</v>
      </c>
      <c r="K671">
        <v>39</v>
      </c>
      <c r="L671">
        <v>28</v>
      </c>
      <c r="M671">
        <v>25</v>
      </c>
      <c r="P671" t="s">
        <v>2272</v>
      </c>
      <c r="R671" t="s">
        <v>2273</v>
      </c>
      <c r="S671">
        <v>11</v>
      </c>
      <c r="T671" t="s">
        <v>3010</v>
      </c>
      <c r="U671" t="s">
        <v>3011</v>
      </c>
    </row>
    <row r="672" spans="1:21" x14ac:dyDescent="0.25">
      <c r="A672" t="s">
        <v>3018</v>
      </c>
      <c r="B672" t="s">
        <v>2</v>
      </c>
      <c r="C672" t="s">
        <v>154</v>
      </c>
      <c r="D672" t="s">
        <v>24</v>
      </c>
      <c r="E672" t="s">
        <v>1177</v>
      </c>
      <c r="F672" t="s">
        <v>240</v>
      </c>
      <c r="G672" t="s">
        <v>2425</v>
      </c>
      <c r="H672" s="20">
        <v>46250</v>
      </c>
      <c r="I672">
        <v>1800</v>
      </c>
      <c r="J672">
        <v>54</v>
      </c>
      <c r="K672">
        <v>38</v>
      </c>
      <c r="L672">
        <v>28</v>
      </c>
      <c r="M672">
        <v>23</v>
      </c>
      <c r="P672" t="s">
        <v>2272</v>
      </c>
      <c r="Q672" t="s">
        <v>3019</v>
      </c>
      <c r="R672" t="s">
        <v>2472</v>
      </c>
      <c r="S672">
        <v>4</v>
      </c>
      <c r="T672" t="s">
        <v>2274</v>
      </c>
      <c r="U672" t="s">
        <v>2275</v>
      </c>
    </row>
    <row r="673" spans="1:21" x14ac:dyDescent="0.25">
      <c r="A673" t="s">
        <v>3020</v>
      </c>
      <c r="B673" t="s">
        <v>2</v>
      </c>
      <c r="C673" t="s">
        <v>154</v>
      </c>
      <c r="D673" t="s">
        <v>24</v>
      </c>
      <c r="E673" t="s">
        <v>1178</v>
      </c>
      <c r="F673" t="s">
        <v>225</v>
      </c>
      <c r="G673" t="s">
        <v>2425</v>
      </c>
      <c r="H673" s="20">
        <v>46250</v>
      </c>
      <c r="I673">
        <v>1800</v>
      </c>
      <c r="J673">
        <v>54</v>
      </c>
      <c r="K673">
        <v>38</v>
      </c>
      <c r="L673">
        <v>28</v>
      </c>
      <c r="M673">
        <v>23</v>
      </c>
      <c r="P673" t="s">
        <v>2272</v>
      </c>
      <c r="Q673" t="s">
        <v>3019</v>
      </c>
      <c r="R673" t="s">
        <v>2472</v>
      </c>
      <c r="S673">
        <v>4</v>
      </c>
      <c r="T673" t="s">
        <v>2274</v>
      </c>
      <c r="U673" t="s">
        <v>2275</v>
      </c>
    </row>
    <row r="674" spans="1:21" x14ac:dyDescent="0.25">
      <c r="A674" t="s">
        <v>3021</v>
      </c>
      <c r="B674" t="s">
        <v>2</v>
      </c>
      <c r="C674" t="s">
        <v>154</v>
      </c>
      <c r="D674" t="s">
        <v>24</v>
      </c>
      <c r="E674" t="s">
        <v>1179</v>
      </c>
      <c r="F674" t="s">
        <v>742</v>
      </c>
      <c r="G674" t="s">
        <v>2425</v>
      </c>
      <c r="H674" s="20">
        <v>46250</v>
      </c>
      <c r="I674">
        <v>1800</v>
      </c>
      <c r="J674">
        <v>54</v>
      </c>
      <c r="K674">
        <v>38</v>
      </c>
      <c r="L674">
        <v>28</v>
      </c>
      <c r="M674">
        <v>23</v>
      </c>
      <c r="P674" t="s">
        <v>2272</v>
      </c>
      <c r="Q674" t="s">
        <v>3019</v>
      </c>
      <c r="R674" t="s">
        <v>2472</v>
      </c>
      <c r="S674">
        <v>4</v>
      </c>
      <c r="T674" t="s">
        <v>2274</v>
      </c>
      <c r="U674" t="s">
        <v>2275</v>
      </c>
    </row>
    <row r="675" spans="1:21" x14ac:dyDescent="0.25">
      <c r="A675" t="s">
        <v>3022</v>
      </c>
      <c r="B675" t="s">
        <v>2</v>
      </c>
      <c r="C675" t="s">
        <v>154</v>
      </c>
      <c r="D675" t="s">
        <v>24</v>
      </c>
      <c r="E675" t="s">
        <v>1180</v>
      </c>
      <c r="F675" t="s">
        <v>352</v>
      </c>
      <c r="G675" t="s">
        <v>2425</v>
      </c>
      <c r="H675" s="20">
        <v>46250</v>
      </c>
      <c r="I675">
        <v>1800</v>
      </c>
      <c r="J675">
        <v>54</v>
      </c>
      <c r="K675">
        <v>38</v>
      </c>
      <c r="L675">
        <v>28</v>
      </c>
      <c r="M675">
        <v>23</v>
      </c>
      <c r="P675" t="s">
        <v>2272</v>
      </c>
      <c r="Q675" t="s">
        <v>3019</v>
      </c>
      <c r="R675" t="s">
        <v>2472</v>
      </c>
      <c r="S675">
        <v>4</v>
      </c>
      <c r="T675" t="s">
        <v>2274</v>
      </c>
      <c r="U675" t="s">
        <v>2275</v>
      </c>
    </row>
    <row r="676" spans="1:21" x14ac:dyDescent="0.25">
      <c r="A676" t="s">
        <v>3023</v>
      </c>
      <c r="B676" t="s">
        <v>2</v>
      </c>
      <c r="C676" t="s">
        <v>154</v>
      </c>
      <c r="D676" t="s">
        <v>26</v>
      </c>
      <c r="E676" t="s">
        <v>1181</v>
      </c>
      <c r="F676" t="s">
        <v>716</v>
      </c>
      <c r="H676" s="20"/>
      <c r="P676" t="s">
        <v>2291</v>
      </c>
      <c r="R676" t="s">
        <v>2292</v>
      </c>
    </row>
    <row r="677" spans="1:21" x14ac:dyDescent="0.25">
      <c r="A677" t="s">
        <v>3024</v>
      </c>
      <c r="B677" t="s">
        <v>2</v>
      </c>
      <c r="C677" t="s">
        <v>154</v>
      </c>
      <c r="D677" t="s">
        <v>21</v>
      </c>
      <c r="E677" t="s">
        <v>1182</v>
      </c>
      <c r="F677" t="s">
        <v>163</v>
      </c>
      <c r="G677" t="s">
        <v>2271</v>
      </c>
      <c r="H677" s="20">
        <v>46254</v>
      </c>
      <c r="I677">
        <v>1500</v>
      </c>
      <c r="J677">
        <v>61</v>
      </c>
      <c r="K677">
        <v>46</v>
      </c>
      <c r="L677">
        <v>25</v>
      </c>
      <c r="M677">
        <v>13</v>
      </c>
      <c r="P677" t="s">
        <v>2272</v>
      </c>
      <c r="R677" t="s">
        <v>2273</v>
      </c>
      <c r="S677">
        <v>5</v>
      </c>
      <c r="T677" t="s">
        <v>2319</v>
      </c>
      <c r="U677" t="s">
        <v>2320</v>
      </c>
    </row>
    <row r="678" spans="1:21" x14ac:dyDescent="0.25">
      <c r="A678" t="s">
        <v>3025</v>
      </c>
      <c r="B678" t="s">
        <v>2</v>
      </c>
      <c r="C678" t="s">
        <v>4</v>
      </c>
      <c r="D678" t="s">
        <v>24</v>
      </c>
      <c r="E678" t="s">
        <v>1184</v>
      </c>
      <c r="F678" t="s">
        <v>1185</v>
      </c>
      <c r="G678" t="s">
        <v>2425</v>
      </c>
      <c r="H678" s="20">
        <v>46250</v>
      </c>
      <c r="I678">
        <v>1800</v>
      </c>
      <c r="J678">
        <v>69</v>
      </c>
      <c r="K678">
        <v>55</v>
      </c>
      <c r="L678">
        <v>26</v>
      </c>
      <c r="M678">
        <v>18</v>
      </c>
      <c r="P678" t="s">
        <v>2272</v>
      </c>
      <c r="Q678" t="s">
        <v>3026</v>
      </c>
      <c r="R678" t="s">
        <v>2423</v>
      </c>
      <c r="S678">
        <v>4</v>
      </c>
      <c r="T678" t="s">
        <v>2274</v>
      </c>
      <c r="U678" t="s">
        <v>2275</v>
      </c>
    </row>
    <row r="679" spans="1:21" x14ac:dyDescent="0.25">
      <c r="A679" t="s">
        <v>3027</v>
      </c>
      <c r="B679" t="s">
        <v>2</v>
      </c>
      <c r="C679" t="s">
        <v>4</v>
      </c>
      <c r="D679" t="s">
        <v>24</v>
      </c>
      <c r="E679" t="s">
        <v>1186</v>
      </c>
      <c r="F679" t="s">
        <v>395</v>
      </c>
      <c r="G679" t="s">
        <v>2271</v>
      </c>
      <c r="H679" s="20">
        <v>46250</v>
      </c>
      <c r="I679">
        <v>1800</v>
      </c>
      <c r="J679">
        <v>71</v>
      </c>
      <c r="K679">
        <v>57</v>
      </c>
      <c r="L679">
        <v>43</v>
      </c>
      <c r="M679">
        <v>36</v>
      </c>
      <c r="P679" t="s">
        <v>2272</v>
      </c>
      <c r="Q679" t="s">
        <v>3028</v>
      </c>
      <c r="R679" t="s">
        <v>2423</v>
      </c>
      <c r="S679">
        <v>4</v>
      </c>
      <c r="T679" t="s">
        <v>2274</v>
      </c>
      <c r="U679" t="s">
        <v>2275</v>
      </c>
    </row>
    <row r="680" spans="1:21" x14ac:dyDescent="0.25">
      <c r="A680" t="s">
        <v>3029</v>
      </c>
      <c r="B680" t="s">
        <v>2</v>
      </c>
      <c r="C680" t="s">
        <v>4</v>
      </c>
      <c r="D680" t="s">
        <v>24</v>
      </c>
      <c r="E680" t="s">
        <v>1187</v>
      </c>
      <c r="F680" t="s">
        <v>157</v>
      </c>
      <c r="G680" t="s">
        <v>2425</v>
      </c>
      <c r="H680" s="20">
        <v>46250</v>
      </c>
      <c r="I680">
        <v>1800</v>
      </c>
      <c r="J680">
        <v>69</v>
      </c>
      <c r="K680">
        <v>55</v>
      </c>
      <c r="L680">
        <v>26</v>
      </c>
      <c r="M680">
        <v>18</v>
      </c>
      <c r="P680" t="s">
        <v>2272</v>
      </c>
      <c r="Q680" t="s">
        <v>3026</v>
      </c>
      <c r="R680" t="s">
        <v>2423</v>
      </c>
      <c r="S680">
        <v>4</v>
      </c>
      <c r="T680" t="s">
        <v>2274</v>
      </c>
      <c r="U680" t="s">
        <v>2275</v>
      </c>
    </row>
    <row r="681" spans="1:21" x14ac:dyDescent="0.25">
      <c r="A681" t="s">
        <v>3030</v>
      </c>
      <c r="B681" t="s">
        <v>2</v>
      </c>
      <c r="C681" t="s">
        <v>4</v>
      </c>
      <c r="D681" t="s">
        <v>24</v>
      </c>
      <c r="E681" t="s">
        <v>1188</v>
      </c>
      <c r="F681" t="s">
        <v>252</v>
      </c>
      <c r="G681" t="s">
        <v>2425</v>
      </c>
      <c r="H681" s="20">
        <v>46250</v>
      </c>
      <c r="I681">
        <v>1800</v>
      </c>
      <c r="J681">
        <v>69</v>
      </c>
      <c r="K681">
        <v>55</v>
      </c>
      <c r="L681">
        <v>26</v>
      </c>
      <c r="M681">
        <v>18</v>
      </c>
      <c r="P681" t="s">
        <v>2272</v>
      </c>
      <c r="Q681" t="s">
        <v>3026</v>
      </c>
      <c r="R681" t="s">
        <v>2423</v>
      </c>
      <c r="S681">
        <v>4</v>
      </c>
      <c r="T681" t="s">
        <v>2274</v>
      </c>
      <c r="U681" t="s">
        <v>2275</v>
      </c>
    </row>
    <row r="682" spans="1:21" x14ac:dyDescent="0.25">
      <c r="A682" t="s">
        <v>3031</v>
      </c>
      <c r="B682" t="s">
        <v>2</v>
      </c>
      <c r="C682" t="s">
        <v>4</v>
      </c>
      <c r="D682" t="s">
        <v>24</v>
      </c>
      <c r="E682" t="s">
        <v>1189</v>
      </c>
      <c r="F682" t="s">
        <v>633</v>
      </c>
      <c r="G682" t="s">
        <v>2425</v>
      </c>
      <c r="H682" s="20">
        <v>46250</v>
      </c>
      <c r="I682">
        <v>1800</v>
      </c>
      <c r="J682">
        <v>69</v>
      </c>
      <c r="K682">
        <v>55</v>
      </c>
      <c r="L682">
        <v>26</v>
      </c>
      <c r="M682">
        <v>18</v>
      </c>
      <c r="P682" t="s">
        <v>2272</v>
      </c>
      <c r="Q682" t="s">
        <v>3026</v>
      </c>
      <c r="R682" t="s">
        <v>2423</v>
      </c>
      <c r="S682">
        <v>4</v>
      </c>
      <c r="T682" t="s">
        <v>2274</v>
      </c>
      <c r="U682" t="s">
        <v>2275</v>
      </c>
    </row>
    <row r="683" spans="1:21" x14ac:dyDescent="0.25">
      <c r="A683" t="s">
        <v>3032</v>
      </c>
      <c r="B683" t="s">
        <v>2</v>
      </c>
      <c r="C683" t="s">
        <v>4</v>
      </c>
      <c r="D683" t="s">
        <v>24</v>
      </c>
      <c r="E683" t="s">
        <v>1190</v>
      </c>
      <c r="F683" t="s">
        <v>1191</v>
      </c>
      <c r="G683" t="s">
        <v>2271</v>
      </c>
      <c r="H683" s="20">
        <v>46250</v>
      </c>
      <c r="I683">
        <v>1800</v>
      </c>
      <c r="J683">
        <v>71</v>
      </c>
      <c r="K683">
        <v>57</v>
      </c>
      <c r="L683">
        <v>43</v>
      </c>
      <c r="M683">
        <v>36</v>
      </c>
      <c r="P683" t="s">
        <v>3033</v>
      </c>
      <c r="Q683" t="s">
        <v>3028</v>
      </c>
      <c r="R683" t="s">
        <v>3034</v>
      </c>
      <c r="S683">
        <v>4</v>
      </c>
      <c r="T683" t="s">
        <v>2274</v>
      </c>
      <c r="U683" t="s">
        <v>2275</v>
      </c>
    </row>
    <row r="684" spans="1:21" x14ac:dyDescent="0.25">
      <c r="A684" t="s">
        <v>3035</v>
      </c>
      <c r="B684" t="s">
        <v>2</v>
      </c>
      <c r="C684" t="s">
        <v>4</v>
      </c>
      <c r="D684" t="s">
        <v>24</v>
      </c>
      <c r="E684" t="s">
        <v>1192</v>
      </c>
      <c r="F684" t="s">
        <v>347</v>
      </c>
      <c r="G684" t="s">
        <v>2425</v>
      </c>
      <c r="H684" s="20">
        <v>46250</v>
      </c>
      <c r="I684">
        <v>1800</v>
      </c>
      <c r="J684">
        <v>69</v>
      </c>
      <c r="K684">
        <v>55</v>
      </c>
      <c r="L684">
        <v>26</v>
      </c>
      <c r="M684">
        <v>18</v>
      </c>
      <c r="P684" t="s">
        <v>2272</v>
      </c>
      <c r="Q684" t="s">
        <v>3026</v>
      </c>
      <c r="R684" t="s">
        <v>2423</v>
      </c>
      <c r="S684">
        <v>4</v>
      </c>
      <c r="T684" t="s">
        <v>2274</v>
      </c>
      <c r="U684" t="s">
        <v>2275</v>
      </c>
    </row>
    <row r="685" spans="1:21" x14ac:dyDescent="0.25">
      <c r="A685" t="s">
        <v>3036</v>
      </c>
      <c r="B685" t="s">
        <v>2</v>
      </c>
      <c r="C685" t="s">
        <v>4</v>
      </c>
      <c r="D685" t="s">
        <v>24</v>
      </c>
      <c r="E685" t="s">
        <v>1193</v>
      </c>
      <c r="F685" t="s">
        <v>466</v>
      </c>
      <c r="G685" t="s">
        <v>2425</v>
      </c>
      <c r="H685" s="20">
        <v>46250</v>
      </c>
      <c r="I685">
        <v>1800</v>
      </c>
      <c r="J685">
        <v>69</v>
      </c>
      <c r="K685">
        <v>55</v>
      </c>
      <c r="L685">
        <v>26</v>
      </c>
      <c r="M685">
        <v>18</v>
      </c>
      <c r="P685" t="s">
        <v>2272</v>
      </c>
      <c r="Q685" t="s">
        <v>3026</v>
      </c>
      <c r="R685" t="s">
        <v>2423</v>
      </c>
      <c r="S685">
        <v>4</v>
      </c>
      <c r="T685" t="s">
        <v>2274</v>
      </c>
      <c r="U685" t="s">
        <v>2275</v>
      </c>
    </row>
    <row r="686" spans="1:21" x14ac:dyDescent="0.25">
      <c r="A686" t="s">
        <v>3037</v>
      </c>
      <c r="B686" t="s">
        <v>2</v>
      </c>
      <c r="C686" t="s">
        <v>4</v>
      </c>
      <c r="D686" t="s">
        <v>24</v>
      </c>
      <c r="E686" t="s">
        <v>1194</v>
      </c>
      <c r="F686" t="s">
        <v>349</v>
      </c>
      <c r="G686" t="s">
        <v>2425</v>
      </c>
      <c r="H686" s="20">
        <v>46250</v>
      </c>
      <c r="I686">
        <v>1800</v>
      </c>
      <c r="J686">
        <v>69</v>
      </c>
      <c r="K686">
        <v>55</v>
      </c>
      <c r="L686">
        <v>26</v>
      </c>
      <c r="M686">
        <v>18</v>
      </c>
      <c r="P686" t="s">
        <v>2272</v>
      </c>
      <c r="Q686" t="s">
        <v>3026</v>
      </c>
      <c r="R686" t="s">
        <v>2423</v>
      </c>
      <c r="S686">
        <v>4</v>
      </c>
      <c r="T686" t="s">
        <v>2274</v>
      </c>
      <c r="U686" t="s">
        <v>2275</v>
      </c>
    </row>
    <row r="687" spans="1:21" x14ac:dyDescent="0.25">
      <c r="A687" t="s">
        <v>3038</v>
      </c>
      <c r="B687" t="s">
        <v>2</v>
      </c>
      <c r="C687" t="s">
        <v>4</v>
      </c>
      <c r="D687" t="s">
        <v>24</v>
      </c>
      <c r="E687" t="s">
        <v>1195</v>
      </c>
      <c r="F687" t="s">
        <v>974</v>
      </c>
      <c r="G687" t="s">
        <v>2425</v>
      </c>
      <c r="H687" s="20">
        <v>46250</v>
      </c>
      <c r="I687">
        <v>1800</v>
      </c>
      <c r="J687">
        <v>69</v>
      </c>
      <c r="K687">
        <v>55</v>
      </c>
      <c r="L687">
        <v>26</v>
      </c>
      <c r="M687">
        <v>18</v>
      </c>
      <c r="P687" t="s">
        <v>2272</v>
      </c>
      <c r="Q687" t="s">
        <v>3026</v>
      </c>
      <c r="R687" t="s">
        <v>2423</v>
      </c>
      <c r="S687">
        <v>4</v>
      </c>
      <c r="T687" t="s">
        <v>2274</v>
      </c>
      <c r="U687" t="s">
        <v>2275</v>
      </c>
    </row>
    <row r="688" spans="1:21" x14ac:dyDescent="0.25">
      <c r="A688" t="s">
        <v>3039</v>
      </c>
      <c r="B688" t="s">
        <v>2</v>
      </c>
      <c r="C688" t="s">
        <v>4</v>
      </c>
      <c r="D688" t="s">
        <v>21</v>
      </c>
      <c r="E688" t="s">
        <v>1196</v>
      </c>
      <c r="F688" t="s">
        <v>1197</v>
      </c>
      <c r="G688" t="s">
        <v>2444</v>
      </c>
      <c r="H688" s="20">
        <v>46254</v>
      </c>
      <c r="I688">
        <v>1500</v>
      </c>
      <c r="J688">
        <v>62</v>
      </c>
      <c r="K688">
        <v>45</v>
      </c>
      <c r="L688">
        <v>25</v>
      </c>
      <c r="M688">
        <v>22</v>
      </c>
      <c r="N688">
        <v>20</v>
      </c>
      <c r="P688" t="s">
        <v>2272</v>
      </c>
      <c r="Q688" t="s">
        <v>3040</v>
      </c>
      <c r="R688" t="s">
        <v>2446</v>
      </c>
      <c r="S688">
        <v>10</v>
      </c>
      <c r="T688" t="s">
        <v>3041</v>
      </c>
      <c r="U688" t="s">
        <v>3042</v>
      </c>
    </row>
    <row r="689" spans="1:21" x14ac:dyDescent="0.25">
      <c r="A689" t="s">
        <v>3043</v>
      </c>
      <c r="B689" t="s">
        <v>2</v>
      </c>
      <c r="C689" t="s">
        <v>4</v>
      </c>
      <c r="D689" t="s">
        <v>21</v>
      </c>
      <c r="E689" t="s">
        <v>1198</v>
      </c>
      <c r="F689" t="s">
        <v>247</v>
      </c>
      <c r="G689" t="s">
        <v>2444</v>
      </c>
      <c r="H689" s="20">
        <v>46254</v>
      </c>
      <c r="I689">
        <v>1500</v>
      </c>
      <c r="J689">
        <v>62</v>
      </c>
      <c r="K689">
        <v>45</v>
      </c>
      <c r="L689">
        <v>25</v>
      </c>
      <c r="M689">
        <v>22</v>
      </c>
      <c r="N689">
        <v>20</v>
      </c>
      <c r="P689" t="s">
        <v>2272</v>
      </c>
      <c r="Q689" t="s">
        <v>3044</v>
      </c>
      <c r="R689" t="s">
        <v>2446</v>
      </c>
      <c r="S689">
        <v>8</v>
      </c>
      <c r="T689" t="s">
        <v>2660</v>
      </c>
      <c r="U689" t="s">
        <v>2661</v>
      </c>
    </row>
    <row r="690" spans="1:21" x14ac:dyDescent="0.25">
      <c r="A690" t="s">
        <v>3045</v>
      </c>
      <c r="B690" t="s">
        <v>2</v>
      </c>
      <c r="C690" t="s">
        <v>4</v>
      </c>
      <c r="D690" t="s">
        <v>21</v>
      </c>
      <c r="E690" t="s">
        <v>1199</v>
      </c>
      <c r="F690" t="s">
        <v>1030</v>
      </c>
      <c r="G690" t="s">
        <v>2271</v>
      </c>
      <c r="H690" s="20">
        <v>46254</v>
      </c>
      <c r="I690">
        <v>1500</v>
      </c>
      <c r="J690">
        <v>62</v>
      </c>
      <c r="K690">
        <v>45</v>
      </c>
      <c r="L690">
        <v>23</v>
      </c>
      <c r="M690">
        <v>18</v>
      </c>
      <c r="N690">
        <v>14</v>
      </c>
      <c r="P690" t="s">
        <v>2272</v>
      </c>
      <c r="Q690" t="s">
        <v>3046</v>
      </c>
      <c r="R690" t="s">
        <v>2446</v>
      </c>
      <c r="S690">
        <v>8</v>
      </c>
      <c r="T690" t="s">
        <v>2660</v>
      </c>
      <c r="U690" t="s">
        <v>2661</v>
      </c>
    </row>
    <row r="691" spans="1:21" x14ac:dyDescent="0.25">
      <c r="A691" t="s">
        <v>3047</v>
      </c>
      <c r="B691" t="s">
        <v>2</v>
      </c>
      <c r="C691" t="s">
        <v>4</v>
      </c>
      <c r="D691" t="s">
        <v>21</v>
      </c>
      <c r="E691" t="s">
        <v>1200</v>
      </c>
      <c r="F691" t="s">
        <v>376</v>
      </c>
      <c r="G691" t="s">
        <v>2271</v>
      </c>
      <c r="H691" s="20">
        <v>46254</v>
      </c>
      <c r="I691">
        <v>1500</v>
      </c>
      <c r="J691">
        <v>62</v>
      </c>
      <c r="K691">
        <v>45</v>
      </c>
      <c r="L691">
        <v>23</v>
      </c>
      <c r="M691">
        <v>18</v>
      </c>
      <c r="N691">
        <v>14</v>
      </c>
      <c r="P691" t="s">
        <v>2272</v>
      </c>
      <c r="R691" t="s">
        <v>2273</v>
      </c>
      <c r="S691">
        <v>5</v>
      </c>
      <c r="T691" t="s">
        <v>2319</v>
      </c>
      <c r="U691" t="s">
        <v>2320</v>
      </c>
    </row>
    <row r="692" spans="1:21" x14ac:dyDescent="0.25">
      <c r="A692" t="s">
        <v>3048</v>
      </c>
      <c r="B692" t="s">
        <v>2</v>
      </c>
      <c r="C692" t="s">
        <v>4</v>
      </c>
      <c r="D692" t="s">
        <v>21</v>
      </c>
      <c r="E692" t="s">
        <v>1201</v>
      </c>
      <c r="F692" t="s">
        <v>801</v>
      </c>
      <c r="G692" t="s">
        <v>2271</v>
      </c>
      <c r="H692" s="20">
        <v>46254</v>
      </c>
      <c r="I692">
        <v>1500</v>
      </c>
      <c r="J692">
        <v>62</v>
      </c>
      <c r="K692">
        <v>45</v>
      </c>
      <c r="L692">
        <v>23</v>
      </c>
      <c r="M692">
        <v>18</v>
      </c>
      <c r="N692">
        <v>14</v>
      </c>
      <c r="P692" t="s">
        <v>2272</v>
      </c>
      <c r="R692" t="s">
        <v>2273</v>
      </c>
      <c r="S692">
        <v>5</v>
      </c>
      <c r="T692" t="s">
        <v>2319</v>
      </c>
      <c r="U692" t="s">
        <v>2320</v>
      </c>
    </row>
    <row r="693" spans="1:21" x14ac:dyDescent="0.25">
      <c r="A693" t="s">
        <v>3049</v>
      </c>
      <c r="B693" t="s">
        <v>2</v>
      </c>
      <c r="C693" t="s">
        <v>4</v>
      </c>
      <c r="D693" t="s">
        <v>21</v>
      </c>
      <c r="E693" t="s">
        <v>1202</v>
      </c>
      <c r="F693" t="s">
        <v>333</v>
      </c>
      <c r="G693" t="s">
        <v>2271</v>
      </c>
      <c r="H693" s="20">
        <v>46254</v>
      </c>
      <c r="I693">
        <v>1500</v>
      </c>
      <c r="J693">
        <v>62</v>
      </c>
      <c r="K693">
        <v>45</v>
      </c>
      <c r="L693">
        <v>23</v>
      </c>
      <c r="M693">
        <v>18</v>
      </c>
      <c r="N693">
        <v>14</v>
      </c>
      <c r="P693" t="s">
        <v>2272</v>
      </c>
      <c r="R693" t="s">
        <v>2273</v>
      </c>
      <c r="S693">
        <v>5</v>
      </c>
      <c r="T693" t="s">
        <v>2319</v>
      </c>
      <c r="U693" t="s">
        <v>2320</v>
      </c>
    </row>
    <row r="694" spans="1:21" x14ac:dyDescent="0.25">
      <c r="A694" t="s">
        <v>3050</v>
      </c>
      <c r="B694" t="s">
        <v>2</v>
      </c>
      <c r="C694" t="s">
        <v>4</v>
      </c>
      <c r="D694" t="s">
        <v>21</v>
      </c>
      <c r="E694" t="s">
        <v>1203</v>
      </c>
      <c r="F694" t="s">
        <v>188</v>
      </c>
      <c r="G694" t="s">
        <v>2271</v>
      </c>
      <c r="H694" s="20">
        <v>46254</v>
      </c>
      <c r="I694">
        <v>1500</v>
      </c>
      <c r="J694">
        <v>62</v>
      </c>
      <c r="K694">
        <v>45</v>
      </c>
      <c r="L694">
        <v>23</v>
      </c>
      <c r="M694">
        <v>18</v>
      </c>
      <c r="N694">
        <v>14</v>
      </c>
      <c r="P694" t="s">
        <v>2272</v>
      </c>
      <c r="R694" t="s">
        <v>2273</v>
      </c>
      <c r="S694">
        <v>5</v>
      </c>
      <c r="T694" t="s">
        <v>2319</v>
      </c>
      <c r="U694" t="s">
        <v>2320</v>
      </c>
    </row>
    <row r="695" spans="1:21" x14ac:dyDescent="0.25">
      <c r="A695" t="s">
        <v>3051</v>
      </c>
      <c r="B695" t="s">
        <v>2</v>
      </c>
      <c r="C695" t="s">
        <v>4</v>
      </c>
      <c r="D695" t="s">
        <v>21</v>
      </c>
      <c r="E695" t="s">
        <v>1204</v>
      </c>
      <c r="F695" t="s">
        <v>102</v>
      </c>
      <c r="G695" t="s">
        <v>2271</v>
      </c>
      <c r="H695" s="20">
        <v>46254</v>
      </c>
      <c r="I695">
        <v>1500</v>
      </c>
      <c r="J695">
        <v>62</v>
      </c>
      <c r="K695">
        <v>45</v>
      </c>
      <c r="L695">
        <v>23</v>
      </c>
      <c r="M695">
        <v>18</v>
      </c>
      <c r="N695">
        <v>14</v>
      </c>
      <c r="P695" t="s">
        <v>2272</v>
      </c>
      <c r="R695" t="s">
        <v>2273</v>
      </c>
      <c r="S695">
        <v>5</v>
      </c>
      <c r="T695" t="s">
        <v>2319</v>
      </c>
      <c r="U695" t="s">
        <v>2320</v>
      </c>
    </row>
    <row r="696" spans="1:21" x14ac:dyDescent="0.25">
      <c r="A696" t="s">
        <v>3052</v>
      </c>
      <c r="B696" t="s">
        <v>2</v>
      </c>
      <c r="C696" t="s">
        <v>4</v>
      </c>
      <c r="D696" t="s">
        <v>21</v>
      </c>
      <c r="E696" t="s">
        <v>1205</v>
      </c>
      <c r="F696" t="s">
        <v>494</v>
      </c>
      <c r="G696" t="s">
        <v>2271</v>
      </c>
      <c r="H696" s="20">
        <v>46254</v>
      </c>
      <c r="I696">
        <v>1500</v>
      </c>
      <c r="J696">
        <v>62</v>
      </c>
      <c r="K696">
        <v>45</v>
      </c>
      <c r="L696">
        <v>23</v>
      </c>
      <c r="M696">
        <v>18</v>
      </c>
      <c r="N696">
        <v>14</v>
      </c>
      <c r="P696" t="s">
        <v>2272</v>
      </c>
      <c r="R696" t="s">
        <v>2273</v>
      </c>
      <c r="S696">
        <v>5</v>
      </c>
      <c r="T696" t="s">
        <v>2319</v>
      </c>
      <c r="U696" t="s">
        <v>2320</v>
      </c>
    </row>
    <row r="697" spans="1:21" x14ac:dyDescent="0.25">
      <c r="A697" t="s">
        <v>3053</v>
      </c>
      <c r="B697" t="s">
        <v>2</v>
      </c>
      <c r="C697" t="s">
        <v>4</v>
      </c>
      <c r="D697" t="s">
        <v>21</v>
      </c>
      <c r="E697" t="s">
        <v>1206</v>
      </c>
      <c r="F697" t="s">
        <v>1207</v>
      </c>
      <c r="G697" t="s">
        <v>2271</v>
      </c>
      <c r="H697" s="20">
        <v>46254</v>
      </c>
      <c r="I697">
        <v>1500</v>
      </c>
      <c r="J697">
        <v>62</v>
      </c>
      <c r="K697">
        <v>45</v>
      </c>
      <c r="L697">
        <v>23</v>
      </c>
      <c r="M697">
        <v>18</v>
      </c>
      <c r="N697">
        <v>14</v>
      </c>
      <c r="P697" t="s">
        <v>2272</v>
      </c>
      <c r="R697" t="s">
        <v>2273</v>
      </c>
      <c r="S697">
        <v>5</v>
      </c>
      <c r="T697" t="s">
        <v>2319</v>
      </c>
      <c r="U697" t="s">
        <v>2320</v>
      </c>
    </row>
    <row r="698" spans="1:21" x14ac:dyDescent="0.25">
      <c r="A698" t="s">
        <v>3054</v>
      </c>
      <c r="B698" t="s">
        <v>2</v>
      </c>
      <c r="C698" t="s">
        <v>4</v>
      </c>
      <c r="D698" t="s">
        <v>21</v>
      </c>
      <c r="E698" t="s">
        <v>1208</v>
      </c>
      <c r="F698" t="s">
        <v>352</v>
      </c>
      <c r="G698" t="s">
        <v>2271</v>
      </c>
      <c r="H698" s="20">
        <v>46254</v>
      </c>
      <c r="I698">
        <v>1500</v>
      </c>
      <c r="J698">
        <v>62</v>
      </c>
      <c r="K698">
        <v>45</v>
      </c>
      <c r="L698">
        <v>23</v>
      </c>
      <c r="M698">
        <v>18</v>
      </c>
      <c r="N698">
        <v>14</v>
      </c>
      <c r="P698" t="s">
        <v>2272</v>
      </c>
      <c r="R698" t="s">
        <v>2273</v>
      </c>
      <c r="S698">
        <v>5</v>
      </c>
      <c r="T698" t="s">
        <v>2319</v>
      </c>
      <c r="U698" t="s">
        <v>2320</v>
      </c>
    </row>
    <row r="699" spans="1:21" x14ac:dyDescent="0.25">
      <c r="A699" t="s">
        <v>3055</v>
      </c>
      <c r="B699" t="s">
        <v>2</v>
      </c>
      <c r="C699" t="s">
        <v>541</v>
      </c>
      <c r="D699" t="s">
        <v>24</v>
      </c>
      <c r="E699" t="s">
        <v>564</v>
      </c>
      <c r="F699" t="s">
        <v>260</v>
      </c>
      <c r="G699" t="s">
        <v>2425</v>
      </c>
      <c r="H699" s="20">
        <v>46250</v>
      </c>
      <c r="I699">
        <v>1800</v>
      </c>
      <c r="J699">
        <v>78</v>
      </c>
      <c r="K699">
        <v>67</v>
      </c>
      <c r="L699">
        <v>60</v>
      </c>
      <c r="M699">
        <v>56</v>
      </c>
      <c r="N699">
        <v>41</v>
      </c>
      <c r="P699" t="s">
        <v>2272</v>
      </c>
      <c r="Q699" t="s">
        <v>3056</v>
      </c>
      <c r="R699" t="s">
        <v>2423</v>
      </c>
      <c r="S699">
        <v>4</v>
      </c>
      <c r="T699" t="s">
        <v>2274</v>
      </c>
      <c r="U699" t="s">
        <v>2275</v>
      </c>
    </row>
    <row r="700" spans="1:21" x14ac:dyDescent="0.25">
      <c r="A700" t="s">
        <v>3057</v>
      </c>
      <c r="B700" t="s">
        <v>2</v>
      </c>
      <c r="C700" t="s">
        <v>541</v>
      </c>
      <c r="D700" t="s">
        <v>24</v>
      </c>
      <c r="E700" t="s">
        <v>1210</v>
      </c>
      <c r="F700" t="s">
        <v>981</v>
      </c>
      <c r="G700" t="s">
        <v>2425</v>
      </c>
      <c r="H700" s="20">
        <v>46250</v>
      </c>
      <c r="I700">
        <v>1800</v>
      </c>
      <c r="J700">
        <v>78</v>
      </c>
      <c r="K700">
        <v>67</v>
      </c>
      <c r="L700">
        <v>60</v>
      </c>
      <c r="M700">
        <v>56</v>
      </c>
      <c r="N700">
        <v>41</v>
      </c>
      <c r="P700" t="s">
        <v>2272</v>
      </c>
      <c r="Q700" t="s">
        <v>3056</v>
      </c>
      <c r="R700" t="s">
        <v>2423</v>
      </c>
      <c r="S700">
        <v>4</v>
      </c>
      <c r="T700" t="s">
        <v>2274</v>
      </c>
      <c r="U700" t="s">
        <v>2275</v>
      </c>
    </row>
    <row r="701" spans="1:21" x14ac:dyDescent="0.25">
      <c r="A701" t="s">
        <v>3058</v>
      </c>
      <c r="B701" t="s">
        <v>2</v>
      </c>
      <c r="C701" t="s">
        <v>541</v>
      </c>
      <c r="D701" t="s">
        <v>24</v>
      </c>
      <c r="E701" t="s">
        <v>1210</v>
      </c>
      <c r="F701" t="s">
        <v>378</v>
      </c>
      <c r="G701" t="s">
        <v>2425</v>
      </c>
      <c r="H701" s="20">
        <v>46250</v>
      </c>
      <c r="I701">
        <v>1800</v>
      </c>
      <c r="J701">
        <v>78</v>
      </c>
      <c r="K701">
        <v>67</v>
      </c>
      <c r="L701">
        <v>60</v>
      </c>
      <c r="M701">
        <v>56</v>
      </c>
      <c r="N701">
        <v>41</v>
      </c>
      <c r="P701" t="s">
        <v>2272</v>
      </c>
      <c r="Q701" t="s">
        <v>3056</v>
      </c>
      <c r="R701" t="s">
        <v>2423</v>
      </c>
      <c r="S701">
        <v>4</v>
      </c>
      <c r="T701" t="s">
        <v>2274</v>
      </c>
      <c r="U701" t="s">
        <v>2275</v>
      </c>
    </row>
    <row r="702" spans="1:21" x14ac:dyDescent="0.25">
      <c r="A702" t="s">
        <v>3059</v>
      </c>
      <c r="B702" t="s">
        <v>2</v>
      </c>
      <c r="C702" t="s">
        <v>541</v>
      </c>
      <c r="D702" t="s">
        <v>24</v>
      </c>
      <c r="E702" t="s">
        <v>1211</v>
      </c>
      <c r="F702" t="s">
        <v>1212</v>
      </c>
      <c r="G702" t="s">
        <v>2425</v>
      </c>
      <c r="H702" s="20">
        <v>46250</v>
      </c>
      <c r="I702">
        <v>1800</v>
      </c>
      <c r="J702">
        <v>78</v>
      </c>
      <c r="K702">
        <v>67</v>
      </c>
      <c r="L702">
        <v>60</v>
      </c>
      <c r="M702">
        <v>56</v>
      </c>
      <c r="N702">
        <v>41</v>
      </c>
      <c r="P702" t="s">
        <v>2272</v>
      </c>
      <c r="Q702" t="s">
        <v>3056</v>
      </c>
      <c r="R702" t="s">
        <v>2423</v>
      </c>
      <c r="S702">
        <v>4</v>
      </c>
      <c r="T702" t="s">
        <v>2274</v>
      </c>
      <c r="U702" t="s">
        <v>2275</v>
      </c>
    </row>
    <row r="703" spans="1:21" x14ac:dyDescent="0.25">
      <c r="A703" t="s">
        <v>3060</v>
      </c>
      <c r="B703" t="s">
        <v>2</v>
      </c>
      <c r="C703" t="s">
        <v>904</v>
      </c>
      <c r="D703" t="s">
        <v>24</v>
      </c>
      <c r="E703" t="s">
        <v>1214</v>
      </c>
      <c r="F703" t="s">
        <v>366</v>
      </c>
      <c r="G703" t="s">
        <v>2271</v>
      </c>
      <c r="H703" s="20">
        <v>46250</v>
      </c>
      <c r="I703">
        <v>1800</v>
      </c>
      <c r="J703">
        <v>59</v>
      </c>
      <c r="K703">
        <v>49</v>
      </c>
      <c r="L703">
        <v>35</v>
      </c>
      <c r="P703" t="s">
        <v>2272</v>
      </c>
      <c r="Q703" t="s">
        <v>3061</v>
      </c>
      <c r="R703" t="s">
        <v>2423</v>
      </c>
      <c r="S703">
        <v>4</v>
      </c>
      <c r="T703" t="s">
        <v>2274</v>
      </c>
      <c r="U703" t="s">
        <v>2275</v>
      </c>
    </row>
    <row r="704" spans="1:21" x14ac:dyDescent="0.25">
      <c r="A704" t="s">
        <v>3062</v>
      </c>
      <c r="B704" t="s">
        <v>2</v>
      </c>
      <c r="C704" t="s">
        <v>904</v>
      </c>
      <c r="D704" t="s">
        <v>24</v>
      </c>
      <c r="E704" t="s">
        <v>136</v>
      </c>
      <c r="F704" t="s">
        <v>953</v>
      </c>
      <c r="G704" t="s">
        <v>2271</v>
      </c>
      <c r="H704" s="20">
        <v>46250</v>
      </c>
      <c r="I704">
        <v>1800</v>
      </c>
      <c r="J704">
        <v>59</v>
      </c>
      <c r="K704">
        <v>49</v>
      </c>
      <c r="L704">
        <v>35</v>
      </c>
      <c r="P704" t="s">
        <v>2272</v>
      </c>
      <c r="Q704" t="s">
        <v>3061</v>
      </c>
      <c r="R704" t="s">
        <v>2423</v>
      </c>
      <c r="S704">
        <v>4</v>
      </c>
      <c r="T704" t="s">
        <v>2274</v>
      </c>
      <c r="U704" t="s">
        <v>2275</v>
      </c>
    </row>
    <row r="705" spans="1:21" x14ac:dyDescent="0.25">
      <c r="A705" t="s">
        <v>3063</v>
      </c>
      <c r="B705" t="s">
        <v>2</v>
      </c>
      <c r="C705" t="s">
        <v>904</v>
      </c>
      <c r="D705" t="s">
        <v>24</v>
      </c>
      <c r="E705" t="s">
        <v>1215</v>
      </c>
      <c r="F705" t="s">
        <v>165</v>
      </c>
      <c r="G705" t="s">
        <v>2425</v>
      </c>
      <c r="H705" s="20">
        <v>46250</v>
      </c>
      <c r="I705">
        <v>1800</v>
      </c>
      <c r="J705">
        <v>55</v>
      </c>
      <c r="K705">
        <v>45</v>
      </c>
      <c r="L705">
        <v>33</v>
      </c>
      <c r="M705">
        <v>28</v>
      </c>
      <c r="P705" t="s">
        <v>2272</v>
      </c>
      <c r="Q705" t="s">
        <v>3064</v>
      </c>
      <c r="R705" t="s">
        <v>2423</v>
      </c>
      <c r="S705">
        <v>4</v>
      </c>
      <c r="T705" t="s">
        <v>2274</v>
      </c>
      <c r="U705" t="s">
        <v>2275</v>
      </c>
    </row>
    <row r="706" spans="1:21" x14ac:dyDescent="0.25">
      <c r="A706" t="s">
        <v>3065</v>
      </c>
      <c r="B706" t="s">
        <v>2</v>
      </c>
      <c r="C706" t="s">
        <v>904</v>
      </c>
      <c r="D706" t="s">
        <v>24</v>
      </c>
      <c r="E706" t="s">
        <v>1216</v>
      </c>
      <c r="F706" t="s">
        <v>1217</v>
      </c>
      <c r="G706" t="s">
        <v>2425</v>
      </c>
      <c r="H706" s="20">
        <v>46250</v>
      </c>
      <c r="I706">
        <v>1800</v>
      </c>
      <c r="J706">
        <v>55</v>
      </c>
      <c r="K706">
        <v>45</v>
      </c>
      <c r="L706">
        <v>33</v>
      </c>
      <c r="M706">
        <v>28</v>
      </c>
      <c r="P706" t="s">
        <v>2272</v>
      </c>
      <c r="Q706" t="s">
        <v>3064</v>
      </c>
      <c r="R706" t="s">
        <v>2423</v>
      </c>
      <c r="S706">
        <v>4</v>
      </c>
      <c r="T706" t="s">
        <v>2274</v>
      </c>
      <c r="U706" t="s">
        <v>2275</v>
      </c>
    </row>
    <row r="707" spans="1:21" x14ac:dyDescent="0.25">
      <c r="A707" t="s">
        <v>3066</v>
      </c>
      <c r="B707" t="s">
        <v>2</v>
      </c>
      <c r="C707" t="s">
        <v>1079</v>
      </c>
      <c r="D707" t="s">
        <v>24</v>
      </c>
      <c r="E707" t="s">
        <v>1219</v>
      </c>
      <c r="F707" t="s">
        <v>1220</v>
      </c>
      <c r="G707" t="s">
        <v>2425</v>
      </c>
      <c r="H707" s="20">
        <v>46250</v>
      </c>
      <c r="I707">
        <v>1800</v>
      </c>
      <c r="J707">
        <v>60</v>
      </c>
      <c r="K707">
        <v>48</v>
      </c>
      <c r="L707">
        <v>23</v>
      </c>
      <c r="P707" t="s">
        <v>2272</v>
      </c>
      <c r="Q707" t="s">
        <v>3067</v>
      </c>
      <c r="R707" t="s">
        <v>2472</v>
      </c>
      <c r="S707">
        <v>4</v>
      </c>
      <c r="T707" t="s">
        <v>2274</v>
      </c>
      <c r="U707" t="s">
        <v>2275</v>
      </c>
    </row>
    <row r="708" spans="1:21" x14ac:dyDescent="0.25">
      <c r="A708" t="s">
        <v>3068</v>
      </c>
      <c r="B708" t="s">
        <v>2</v>
      </c>
      <c r="C708" t="s">
        <v>1079</v>
      </c>
      <c r="D708" t="s">
        <v>24</v>
      </c>
      <c r="E708" t="s">
        <v>1221</v>
      </c>
      <c r="F708" t="s">
        <v>676</v>
      </c>
      <c r="G708" t="s">
        <v>2271</v>
      </c>
      <c r="H708" s="20">
        <v>46250</v>
      </c>
      <c r="I708">
        <v>1800</v>
      </c>
      <c r="J708">
        <v>60</v>
      </c>
      <c r="K708">
        <v>48</v>
      </c>
      <c r="L708">
        <v>41</v>
      </c>
      <c r="P708" t="s">
        <v>2272</v>
      </c>
      <c r="Q708" t="s">
        <v>3069</v>
      </c>
      <c r="R708" t="s">
        <v>2446</v>
      </c>
      <c r="S708">
        <v>4</v>
      </c>
      <c r="T708" t="s">
        <v>2274</v>
      </c>
      <c r="U708" t="s">
        <v>2275</v>
      </c>
    </row>
    <row r="709" spans="1:21" x14ac:dyDescent="0.25">
      <c r="A709" t="s">
        <v>3070</v>
      </c>
      <c r="B709" t="s">
        <v>2</v>
      </c>
      <c r="C709" t="s">
        <v>1079</v>
      </c>
      <c r="D709" t="s">
        <v>24</v>
      </c>
      <c r="E709" t="s">
        <v>1222</v>
      </c>
      <c r="F709" t="s">
        <v>398</v>
      </c>
      <c r="G709" t="s">
        <v>2425</v>
      </c>
      <c r="H709" s="20">
        <v>46250</v>
      </c>
      <c r="I709">
        <v>1800</v>
      </c>
      <c r="J709">
        <v>60</v>
      </c>
      <c r="K709">
        <v>48</v>
      </c>
      <c r="L709">
        <v>23</v>
      </c>
      <c r="P709" t="s">
        <v>2272</v>
      </c>
      <c r="Q709" t="s">
        <v>3067</v>
      </c>
      <c r="R709" t="s">
        <v>2472</v>
      </c>
      <c r="S709">
        <v>4</v>
      </c>
      <c r="T709" t="s">
        <v>2274</v>
      </c>
      <c r="U709" t="s">
        <v>2275</v>
      </c>
    </row>
    <row r="710" spans="1:21" x14ac:dyDescent="0.25">
      <c r="A710" t="s">
        <v>3071</v>
      </c>
      <c r="B710" t="s">
        <v>2</v>
      </c>
      <c r="C710" t="s">
        <v>1079</v>
      </c>
      <c r="D710" t="s">
        <v>24</v>
      </c>
      <c r="E710" t="s">
        <v>1223</v>
      </c>
      <c r="F710" t="s">
        <v>458</v>
      </c>
      <c r="G710" t="s">
        <v>2425</v>
      </c>
      <c r="H710" s="20">
        <v>46250</v>
      </c>
      <c r="I710">
        <v>1800</v>
      </c>
      <c r="J710">
        <v>60</v>
      </c>
      <c r="K710">
        <v>48</v>
      </c>
      <c r="L710">
        <v>23</v>
      </c>
      <c r="P710" t="s">
        <v>2272</v>
      </c>
      <c r="Q710" t="s">
        <v>3067</v>
      </c>
      <c r="R710" t="s">
        <v>2472</v>
      </c>
      <c r="S710">
        <v>4</v>
      </c>
      <c r="T710" t="s">
        <v>2274</v>
      </c>
      <c r="U710" t="s">
        <v>2275</v>
      </c>
    </row>
    <row r="711" spans="1:21" x14ac:dyDescent="0.25">
      <c r="A711" t="s">
        <v>3072</v>
      </c>
      <c r="B711" t="s">
        <v>2</v>
      </c>
      <c r="C711" t="s">
        <v>1079</v>
      </c>
      <c r="D711" t="s">
        <v>26</v>
      </c>
      <c r="E711" t="s">
        <v>1224</v>
      </c>
      <c r="F711" t="s">
        <v>464</v>
      </c>
      <c r="H711" s="20"/>
      <c r="P711" t="s">
        <v>2291</v>
      </c>
      <c r="R711" t="s">
        <v>2292</v>
      </c>
    </row>
    <row r="712" spans="1:21" x14ac:dyDescent="0.25">
      <c r="A712" t="s">
        <v>3073</v>
      </c>
      <c r="B712" t="s">
        <v>2</v>
      </c>
      <c r="C712" t="s">
        <v>1079</v>
      </c>
      <c r="D712" t="s">
        <v>26</v>
      </c>
      <c r="E712" t="s">
        <v>1225</v>
      </c>
      <c r="F712" t="s">
        <v>359</v>
      </c>
      <c r="H712" s="20"/>
      <c r="P712" t="s">
        <v>2291</v>
      </c>
      <c r="R712" t="s">
        <v>2292</v>
      </c>
    </row>
    <row r="713" spans="1:21" x14ac:dyDescent="0.25">
      <c r="A713" t="s">
        <v>3074</v>
      </c>
      <c r="B713" t="s">
        <v>2</v>
      </c>
      <c r="C713" t="s">
        <v>1004</v>
      </c>
      <c r="D713" t="s">
        <v>24</v>
      </c>
      <c r="E713" t="s">
        <v>1009</v>
      </c>
      <c r="F713" t="s">
        <v>339</v>
      </c>
      <c r="G713" t="s">
        <v>2271</v>
      </c>
      <c r="H713" s="20">
        <v>46250</v>
      </c>
      <c r="I713">
        <v>1800</v>
      </c>
      <c r="J713">
        <v>79</v>
      </c>
      <c r="K713">
        <v>59</v>
      </c>
      <c r="L713">
        <v>51</v>
      </c>
      <c r="M713">
        <v>47</v>
      </c>
      <c r="P713" t="s">
        <v>2272</v>
      </c>
      <c r="Q713" t="s">
        <v>3075</v>
      </c>
      <c r="R713" t="s">
        <v>2423</v>
      </c>
      <c r="S713">
        <v>4</v>
      </c>
      <c r="T713" t="s">
        <v>2274</v>
      </c>
      <c r="U713" t="s">
        <v>2275</v>
      </c>
    </row>
    <row r="714" spans="1:21" x14ac:dyDescent="0.25">
      <c r="A714" t="s">
        <v>3076</v>
      </c>
      <c r="B714" t="s">
        <v>2</v>
      </c>
      <c r="C714" t="s">
        <v>1004</v>
      </c>
      <c r="D714" t="s">
        <v>24</v>
      </c>
      <c r="E714" t="s">
        <v>1227</v>
      </c>
      <c r="F714" t="s">
        <v>262</v>
      </c>
      <c r="G714" t="s">
        <v>2425</v>
      </c>
      <c r="H714" s="20">
        <v>46250</v>
      </c>
      <c r="I714">
        <v>1800</v>
      </c>
      <c r="J714">
        <v>78</v>
      </c>
      <c r="K714">
        <v>58</v>
      </c>
      <c r="L714">
        <v>50</v>
      </c>
      <c r="M714">
        <v>42</v>
      </c>
      <c r="P714" t="s">
        <v>2272</v>
      </c>
      <c r="Q714" t="s">
        <v>3077</v>
      </c>
      <c r="R714" t="s">
        <v>2423</v>
      </c>
      <c r="S714">
        <v>4</v>
      </c>
      <c r="T714" t="s">
        <v>2274</v>
      </c>
      <c r="U714" t="s">
        <v>2275</v>
      </c>
    </row>
    <row r="715" spans="1:21" x14ac:dyDescent="0.25">
      <c r="A715" t="s">
        <v>3078</v>
      </c>
      <c r="B715" t="s">
        <v>2</v>
      </c>
      <c r="C715" t="s">
        <v>1004</v>
      </c>
      <c r="D715" t="s">
        <v>24</v>
      </c>
      <c r="E715" t="s">
        <v>1228</v>
      </c>
      <c r="F715" t="s">
        <v>121</v>
      </c>
      <c r="G715" t="s">
        <v>2425</v>
      </c>
      <c r="H715" s="20">
        <v>46250</v>
      </c>
      <c r="I715">
        <v>1800</v>
      </c>
      <c r="J715">
        <v>78</v>
      </c>
      <c r="K715">
        <v>58</v>
      </c>
      <c r="L715">
        <v>50</v>
      </c>
      <c r="M715">
        <v>42</v>
      </c>
      <c r="P715" t="s">
        <v>2272</v>
      </c>
      <c r="Q715" t="s">
        <v>3077</v>
      </c>
      <c r="R715" t="s">
        <v>2423</v>
      </c>
      <c r="S715">
        <v>4</v>
      </c>
      <c r="T715" t="s">
        <v>2274</v>
      </c>
      <c r="U715" t="s">
        <v>2275</v>
      </c>
    </row>
    <row r="716" spans="1:21" x14ac:dyDescent="0.25">
      <c r="A716" t="s">
        <v>3079</v>
      </c>
      <c r="B716" t="s">
        <v>2</v>
      </c>
      <c r="C716" t="s">
        <v>1004</v>
      </c>
      <c r="D716" t="s">
        <v>26</v>
      </c>
      <c r="E716" t="s">
        <v>1229</v>
      </c>
      <c r="F716" t="s">
        <v>832</v>
      </c>
      <c r="H716" s="20"/>
      <c r="P716" t="s">
        <v>2291</v>
      </c>
      <c r="R716" t="s">
        <v>2292</v>
      </c>
    </row>
    <row r="717" spans="1:21" x14ac:dyDescent="0.25">
      <c r="A717" t="s">
        <v>3080</v>
      </c>
      <c r="B717" t="s">
        <v>353</v>
      </c>
      <c r="C717" t="s">
        <v>2</v>
      </c>
      <c r="D717" t="s">
        <v>24</v>
      </c>
      <c r="E717" t="s">
        <v>1231</v>
      </c>
      <c r="F717" t="s">
        <v>1232</v>
      </c>
      <c r="G717" t="s">
        <v>2425</v>
      </c>
      <c r="H717" s="20">
        <v>46250</v>
      </c>
      <c r="I717">
        <v>1800</v>
      </c>
      <c r="J717">
        <v>48</v>
      </c>
      <c r="K717">
        <v>39</v>
      </c>
      <c r="L717">
        <v>20</v>
      </c>
      <c r="M717">
        <v>18</v>
      </c>
      <c r="P717" t="s">
        <v>2272</v>
      </c>
      <c r="Q717" t="s">
        <v>3081</v>
      </c>
      <c r="R717" t="s">
        <v>2472</v>
      </c>
      <c r="S717">
        <v>4</v>
      </c>
      <c r="T717" t="s">
        <v>2274</v>
      </c>
      <c r="U717" t="s">
        <v>2275</v>
      </c>
    </row>
    <row r="718" spans="1:21" x14ac:dyDescent="0.25">
      <c r="A718" t="s">
        <v>3082</v>
      </c>
      <c r="B718" t="s">
        <v>353</v>
      </c>
      <c r="C718" t="s">
        <v>2</v>
      </c>
      <c r="D718" t="s">
        <v>24</v>
      </c>
      <c r="E718" t="s">
        <v>1233</v>
      </c>
      <c r="F718" t="s">
        <v>1085</v>
      </c>
      <c r="G718" t="s">
        <v>2271</v>
      </c>
      <c r="H718" s="20">
        <v>46250</v>
      </c>
      <c r="I718">
        <v>1800</v>
      </c>
      <c r="J718">
        <v>50</v>
      </c>
      <c r="K718">
        <v>41</v>
      </c>
      <c r="L718">
        <v>35</v>
      </c>
      <c r="P718" t="s">
        <v>2272</v>
      </c>
      <c r="Q718" t="s">
        <v>3083</v>
      </c>
      <c r="R718" t="s">
        <v>2446</v>
      </c>
      <c r="S718">
        <v>4</v>
      </c>
      <c r="T718" t="s">
        <v>2274</v>
      </c>
      <c r="U718" t="s">
        <v>2275</v>
      </c>
    </row>
    <row r="719" spans="1:21" x14ac:dyDescent="0.25">
      <c r="A719" t="s">
        <v>3084</v>
      </c>
      <c r="B719" t="s">
        <v>353</v>
      </c>
      <c r="C719" t="s">
        <v>2</v>
      </c>
      <c r="D719" t="s">
        <v>24</v>
      </c>
      <c r="E719" t="s">
        <v>1234</v>
      </c>
      <c r="F719" t="s">
        <v>319</v>
      </c>
      <c r="G719" t="s">
        <v>2425</v>
      </c>
      <c r="H719" s="20">
        <v>46250</v>
      </c>
      <c r="I719">
        <v>1800</v>
      </c>
      <c r="J719">
        <v>48</v>
      </c>
      <c r="K719">
        <v>39</v>
      </c>
      <c r="L719">
        <v>20</v>
      </c>
      <c r="M719">
        <v>18</v>
      </c>
      <c r="P719" t="s">
        <v>2272</v>
      </c>
      <c r="Q719" t="s">
        <v>3081</v>
      </c>
      <c r="R719" t="s">
        <v>2472</v>
      </c>
      <c r="S719">
        <v>4</v>
      </c>
      <c r="T719" t="s">
        <v>2274</v>
      </c>
      <c r="U719" t="s">
        <v>2275</v>
      </c>
    </row>
    <row r="720" spans="1:21" x14ac:dyDescent="0.25">
      <c r="A720" t="s">
        <v>3085</v>
      </c>
      <c r="B720" t="s">
        <v>353</v>
      </c>
      <c r="C720" t="s">
        <v>2</v>
      </c>
      <c r="D720" t="s">
        <v>24</v>
      </c>
      <c r="E720" t="s">
        <v>1235</v>
      </c>
      <c r="F720" t="s">
        <v>573</v>
      </c>
      <c r="G720" t="s">
        <v>2425</v>
      </c>
      <c r="H720" s="20">
        <v>46250</v>
      </c>
      <c r="I720">
        <v>1800</v>
      </c>
      <c r="J720">
        <v>48</v>
      </c>
      <c r="K720">
        <v>39</v>
      </c>
      <c r="L720">
        <v>20</v>
      </c>
      <c r="M720">
        <v>18</v>
      </c>
      <c r="P720" t="s">
        <v>2272</v>
      </c>
      <c r="Q720" t="s">
        <v>3081</v>
      </c>
      <c r="R720" t="s">
        <v>2472</v>
      </c>
      <c r="S720">
        <v>4</v>
      </c>
      <c r="T720" t="s">
        <v>2274</v>
      </c>
      <c r="U720" t="s">
        <v>2275</v>
      </c>
    </row>
    <row r="721" spans="1:21" x14ac:dyDescent="0.25">
      <c r="A721" t="s">
        <v>3086</v>
      </c>
      <c r="B721" t="s">
        <v>353</v>
      </c>
      <c r="C721" t="s">
        <v>2</v>
      </c>
      <c r="D721" t="s">
        <v>24</v>
      </c>
      <c r="E721" t="s">
        <v>1236</v>
      </c>
      <c r="F721" t="s">
        <v>711</v>
      </c>
      <c r="G721" t="s">
        <v>2425</v>
      </c>
      <c r="H721" s="20">
        <v>46250</v>
      </c>
      <c r="I721">
        <v>1800</v>
      </c>
      <c r="J721">
        <v>48</v>
      </c>
      <c r="K721">
        <v>39</v>
      </c>
      <c r="L721">
        <v>20</v>
      </c>
      <c r="M721">
        <v>18</v>
      </c>
      <c r="P721" t="s">
        <v>2272</v>
      </c>
      <c r="Q721" t="s">
        <v>3081</v>
      </c>
      <c r="R721" t="s">
        <v>2472</v>
      </c>
      <c r="S721">
        <v>4</v>
      </c>
      <c r="T721" t="s">
        <v>2274</v>
      </c>
      <c r="U721" t="s">
        <v>2275</v>
      </c>
    </row>
    <row r="722" spans="1:21" x14ac:dyDescent="0.25">
      <c r="A722" t="s">
        <v>3087</v>
      </c>
      <c r="B722" t="s">
        <v>353</v>
      </c>
      <c r="C722" t="s">
        <v>2</v>
      </c>
      <c r="D722" t="s">
        <v>24</v>
      </c>
      <c r="E722" t="s">
        <v>1237</v>
      </c>
      <c r="F722" t="s">
        <v>244</v>
      </c>
      <c r="G722" t="s">
        <v>2425</v>
      </c>
      <c r="H722" s="20">
        <v>46250</v>
      </c>
      <c r="I722">
        <v>1800</v>
      </c>
      <c r="J722">
        <v>48</v>
      </c>
      <c r="K722">
        <v>39</v>
      </c>
      <c r="L722">
        <v>20</v>
      </c>
      <c r="M722">
        <v>18</v>
      </c>
      <c r="P722" t="s">
        <v>2272</v>
      </c>
      <c r="Q722" t="s">
        <v>3081</v>
      </c>
      <c r="R722" t="s">
        <v>2472</v>
      </c>
      <c r="S722">
        <v>4</v>
      </c>
      <c r="T722" t="s">
        <v>2274</v>
      </c>
      <c r="U722" t="s">
        <v>2275</v>
      </c>
    </row>
    <row r="723" spans="1:21" x14ac:dyDescent="0.25">
      <c r="A723" t="s">
        <v>3088</v>
      </c>
      <c r="B723" t="s">
        <v>353</v>
      </c>
      <c r="C723" t="s">
        <v>2</v>
      </c>
      <c r="D723" t="s">
        <v>24</v>
      </c>
      <c r="E723" t="s">
        <v>1238</v>
      </c>
      <c r="F723" t="s">
        <v>674</v>
      </c>
      <c r="G723" t="s">
        <v>2425</v>
      </c>
      <c r="H723" s="20">
        <v>46250</v>
      </c>
      <c r="I723">
        <v>1800</v>
      </c>
      <c r="J723">
        <v>48</v>
      </c>
      <c r="K723">
        <v>39</v>
      </c>
      <c r="L723">
        <v>20</v>
      </c>
      <c r="M723">
        <v>18</v>
      </c>
      <c r="P723" t="s">
        <v>2272</v>
      </c>
      <c r="Q723" t="s">
        <v>3081</v>
      </c>
      <c r="R723" t="s">
        <v>2472</v>
      </c>
      <c r="S723">
        <v>4</v>
      </c>
      <c r="T723" t="s">
        <v>2274</v>
      </c>
      <c r="U723" t="s">
        <v>2275</v>
      </c>
    </row>
    <row r="724" spans="1:21" x14ac:dyDescent="0.25">
      <c r="A724" t="s">
        <v>3089</v>
      </c>
      <c r="B724" t="s">
        <v>353</v>
      </c>
      <c r="C724" t="s">
        <v>2</v>
      </c>
      <c r="D724" t="s">
        <v>24</v>
      </c>
      <c r="E724" t="s">
        <v>1239</v>
      </c>
      <c r="F724" t="s">
        <v>974</v>
      </c>
      <c r="G724" t="s">
        <v>2425</v>
      </c>
      <c r="H724" s="20">
        <v>46250</v>
      </c>
      <c r="I724">
        <v>1800</v>
      </c>
      <c r="J724">
        <v>48</v>
      </c>
      <c r="K724">
        <v>39</v>
      </c>
      <c r="L724">
        <v>20</v>
      </c>
      <c r="M724">
        <v>18</v>
      </c>
      <c r="P724" t="s">
        <v>2272</v>
      </c>
      <c r="Q724" t="s">
        <v>3081</v>
      </c>
      <c r="R724" t="s">
        <v>2472</v>
      </c>
      <c r="S724">
        <v>4</v>
      </c>
      <c r="T724" t="s">
        <v>2274</v>
      </c>
      <c r="U724" t="s">
        <v>2275</v>
      </c>
    </row>
    <row r="725" spans="1:21" x14ac:dyDescent="0.25">
      <c r="A725" t="s">
        <v>3090</v>
      </c>
      <c r="B725" t="s">
        <v>353</v>
      </c>
      <c r="C725" t="s">
        <v>2</v>
      </c>
      <c r="D725" t="s">
        <v>24</v>
      </c>
      <c r="E725" t="s">
        <v>1240</v>
      </c>
      <c r="F725" t="s">
        <v>1241</v>
      </c>
      <c r="G725" t="s">
        <v>2425</v>
      </c>
      <c r="H725" s="20">
        <v>46250</v>
      </c>
      <c r="I725">
        <v>1800</v>
      </c>
      <c r="J725">
        <v>48</v>
      </c>
      <c r="K725">
        <v>39</v>
      </c>
      <c r="L725">
        <v>20</v>
      </c>
      <c r="M725">
        <v>18</v>
      </c>
      <c r="P725" t="s">
        <v>2272</v>
      </c>
      <c r="Q725" t="s">
        <v>3081</v>
      </c>
      <c r="R725" t="s">
        <v>2472</v>
      </c>
      <c r="S725">
        <v>4</v>
      </c>
      <c r="T725" t="s">
        <v>2274</v>
      </c>
      <c r="U725" t="s">
        <v>2275</v>
      </c>
    </row>
    <row r="726" spans="1:21" x14ac:dyDescent="0.25">
      <c r="A726" t="s">
        <v>3091</v>
      </c>
      <c r="B726" t="s">
        <v>353</v>
      </c>
      <c r="C726" t="s">
        <v>2</v>
      </c>
      <c r="D726" t="s">
        <v>21</v>
      </c>
      <c r="E726" t="s">
        <v>1242</v>
      </c>
      <c r="F726" t="s">
        <v>726</v>
      </c>
      <c r="G726" t="s">
        <v>2271</v>
      </c>
      <c r="H726" s="20">
        <v>46254</v>
      </c>
      <c r="I726">
        <v>1500</v>
      </c>
      <c r="J726">
        <v>50</v>
      </c>
      <c r="K726">
        <v>41</v>
      </c>
      <c r="L726">
        <v>12</v>
      </c>
      <c r="P726" t="s">
        <v>2272</v>
      </c>
      <c r="R726" t="s">
        <v>2273</v>
      </c>
      <c r="S726">
        <v>13</v>
      </c>
      <c r="T726" t="s">
        <v>2429</v>
      </c>
      <c r="U726" t="s">
        <v>2430</v>
      </c>
    </row>
    <row r="727" spans="1:21" x14ac:dyDescent="0.25">
      <c r="A727" t="s">
        <v>3092</v>
      </c>
      <c r="B727" t="s">
        <v>353</v>
      </c>
      <c r="C727" t="s">
        <v>2</v>
      </c>
      <c r="D727" t="s">
        <v>21</v>
      </c>
      <c r="E727" t="s">
        <v>1242</v>
      </c>
      <c r="F727" t="s">
        <v>260</v>
      </c>
      <c r="G727" t="s">
        <v>2271</v>
      </c>
      <c r="H727" s="20">
        <v>46254</v>
      </c>
      <c r="I727">
        <v>1500</v>
      </c>
      <c r="J727">
        <v>50</v>
      </c>
      <c r="K727">
        <v>41</v>
      </c>
      <c r="L727">
        <v>12</v>
      </c>
      <c r="P727" t="s">
        <v>2272</v>
      </c>
      <c r="R727" t="s">
        <v>2273</v>
      </c>
      <c r="S727">
        <v>13</v>
      </c>
      <c r="T727" t="s">
        <v>2429</v>
      </c>
      <c r="U727" t="s">
        <v>2430</v>
      </c>
    </row>
    <row r="728" spans="1:21" x14ac:dyDescent="0.25">
      <c r="A728" t="s">
        <v>3093</v>
      </c>
      <c r="B728" t="s">
        <v>353</v>
      </c>
      <c r="C728" t="s">
        <v>2</v>
      </c>
      <c r="D728" t="s">
        <v>21</v>
      </c>
      <c r="E728" t="s">
        <v>1243</v>
      </c>
      <c r="F728" t="s">
        <v>589</v>
      </c>
      <c r="G728" t="s">
        <v>2271</v>
      </c>
      <c r="H728" s="20">
        <v>46254</v>
      </c>
      <c r="I728">
        <v>1500</v>
      </c>
      <c r="J728">
        <v>50</v>
      </c>
      <c r="K728">
        <v>41</v>
      </c>
      <c r="L728">
        <v>12</v>
      </c>
      <c r="P728" t="s">
        <v>2272</v>
      </c>
      <c r="R728" t="s">
        <v>2273</v>
      </c>
      <c r="S728">
        <v>13</v>
      </c>
      <c r="T728" t="s">
        <v>2429</v>
      </c>
      <c r="U728" t="s">
        <v>2430</v>
      </c>
    </row>
    <row r="729" spans="1:21" x14ac:dyDescent="0.25">
      <c r="A729" t="s">
        <v>3094</v>
      </c>
      <c r="B729" t="s">
        <v>353</v>
      </c>
      <c r="C729" t="s">
        <v>2</v>
      </c>
      <c r="D729" t="s">
        <v>21</v>
      </c>
      <c r="E729" t="s">
        <v>1244</v>
      </c>
      <c r="F729" t="s">
        <v>1245</v>
      </c>
      <c r="G729" t="s">
        <v>2271</v>
      </c>
      <c r="H729" s="20">
        <v>46254</v>
      </c>
      <c r="I729">
        <v>1500</v>
      </c>
      <c r="J729">
        <v>50</v>
      </c>
      <c r="K729">
        <v>41</v>
      </c>
      <c r="L729">
        <v>12</v>
      </c>
      <c r="P729" t="s">
        <v>2272</v>
      </c>
      <c r="R729" t="s">
        <v>2273</v>
      </c>
      <c r="S729">
        <v>13</v>
      </c>
      <c r="T729" t="s">
        <v>2429</v>
      </c>
      <c r="U729" t="s">
        <v>2430</v>
      </c>
    </row>
    <row r="730" spans="1:21" x14ac:dyDescent="0.25">
      <c r="A730" t="s">
        <v>3095</v>
      </c>
      <c r="B730" t="s">
        <v>353</v>
      </c>
      <c r="C730" t="s">
        <v>2</v>
      </c>
      <c r="D730" t="s">
        <v>21</v>
      </c>
      <c r="E730" t="s">
        <v>1246</v>
      </c>
      <c r="F730" t="s">
        <v>473</v>
      </c>
      <c r="G730" t="s">
        <v>2271</v>
      </c>
      <c r="H730" s="20">
        <v>46254</v>
      </c>
      <c r="I730">
        <v>1500</v>
      </c>
      <c r="J730">
        <v>50</v>
      </c>
      <c r="K730">
        <v>41</v>
      </c>
      <c r="L730">
        <v>12</v>
      </c>
      <c r="P730" t="s">
        <v>2272</v>
      </c>
      <c r="R730" t="s">
        <v>2273</v>
      </c>
      <c r="S730">
        <v>13</v>
      </c>
      <c r="T730" t="s">
        <v>2429</v>
      </c>
      <c r="U730" t="s">
        <v>2430</v>
      </c>
    </row>
    <row r="731" spans="1:21" x14ac:dyDescent="0.25">
      <c r="A731" t="s">
        <v>3096</v>
      </c>
      <c r="B731" t="s">
        <v>353</v>
      </c>
      <c r="C731" t="s">
        <v>2</v>
      </c>
      <c r="D731" t="s">
        <v>26</v>
      </c>
      <c r="E731" t="s">
        <v>1247</v>
      </c>
      <c r="F731" t="s">
        <v>342</v>
      </c>
      <c r="H731" s="20"/>
      <c r="P731" t="s">
        <v>2291</v>
      </c>
      <c r="R731" t="s">
        <v>2292</v>
      </c>
    </row>
    <row r="732" spans="1:21" x14ac:dyDescent="0.25">
      <c r="A732" t="s">
        <v>3097</v>
      </c>
      <c r="B732" t="s">
        <v>353</v>
      </c>
      <c r="C732" t="s">
        <v>154</v>
      </c>
      <c r="D732" t="s">
        <v>24</v>
      </c>
      <c r="E732" t="s">
        <v>1249</v>
      </c>
      <c r="F732" t="s">
        <v>1098</v>
      </c>
      <c r="G732" t="s">
        <v>2425</v>
      </c>
      <c r="H732" s="20">
        <v>46250</v>
      </c>
      <c r="I732">
        <v>1800</v>
      </c>
      <c r="J732">
        <v>68</v>
      </c>
      <c r="K732">
        <v>36</v>
      </c>
      <c r="L732">
        <v>15</v>
      </c>
      <c r="P732" t="s">
        <v>2272</v>
      </c>
      <c r="Q732" t="s">
        <v>3098</v>
      </c>
      <c r="R732" t="s">
        <v>2423</v>
      </c>
      <c r="S732">
        <v>4</v>
      </c>
      <c r="T732" t="s">
        <v>2274</v>
      </c>
      <c r="U732" t="s">
        <v>2275</v>
      </c>
    </row>
    <row r="733" spans="1:21" x14ac:dyDescent="0.25">
      <c r="A733" t="s">
        <v>3099</v>
      </c>
      <c r="B733" t="s">
        <v>353</v>
      </c>
      <c r="C733" t="s">
        <v>154</v>
      </c>
      <c r="D733" t="s">
        <v>24</v>
      </c>
      <c r="E733" t="s">
        <v>1250</v>
      </c>
      <c r="F733" t="s">
        <v>1251</v>
      </c>
      <c r="G733" t="s">
        <v>2271</v>
      </c>
      <c r="H733" s="20">
        <v>46250</v>
      </c>
      <c r="I733">
        <v>1800</v>
      </c>
      <c r="J733">
        <v>71</v>
      </c>
      <c r="K733">
        <v>60</v>
      </c>
      <c r="L733">
        <v>54</v>
      </c>
      <c r="P733" t="s">
        <v>2272</v>
      </c>
      <c r="Q733" t="s">
        <v>3100</v>
      </c>
      <c r="R733" t="s">
        <v>2423</v>
      </c>
      <c r="S733">
        <v>4</v>
      </c>
      <c r="T733" t="s">
        <v>2274</v>
      </c>
      <c r="U733" t="s">
        <v>2275</v>
      </c>
    </row>
    <row r="734" spans="1:21" x14ac:dyDescent="0.25">
      <c r="A734" t="s">
        <v>3101</v>
      </c>
      <c r="B734" t="s">
        <v>353</v>
      </c>
      <c r="C734" t="s">
        <v>154</v>
      </c>
      <c r="D734" t="s">
        <v>24</v>
      </c>
      <c r="E734" t="s">
        <v>1252</v>
      </c>
      <c r="F734" t="s">
        <v>480</v>
      </c>
      <c r="G734" t="s">
        <v>2271</v>
      </c>
      <c r="H734" s="20">
        <v>46250</v>
      </c>
      <c r="I734">
        <v>1800</v>
      </c>
      <c r="J734">
        <v>71</v>
      </c>
      <c r="K734">
        <v>60</v>
      </c>
      <c r="L734">
        <v>54</v>
      </c>
      <c r="P734" t="s">
        <v>2272</v>
      </c>
      <c r="Q734" t="s">
        <v>3100</v>
      </c>
      <c r="R734" t="s">
        <v>2423</v>
      </c>
      <c r="S734">
        <v>4</v>
      </c>
      <c r="T734" t="s">
        <v>2274</v>
      </c>
      <c r="U734" t="s">
        <v>2275</v>
      </c>
    </row>
    <row r="735" spans="1:21" x14ac:dyDescent="0.25">
      <c r="A735" t="s">
        <v>3102</v>
      </c>
      <c r="B735" t="s">
        <v>353</v>
      </c>
      <c r="C735" t="s">
        <v>154</v>
      </c>
      <c r="D735" t="s">
        <v>24</v>
      </c>
      <c r="E735" t="s">
        <v>1253</v>
      </c>
      <c r="F735" t="s">
        <v>515</v>
      </c>
      <c r="G735" t="s">
        <v>2271</v>
      </c>
      <c r="H735" s="20">
        <v>46250</v>
      </c>
      <c r="I735">
        <v>1800</v>
      </c>
      <c r="J735">
        <v>71</v>
      </c>
      <c r="K735">
        <v>60</v>
      </c>
      <c r="L735">
        <v>54</v>
      </c>
      <c r="P735" t="s">
        <v>2272</v>
      </c>
      <c r="Q735" t="s">
        <v>3100</v>
      </c>
      <c r="R735" t="s">
        <v>2423</v>
      </c>
      <c r="S735">
        <v>4</v>
      </c>
      <c r="T735" t="s">
        <v>2274</v>
      </c>
      <c r="U735" t="s">
        <v>2275</v>
      </c>
    </row>
    <row r="736" spans="1:21" x14ac:dyDescent="0.25">
      <c r="A736" t="s">
        <v>3103</v>
      </c>
      <c r="B736" t="s">
        <v>353</v>
      </c>
      <c r="C736" t="s">
        <v>154</v>
      </c>
      <c r="D736" t="s">
        <v>24</v>
      </c>
      <c r="E736" t="s">
        <v>1254</v>
      </c>
      <c r="F736" t="s">
        <v>285</v>
      </c>
      <c r="G736" t="s">
        <v>2425</v>
      </c>
      <c r="H736" s="20">
        <v>46250</v>
      </c>
      <c r="I736">
        <v>1800</v>
      </c>
      <c r="J736">
        <v>68</v>
      </c>
      <c r="K736">
        <v>36</v>
      </c>
      <c r="L736">
        <v>15</v>
      </c>
      <c r="P736" t="s">
        <v>2272</v>
      </c>
      <c r="Q736" t="s">
        <v>3098</v>
      </c>
      <c r="R736" t="s">
        <v>2423</v>
      </c>
      <c r="S736">
        <v>4</v>
      </c>
      <c r="T736" t="s">
        <v>2274</v>
      </c>
      <c r="U736" t="s">
        <v>2275</v>
      </c>
    </row>
    <row r="737" spans="1:21" x14ac:dyDescent="0.25">
      <c r="A737" t="s">
        <v>3104</v>
      </c>
      <c r="B737" t="s">
        <v>353</v>
      </c>
      <c r="C737" t="s">
        <v>154</v>
      </c>
      <c r="D737" t="s">
        <v>24</v>
      </c>
      <c r="E737" t="s">
        <v>1255</v>
      </c>
      <c r="F737" t="s">
        <v>252</v>
      </c>
      <c r="G737" t="s">
        <v>2425</v>
      </c>
      <c r="H737" s="20">
        <v>46250</v>
      </c>
      <c r="I737">
        <v>1800</v>
      </c>
      <c r="J737">
        <v>68</v>
      </c>
      <c r="K737">
        <v>36</v>
      </c>
      <c r="L737">
        <v>15</v>
      </c>
      <c r="P737" t="s">
        <v>2272</v>
      </c>
      <c r="Q737" t="s">
        <v>3098</v>
      </c>
      <c r="R737" t="s">
        <v>2423</v>
      </c>
      <c r="S737">
        <v>4</v>
      </c>
      <c r="T737" t="s">
        <v>2274</v>
      </c>
      <c r="U737" t="s">
        <v>2275</v>
      </c>
    </row>
    <row r="738" spans="1:21" x14ac:dyDescent="0.25">
      <c r="A738" t="s">
        <v>3105</v>
      </c>
      <c r="B738" t="s">
        <v>353</v>
      </c>
      <c r="C738" t="s">
        <v>154</v>
      </c>
      <c r="D738" t="s">
        <v>24</v>
      </c>
      <c r="E738" t="s">
        <v>1255</v>
      </c>
      <c r="F738" t="s">
        <v>228</v>
      </c>
      <c r="G738" t="s">
        <v>2425</v>
      </c>
      <c r="H738" s="20">
        <v>46250</v>
      </c>
      <c r="I738">
        <v>1800</v>
      </c>
      <c r="J738">
        <v>68</v>
      </c>
      <c r="K738">
        <v>36</v>
      </c>
      <c r="L738">
        <v>15</v>
      </c>
      <c r="P738" t="s">
        <v>2272</v>
      </c>
      <c r="Q738" t="s">
        <v>3098</v>
      </c>
      <c r="R738" t="s">
        <v>2423</v>
      </c>
      <c r="S738">
        <v>4</v>
      </c>
      <c r="T738" t="s">
        <v>2274</v>
      </c>
      <c r="U738" t="s">
        <v>2275</v>
      </c>
    </row>
    <row r="739" spans="1:21" x14ac:dyDescent="0.25">
      <c r="A739" t="s">
        <v>3106</v>
      </c>
      <c r="B739" t="s">
        <v>353</v>
      </c>
      <c r="C739" t="s">
        <v>154</v>
      </c>
      <c r="D739" t="s">
        <v>24</v>
      </c>
      <c r="E739" t="s">
        <v>1256</v>
      </c>
      <c r="F739" t="s">
        <v>832</v>
      </c>
      <c r="G739" t="s">
        <v>2425</v>
      </c>
      <c r="H739" s="20">
        <v>46250</v>
      </c>
      <c r="I739">
        <v>1800</v>
      </c>
      <c r="J739">
        <v>68</v>
      </c>
      <c r="K739">
        <v>36</v>
      </c>
      <c r="L739">
        <v>15</v>
      </c>
      <c r="P739" t="s">
        <v>2272</v>
      </c>
      <c r="Q739" t="s">
        <v>3098</v>
      </c>
      <c r="R739" t="s">
        <v>2423</v>
      </c>
      <c r="S739">
        <v>4</v>
      </c>
      <c r="T739" t="s">
        <v>2274</v>
      </c>
      <c r="U739" t="s">
        <v>2275</v>
      </c>
    </row>
    <row r="740" spans="1:21" x14ac:dyDescent="0.25">
      <c r="A740" t="s">
        <v>3107</v>
      </c>
      <c r="B740" t="s">
        <v>353</v>
      </c>
      <c r="C740" t="s">
        <v>154</v>
      </c>
      <c r="D740" t="s">
        <v>24</v>
      </c>
      <c r="E740" t="s">
        <v>1257</v>
      </c>
      <c r="F740" t="s">
        <v>376</v>
      </c>
      <c r="G740" t="s">
        <v>2425</v>
      </c>
      <c r="H740" s="20">
        <v>46250</v>
      </c>
      <c r="I740">
        <v>1800</v>
      </c>
      <c r="J740">
        <v>68</v>
      </c>
      <c r="K740">
        <v>36</v>
      </c>
      <c r="L740">
        <v>15</v>
      </c>
      <c r="P740" t="s">
        <v>2272</v>
      </c>
      <c r="Q740" t="s">
        <v>3098</v>
      </c>
      <c r="R740" t="s">
        <v>2423</v>
      </c>
      <c r="S740">
        <v>4</v>
      </c>
      <c r="T740" t="s">
        <v>2274</v>
      </c>
      <c r="U740" t="s">
        <v>2275</v>
      </c>
    </row>
    <row r="741" spans="1:21" x14ac:dyDescent="0.25">
      <c r="A741" t="s">
        <v>3108</v>
      </c>
      <c r="B741" t="s">
        <v>353</v>
      </c>
      <c r="C741" t="s">
        <v>154</v>
      </c>
      <c r="D741" t="s">
        <v>24</v>
      </c>
      <c r="E741" t="s">
        <v>1258</v>
      </c>
      <c r="F741" t="s">
        <v>678</v>
      </c>
      <c r="G741" t="s">
        <v>2425</v>
      </c>
      <c r="H741" s="20">
        <v>46250</v>
      </c>
      <c r="I741">
        <v>1800</v>
      </c>
      <c r="J741">
        <v>68</v>
      </c>
      <c r="K741">
        <v>36</v>
      </c>
      <c r="L741">
        <v>15</v>
      </c>
      <c r="P741" t="s">
        <v>2272</v>
      </c>
      <c r="Q741" t="s">
        <v>3098</v>
      </c>
      <c r="R741" t="s">
        <v>2423</v>
      </c>
      <c r="S741">
        <v>4</v>
      </c>
      <c r="T741" t="s">
        <v>2274</v>
      </c>
      <c r="U741" t="s">
        <v>2275</v>
      </c>
    </row>
    <row r="742" spans="1:21" x14ac:dyDescent="0.25">
      <c r="A742" t="s">
        <v>3109</v>
      </c>
      <c r="B742" t="s">
        <v>353</v>
      </c>
      <c r="C742" t="s">
        <v>154</v>
      </c>
      <c r="D742" t="s">
        <v>24</v>
      </c>
      <c r="E742" t="s">
        <v>1259</v>
      </c>
      <c r="F742" t="s">
        <v>537</v>
      </c>
      <c r="G742" t="s">
        <v>2425</v>
      </c>
      <c r="H742" s="20">
        <v>46250</v>
      </c>
      <c r="I742">
        <v>1800</v>
      </c>
      <c r="J742">
        <v>68</v>
      </c>
      <c r="K742">
        <v>36</v>
      </c>
      <c r="L742">
        <v>15</v>
      </c>
      <c r="P742" t="s">
        <v>2272</v>
      </c>
      <c r="Q742" t="s">
        <v>3098</v>
      </c>
      <c r="R742" t="s">
        <v>2423</v>
      </c>
      <c r="S742">
        <v>4</v>
      </c>
      <c r="T742" t="s">
        <v>2274</v>
      </c>
      <c r="U742" t="s">
        <v>2275</v>
      </c>
    </row>
    <row r="743" spans="1:21" x14ac:dyDescent="0.25">
      <c r="A743" t="s">
        <v>3110</v>
      </c>
      <c r="B743" t="s">
        <v>353</v>
      </c>
      <c r="C743" t="s">
        <v>154</v>
      </c>
      <c r="D743" t="s">
        <v>24</v>
      </c>
      <c r="E743" t="s">
        <v>1260</v>
      </c>
      <c r="F743" t="s">
        <v>530</v>
      </c>
      <c r="G743" t="s">
        <v>2425</v>
      </c>
      <c r="H743" s="20">
        <v>46250</v>
      </c>
      <c r="I743">
        <v>1800</v>
      </c>
      <c r="J743">
        <v>68</v>
      </c>
      <c r="K743">
        <v>36</v>
      </c>
      <c r="L743">
        <v>15</v>
      </c>
      <c r="P743" t="s">
        <v>2272</v>
      </c>
      <c r="Q743" t="s">
        <v>3098</v>
      </c>
      <c r="R743" t="s">
        <v>2423</v>
      </c>
      <c r="S743">
        <v>4</v>
      </c>
      <c r="T743" t="s">
        <v>2274</v>
      </c>
      <c r="U743" t="s">
        <v>2275</v>
      </c>
    </row>
    <row r="744" spans="1:21" x14ac:dyDescent="0.25">
      <c r="A744" t="s">
        <v>3111</v>
      </c>
      <c r="B744" t="s">
        <v>353</v>
      </c>
      <c r="C744" t="s">
        <v>154</v>
      </c>
      <c r="D744" t="s">
        <v>24</v>
      </c>
      <c r="E744" t="s">
        <v>1261</v>
      </c>
      <c r="F744" t="s">
        <v>108</v>
      </c>
      <c r="G744" t="s">
        <v>2425</v>
      </c>
      <c r="H744" s="20">
        <v>46250</v>
      </c>
      <c r="I744">
        <v>1800</v>
      </c>
      <c r="J744">
        <v>68</v>
      </c>
      <c r="K744">
        <v>36</v>
      </c>
      <c r="L744">
        <v>15</v>
      </c>
      <c r="P744" t="s">
        <v>2272</v>
      </c>
      <c r="Q744" t="s">
        <v>3098</v>
      </c>
      <c r="R744" t="s">
        <v>2423</v>
      </c>
      <c r="S744">
        <v>4</v>
      </c>
      <c r="T744" t="s">
        <v>2274</v>
      </c>
      <c r="U744" t="s">
        <v>2275</v>
      </c>
    </row>
    <row r="745" spans="1:21" x14ac:dyDescent="0.25">
      <c r="A745" t="s">
        <v>3112</v>
      </c>
      <c r="B745" t="s">
        <v>353</v>
      </c>
      <c r="C745" t="s">
        <v>154</v>
      </c>
      <c r="D745" t="s">
        <v>24</v>
      </c>
      <c r="E745" t="s">
        <v>1262</v>
      </c>
      <c r="F745" t="s">
        <v>174</v>
      </c>
      <c r="G745" t="s">
        <v>2425</v>
      </c>
      <c r="H745" s="20">
        <v>46250</v>
      </c>
      <c r="I745">
        <v>1800</v>
      </c>
      <c r="J745">
        <v>68</v>
      </c>
      <c r="K745">
        <v>36</v>
      </c>
      <c r="L745">
        <v>15</v>
      </c>
      <c r="P745" t="s">
        <v>2272</v>
      </c>
      <c r="Q745" t="s">
        <v>3098</v>
      </c>
      <c r="R745" t="s">
        <v>2423</v>
      </c>
      <c r="S745">
        <v>4</v>
      </c>
      <c r="T745" t="s">
        <v>2274</v>
      </c>
      <c r="U745" t="s">
        <v>2275</v>
      </c>
    </row>
    <row r="746" spans="1:21" x14ac:dyDescent="0.25">
      <c r="A746" t="s">
        <v>3113</v>
      </c>
      <c r="B746" t="s">
        <v>353</v>
      </c>
      <c r="C746" t="s">
        <v>154</v>
      </c>
      <c r="D746" t="s">
        <v>24</v>
      </c>
      <c r="E746" t="s">
        <v>1263</v>
      </c>
      <c r="F746" t="s">
        <v>1207</v>
      </c>
      <c r="G746" t="s">
        <v>2425</v>
      </c>
      <c r="H746" s="20">
        <v>46250</v>
      </c>
      <c r="I746">
        <v>1800</v>
      </c>
      <c r="J746">
        <v>68</v>
      </c>
      <c r="K746">
        <v>36</v>
      </c>
      <c r="L746">
        <v>15</v>
      </c>
      <c r="P746" t="s">
        <v>2272</v>
      </c>
      <c r="Q746" t="s">
        <v>3098</v>
      </c>
      <c r="R746" t="s">
        <v>2423</v>
      </c>
      <c r="S746">
        <v>4</v>
      </c>
      <c r="T746" t="s">
        <v>2274</v>
      </c>
      <c r="U746" t="s">
        <v>2275</v>
      </c>
    </row>
    <row r="747" spans="1:21" x14ac:dyDescent="0.25">
      <c r="A747" t="s">
        <v>3114</v>
      </c>
      <c r="B747" t="s">
        <v>353</v>
      </c>
      <c r="C747" t="s">
        <v>154</v>
      </c>
      <c r="D747" t="s">
        <v>24</v>
      </c>
      <c r="E747" t="s">
        <v>1264</v>
      </c>
      <c r="F747" t="s">
        <v>1265</v>
      </c>
      <c r="G747" t="s">
        <v>2425</v>
      </c>
      <c r="H747" s="20">
        <v>46250</v>
      </c>
      <c r="I747">
        <v>1800</v>
      </c>
      <c r="J747">
        <v>68</v>
      </c>
      <c r="K747">
        <v>36</v>
      </c>
      <c r="L747">
        <v>15</v>
      </c>
      <c r="P747" t="s">
        <v>2272</v>
      </c>
      <c r="Q747" t="s">
        <v>3098</v>
      </c>
      <c r="R747" t="s">
        <v>2423</v>
      </c>
      <c r="S747">
        <v>4</v>
      </c>
      <c r="T747" t="s">
        <v>2274</v>
      </c>
      <c r="U747" t="s">
        <v>2275</v>
      </c>
    </row>
    <row r="748" spans="1:21" x14ac:dyDescent="0.25">
      <c r="A748" t="s">
        <v>3115</v>
      </c>
      <c r="B748" t="s">
        <v>353</v>
      </c>
      <c r="C748" t="s">
        <v>154</v>
      </c>
      <c r="D748" t="s">
        <v>21</v>
      </c>
      <c r="E748" t="s">
        <v>1266</v>
      </c>
      <c r="F748" t="s">
        <v>1267</v>
      </c>
      <c r="G748" t="s">
        <v>2444</v>
      </c>
      <c r="H748" s="20">
        <v>46254</v>
      </c>
      <c r="I748">
        <v>1500</v>
      </c>
      <c r="J748">
        <v>70</v>
      </c>
      <c r="K748">
        <v>59</v>
      </c>
      <c r="L748">
        <v>44</v>
      </c>
      <c r="M748">
        <v>40</v>
      </c>
      <c r="N748">
        <v>36</v>
      </c>
      <c r="P748" t="s">
        <v>2272</v>
      </c>
      <c r="Q748" t="s">
        <v>3116</v>
      </c>
      <c r="R748" t="s">
        <v>2446</v>
      </c>
      <c r="S748">
        <v>13</v>
      </c>
      <c r="T748" t="s">
        <v>2429</v>
      </c>
      <c r="U748" t="s">
        <v>2430</v>
      </c>
    </row>
    <row r="749" spans="1:21" x14ac:dyDescent="0.25">
      <c r="A749" t="s">
        <v>3117</v>
      </c>
      <c r="B749" t="s">
        <v>353</v>
      </c>
      <c r="C749" t="s">
        <v>154</v>
      </c>
      <c r="D749" t="s">
        <v>21</v>
      </c>
      <c r="E749" t="s">
        <v>1268</v>
      </c>
      <c r="F749" t="s">
        <v>199</v>
      </c>
      <c r="G749" t="s">
        <v>2271</v>
      </c>
      <c r="H749" s="20">
        <v>46254</v>
      </c>
      <c r="I749">
        <v>1500</v>
      </c>
      <c r="J749">
        <v>70</v>
      </c>
      <c r="K749">
        <v>32</v>
      </c>
      <c r="L749">
        <v>15</v>
      </c>
      <c r="P749" t="s">
        <v>2272</v>
      </c>
      <c r="R749" t="s">
        <v>2273</v>
      </c>
      <c r="S749">
        <v>13</v>
      </c>
      <c r="T749" t="s">
        <v>2429</v>
      </c>
      <c r="U749" t="s">
        <v>2430</v>
      </c>
    </row>
    <row r="750" spans="1:21" x14ac:dyDescent="0.25">
      <c r="A750" t="s">
        <v>3118</v>
      </c>
      <c r="B750" t="s">
        <v>353</v>
      </c>
      <c r="C750" t="s">
        <v>154</v>
      </c>
      <c r="D750" t="s">
        <v>21</v>
      </c>
      <c r="E750" t="s">
        <v>1269</v>
      </c>
      <c r="F750" t="s">
        <v>199</v>
      </c>
      <c r="G750" t="s">
        <v>2444</v>
      </c>
      <c r="H750" s="20">
        <v>46254</v>
      </c>
      <c r="I750">
        <v>1500</v>
      </c>
      <c r="J750">
        <v>70</v>
      </c>
      <c r="K750">
        <v>59</v>
      </c>
      <c r="L750">
        <v>44</v>
      </c>
      <c r="M750">
        <v>40</v>
      </c>
      <c r="N750">
        <v>36</v>
      </c>
      <c r="P750" t="s">
        <v>2272</v>
      </c>
      <c r="Q750" t="s">
        <v>3116</v>
      </c>
      <c r="R750" t="s">
        <v>2446</v>
      </c>
      <c r="S750">
        <v>13</v>
      </c>
      <c r="T750" t="s">
        <v>2429</v>
      </c>
      <c r="U750" t="s">
        <v>2430</v>
      </c>
    </row>
    <row r="751" spans="1:21" x14ac:dyDescent="0.25">
      <c r="A751" t="s">
        <v>3119</v>
      </c>
      <c r="B751" t="s">
        <v>353</v>
      </c>
      <c r="C751" t="s">
        <v>154</v>
      </c>
      <c r="D751" t="s">
        <v>21</v>
      </c>
      <c r="E751" t="s">
        <v>1270</v>
      </c>
      <c r="F751" t="s">
        <v>258</v>
      </c>
      <c r="G751" t="s">
        <v>2444</v>
      </c>
      <c r="H751" s="20">
        <v>46254</v>
      </c>
      <c r="I751">
        <v>1500</v>
      </c>
      <c r="J751">
        <v>70</v>
      </c>
      <c r="K751">
        <v>59</v>
      </c>
      <c r="L751">
        <v>44</v>
      </c>
      <c r="M751">
        <v>40</v>
      </c>
      <c r="N751">
        <v>36</v>
      </c>
      <c r="P751" t="s">
        <v>2272</v>
      </c>
      <c r="Q751" t="s">
        <v>3116</v>
      </c>
      <c r="R751" t="s">
        <v>2446</v>
      </c>
      <c r="S751">
        <v>13</v>
      </c>
      <c r="T751" t="s">
        <v>2429</v>
      </c>
      <c r="U751" t="s">
        <v>2430</v>
      </c>
    </row>
    <row r="752" spans="1:21" x14ac:dyDescent="0.25">
      <c r="A752" t="s">
        <v>3120</v>
      </c>
      <c r="B752" t="s">
        <v>353</v>
      </c>
      <c r="C752" t="s">
        <v>154</v>
      </c>
      <c r="D752" t="s">
        <v>21</v>
      </c>
      <c r="E752" t="s">
        <v>1271</v>
      </c>
      <c r="F752" t="s">
        <v>127</v>
      </c>
      <c r="G752" t="s">
        <v>2444</v>
      </c>
      <c r="H752" s="20">
        <v>46254</v>
      </c>
      <c r="I752">
        <v>1500</v>
      </c>
      <c r="J752">
        <v>70</v>
      </c>
      <c r="K752">
        <v>59</v>
      </c>
      <c r="L752">
        <v>44</v>
      </c>
      <c r="M752">
        <v>40</v>
      </c>
      <c r="N752">
        <v>36</v>
      </c>
      <c r="P752" t="s">
        <v>2272</v>
      </c>
      <c r="Q752" t="s">
        <v>3116</v>
      </c>
      <c r="R752" t="s">
        <v>2446</v>
      </c>
      <c r="S752">
        <v>13</v>
      </c>
      <c r="T752" t="s">
        <v>2429</v>
      </c>
      <c r="U752" t="s">
        <v>2430</v>
      </c>
    </row>
    <row r="753" spans="1:21" x14ac:dyDescent="0.25">
      <c r="A753" t="s">
        <v>3121</v>
      </c>
      <c r="B753" t="s">
        <v>353</v>
      </c>
      <c r="C753" t="s">
        <v>154</v>
      </c>
      <c r="D753" t="s">
        <v>21</v>
      </c>
      <c r="E753" t="s">
        <v>1272</v>
      </c>
      <c r="F753" t="s">
        <v>228</v>
      </c>
      <c r="G753" t="s">
        <v>2271</v>
      </c>
      <c r="H753" s="20">
        <v>46254</v>
      </c>
      <c r="I753">
        <v>1500</v>
      </c>
      <c r="J753">
        <v>70</v>
      </c>
      <c r="K753">
        <v>32</v>
      </c>
      <c r="L753">
        <v>15</v>
      </c>
      <c r="P753" t="s">
        <v>2272</v>
      </c>
      <c r="R753" t="s">
        <v>2273</v>
      </c>
      <c r="S753">
        <v>13</v>
      </c>
      <c r="T753" t="s">
        <v>2429</v>
      </c>
      <c r="U753" t="s">
        <v>2430</v>
      </c>
    </row>
    <row r="754" spans="1:21" x14ac:dyDescent="0.25">
      <c r="A754" t="s">
        <v>3122</v>
      </c>
      <c r="B754" t="s">
        <v>353</v>
      </c>
      <c r="C754" t="s">
        <v>154</v>
      </c>
      <c r="D754" t="s">
        <v>21</v>
      </c>
      <c r="E754" t="s">
        <v>1273</v>
      </c>
      <c r="F754" t="s">
        <v>212</v>
      </c>
      <c r="G754" t="s">
        <v>2271</v>
      </c>
      <c r="H754" s="20">
        <v>46254</v>
      </c>
      <c r="I754">
        <v>1500</v>
      </c>
      <c r="J754">
        <v>70</v>
      </c>
      <c r="K754">
        <v>32</v>
      </c>
      <c r="L754">
        <v>15</v>
      </c>
      <c r="P754" t="s">
        <v>2272</v>
      </c>
      <c r="R754" t="s">
        <v>2273</v>
      </c>
      <c r="S754">
        <v>13</v>
      </c>
      <c r="T754" t="s">
        <v>2429</v>
      </c>
      <c r="U754" t="s">
        <v>2430</v>
      </c>
    </row>
    <row r="755" spans="1:21" x14ac:dyDescent="0.25">
      <c r="A755" t="s">
        <v>3123</v>
      </c>
      <c r="B755" t="s">
        <v>353</v>
      </c>
      <c r="C755" t="s">
        <v>154</v>
      </c>
      <c r="D755" t="s">
        <v>21</v>
      </c>
      <c r="E755" t="s">
        <v>1274</v>
      </c>
      <c r="F755" t="s">
        <v>335</v>
      </c>
      <c r="G755" t="s">
        <v>2271</v>
      </c>
      <c r="H755" s="20">
        <v>46254</v>
      </c>
      <c r="I755">
        <v>1500</v>
      </c>
      <c r="J755">
        <v>70</v>
      </c>
      <c r="K755">
        <v>32</v>
      </c>
      <c r="L755">
        <v>15</v>
      </c>
      <c r="P755" t="s">
        <v>2272</v>
      </c>
      <c r="R755" t="s">
        <v>2273</v>
      </c>
      <c r="S755">
        <v>13</v>
      </c>
      <c r="T755" t="s">
        <v>2429</v>
      </c>
      <c r="U755" t="s">
        <v>2430</v>
      </c>
    </row>
    <row r="756" spans="1:21" x14ac:dyDescent="0.25">
      <c r="A756" t="s">
        <v>3124</v>
      </c>
      <c r="B756" t="s">
        <v>353</v>
      </c>
      <c r="C756" t="s">
        <v>154</v>
      </c>
      <c r="D756" t="s">
        <v>21</v>
      </c>
      <c r="E756" t="s">
        <v>1275</v>
      </c>
      <c r="F756" t="s">
        <v>266</v>
      </c>
      <c r="G756" t="s">
        <v>2271</v>
      </c>
      <c r="H756" s="20">
        <v>46254</v>
      </c>
      <c r="I756">
        <v>1500</v>
      </c>
      <c r="J756">
        <v>70</v>
      </c>
      <c r="K756">
        <v>32</v>
      </c>
      <c r="L756">
        <v>15</v>
      </c>
      <c r="P756" t="s">
        <v>2272</v>
      </c>
      <c r="R756" t="s">
        <v>2273</v>
      </c>
      <c r="S756">
        <v>13</v>
      </c>
      <c r="T756" t="s">
        <v>2429</v>
      </c>
      <c r="U756" t="s">
        <v>2430</v>
      </c>
    </row>
    <row r="757" spans="1:21" x14ac:dyDescent="0.25">
      <c r="A757" t="s">
        <v>3125</v>
      </c>
      <c r="B757" t="s">
        <v>353</v>
      </c>
      <c r="C757" t="s">
        <v>154</v>
      </c>
      <c r="D757" t="s">
        <v>21</v>
      </c>
      <c r="E757" t="s">
        <v>1276</v>
      </c>
      <c r="F757" t="s">
        <v>108</v>
      </c>
      <c r="G757" t="s">
        <v>2271</v>
      </c>
      <c r="H757" s="20">
        <v>46254</v>
      </c>
      <c r="I757">
        <v>1500</v>
      </c>
      <c r="J757">
        <v>70</v>
      </c>
      <c r="K757">
        <v>32</v>
      </c>
      <c r="L757">
        <v>15</v>
      </c>
      <c r="P757" t="s">
        <v>2272</v>
      </c>
      <c r="R757" t="s">
        <v>2273</v>
      </c>
      <c r="S757">
        <v>13</v>
      </c>
      <c r="T757" t="s">
        <v>2429</v>
      </c>
      <c r="U757" t="s">
        <v>2430</v>
      </c>
    </row>
    <row r="758" spans="1:21" x14ac:dyDescent="0.25">
      <c r="A758" t="s">
        <v>3126</v>
      </c>
      <c r="B758" t="s">
        <v>353</v>
      </c>
      <c r="C758" t="s">
        <v>154</v>
      </c>
      <c r="D758" t="s">
        <v>21</v>
      </c>
      <c r="E758" t="s">
        <v>1277</v>
      </c>
      <c r="F758" t="s">
        <v>742</v>
      </c>
      <c r="G758" t="s">
        <v>2271</v>
      </c>
      <c r="H758" s="20">
        <v>46254</v>
      </c>
      <c r="I758">
        <v>1500</v>
      </c>
      <c r="J758">
        <v>70</v>
      </c>
      <c r="K758">
        <v>32</v>
      </c>
      <c r="L758">
        <v>15</v>
      </c>
      <c r="P758" t="s">
        <v>2272</v>
      </c>
      <c r="R758" t="s">
        <v>2273</v>
      </c>
      <c r="S758">
        <v>13</v>
      </c>
      <c r="T758" t="s">
        <v>2429</v>
      </c>
      <c r="U758" t="s">
        <v>2430</v>
      </c>
    </row>
    <row r="759" spans="1:21" x14ac:dyDescent="0.25">
      <c r="A759" t="s">
        <v>3127</v>
      </c>
      <c r="B759" t="s">
        <v>353</v>
      </c>
      <c r="C759" t="s">
        <v>154</v>
      </c>
      <c r="D759" t="s">
        <v>21</v>
      </c>
      <c r="E759" t="s">
        <v>1278</v>
      </c>
      <c r="F759" t="s">
        <v>458</v>
      </c>
      <c r="G759" t="s">
        <v>2271</v>
      </c>
      <c r="H759" s="20">
        <v>46254</v>
      </c>
      <c r="I759">
        <v>1500</v>
      </c>
      <c r="J759">
        <v>70</v>
      </c>
      <c r="K759">
        <v>32</v>
      </c>
      <c r="L759">
        <v>15</v>
      </c>
      <c r="P759" t="s">
        <v>2272</v>
      </c>
      <c r="R759" t="s">
        <v>2273</v>
      </c>
      <c r="S759">
        <v>13</v>
      </c>
      <c r="T759" t="s">
        <v>2429</v>
      </c>
      <c r="U759" t="s">
        <v>2430</v>
      </c>
    </row>
    <row r="760" spans="1:21" x14ac:dyDescent="0.25">
      <c r="A760" t="s">
        <v>3128</v>
      </c>
      <c r="B760" t="s">
        <v>353</v>
      </c>
      <c r="C760" t="s">
        <v>154</v>
      </c>
      <c r="D760" t="s">
        <v>21</v>
      </c>
      <c r="E760" t="s">
        <v>1279</v>
      </c>
      <c r="F760" t="s">
        <v>402</v>
      </c>
      <c r="G760" t="s">
        <v>2271</v>
      </c>
      <c r="H760" s="20">
        <v>46254</v>
      </c>
      <c r="I760">
        <v>1500</v>
      </c>
      <c r="J760">
        <v>70</v>
      </c>
      <c r="K760">
        <v>32</v>
      </c>
      <c r="L760">
        <v>15</v>
      </c>
      <c r="P760" t="s">
        <v>2272</v>
      </c>
      <c r="R760" t="s">
        <v>2273</v>
      </c>
      <c r="S760">
        <v>13</v>
      </c>
      <c r="T760" t="s">
        <v>2429</v>
      </c>
      <c r="U760" t="s">
        <v>2430</v>
      </c>
    </row>
    <row r="761" spans="1:21" x14ac:dyDescent="0.25">
      <c r="A761" t="s">
        <v>3129</v>
      </c>
      <c r="B761" t="s">
        <v>353</v>
      </c>
      <c r="C761" t="s">
        <v>154</v>
      </c>
      <c r="D761" t="s">
        <v>21</v>
      </c>
      <c r="E761" t="s">
        <v>1280</v>
      </c>
      <c r="F761" t="s">
        <v>1108</v>
      </c>
      <c r="G761" t="s">
        <v>2271</v>
      </c>
      <c r="H761" s="20">
        <v>46254</v>
      </c>
      <c r="I761">
        <v>1500</v>
      </c>
      <c r="J761">
        <v>70</v>
      </c>
      <c r="K761">
        <v>32</v>
      </c>
      <c r="L761">
        <v>15</v>
      </c>
      <c r="P761" t="s">
        <v>2272</v>
      </c>
      <c r="R761" t="s">
        <v>2273</v>
      </c>
      <c r="S761">
        <v>13</v>
      </c>
      <c r="T761" t="s">
        <v>2429</v>
      </c>
      <c r="U761" t="s">
        <v>2430</v>
      </c>
    </row>
    <row r="762" spans="1:21" x14ac:dyDescent="0.25">
      <c r="A762" t="s">
        <v>3130</v>
      </c>
      <c r="B762" t="s">
        <v>353</v>
      </c>
      <c r="C762" t="s">
        <v>154</v>
      </c>
      <c r="D762" t="s">
        <v>21</v>
      </c>
      <c r="E762" t="s">
        <v>1281</v>
      </c>
      <c r="F762" t="s">
        <v>1121</v>
      </c>
      <c r="G762" t="s">
        <v>2271</v>
      </c>
      <c r="H762" s="20">
        <v>46254</v>
      </c>
      <c r="I762">
        <v>1500</v>
      </c>
      <c r="J762">
        <v>70</v>
      </c>
      <c r="K762">
        <v>32</v>
      </c>
      <c r="L762">
        <v>15</v>
      </c>
      <c r="P762" t="s">
        <v>2272</v>
      </c>
      <c r="R762" t="s">
        <v>2273</v>
      </c>
      <c r="S762">
        <v>13</v>
      </c>
      <c r="T762" t="s">
        <v>2429</v>
      </c>
      <c r="U762" t="s">
        <v>2430</v>
      </c>
    </row>
    <row r="763" spans="1:21" x14ac:dyDescent="0.25">
      <c r="A763" t="s">
        <v>3131</v>
      </c>
      <c r="B763" t="s">
        <v>353</v>
      </c>
      <c r="C763" t="s">
        <v>154</v>
      </c>
      <c r="D763" t="s">
        <v>29</v>
      </c>
      <c r="E763" t="s">
        <v>1282</v>
      </c>
      <c r="F763" t="s">
        <v>1207</v>
      </c>
      <c r="H763" s="20"/>
      <c r="P763" t="s">
        <v>2291</v>
      </c>
      <c r="R763" t="s">
        <v>2292</v>
      </c>
    </row>
    <row r="764" spans="1:21" x14ac:dyDescent="0.25">
      <c r="A764" t="s">
        <v>3132</v>
      </c>
      <c r="B764" t="s">
        <v>353</v>
      </c>
      <c r="C764" t="s">
        <v>154</v>
      </c>
      <c r="D764" t="s">
        <v>29</v>
      </c>
      <c r="E764" t="s">
        <v>1283</v>
      </c>
      <c r="F764" t="s">
        <v>1021</v>
      </c>
      <c r="H764" s="20"/>
      <c r="P764" t="s">
        <v>2291</v>
      </c>
      <c r="R764" t="s">
        <v>2292</v>
      </c>
    </row>
    <row r="765" spans="1:21" x14ac:dyDescent="0.25">
      <c r="A765" t="s">
        <v>3133</v>
      </c>
      <c r="B765" t="s">
        <v>353</v>
      </c>
      <c r="C765" t="s">
        <v>154</v>
      </c>
      <c r="D765" t="s">
        <v>26</v>
      </c>
      <c r="E765" t="s">
        <v>1284</v>
      </c>
      <c r="F765" t="s">
        <v>1285</v>
      </c>
      <c r="H765" s="20"/>
      <c r="P765" t="s">
        <v>2291</v>
      </c>
      <c r="R765" t="s">
        <v>2292</v>
      </c>
    </row>
    <row r="766" spans="1:21" x14ac:dyDescent="0.25">
      <c r="A766" t="s">
        <v>3134</v>
      </c>
      <c r="B766" t="s">
        <v>353</v>
      </c>
      <c r="C766" t="s">
        <v>154</v>
      </c>
      <c r="D766" t="s">
        <v>26</v>
      </c>
      <c r="E766" t="s">
        <v>1286</v>
      </c>
      <c r="F766" t="s">
        <v>374</v>
      </c>
      <c r="H766" s="20"/>
      <c r="P766" t="s">
        <v>2291</v>
      </c>
      <c r="R766" t="s">
        <v>2292</v>
      </c>
    </row>
    <row r="767" spans="1:21" x14ac:dyDescent="0.25">
      <c r="A767" t="s">
        <v>3135</v>
      </c>
      <c r="B767" t="s">
        <v>353</v>
      </c>
      <c r="C767" t="s">
        <v>154</v>
      </c>
      <c r="D767" t="s">
        <v>26</v>
      </c>
      <c r="E767" t="s">
        <v>1287</v>
      </c>
      <c r="F767" t="s">
        <v>534</v>
      </c>
      <c r="H767" s="20"/>
      <c r="P767" t="s">
        <v>2291</v>
      </c>
      <c r="R767" t="s">
        <v>2292</v>
      </c>
    </row>
    <row r="768" spans="1:21" x14ac:dyDescent="0.25">
      <c r="A768" t="s">
        <v>3136</v>
      </c>
      <c r="B768" t="s">
        <v>353</v>
      </c>
      <c r="C768" t="s">
        <v>154</v>
      </c>
      <c r="D768" t="s">
        <v>26</v>
      </c>
      <c r="E768" t="s">
        <v>1287</v>
      </c>
      <c r="F768" t="s">
        <v>119</v>
      </c>
      <c r="H768" s="20"/>
      <c r="P768" t="s">
        <v>2291</v>
      </c>
      <c r="R768" t="s">
        <v>2292</v>
      </c>
    </row>
    <row r="769" spans="1:21" x14ac:dyDescent="0.25">
      <c r="A769" t="s">
        <v>3137</v>
      </c>
      <c r="B769" t="s">
        <v>353</v>
      </c>
      <c r="C769" t="s">
        <v>154</v>
      </c>
      <c r="D769" t="s">
        <v>26</v>
      </c>
      <c r="E769" t="s">
        <v>460</v>
      </c>
      <c r="F769" t="s">
        <v>890</v>
      </c>
      <c r="H769" s="20"/>
      <c r="P769" t="s">
        <v>2291</v>
      </c>
      <c r="R769" t="s">
        <v>2292</v>
      </c>
    </row>
    <row r="770" spans="1:21" x14ac:dyDescent="0.25">
      <c r="A770" t="s">
        <v>3138</v>
      </c>
      <c r="B770" t="s">
        <v>353</v>
      </c>
      <c r="C770" t="s">
        <v>154</v>
      </c>
      <c r="D770" t="s">
        <v>26</v>
      </c>
      <c r="E770" t="s">
        <v>429</v>
      </c>
      <c r="F770" t="s">
        <v>836</v>
      </c>
      <c r="H770" s="20"/>
      <c r="P770" t="s">
        <v>2291</v>
      </c>
      <c r="R770" t="s">
        <v>2292</v>
      </c>
    </row>
    <row r="771" spans="1:21" x14ac:dyDescent="0.25">
      <c r="A771" t="s">
        <v>3139</v>
      </c>
      <c r="B771" t="s">
        <v>353</v>
      </c>
      <c r="C771" t="s">
        <v>154</v>
      </c>
      <c r="D771" t="s">
        <v>26</v>
      </c>
      <c r="E771" t="s">
        <v>1288</v>
      </c>
      <c r="F771" t="s">
        <v>949</v>
      </c>
      <c r="H771" s="20"/>
      <c r="P771" t="s">
        <v>2291</v>
      </c>
      <c r="R771" t="s">
        <v>2292</v>
      </c>
    </row>
    <row r="772" spans="1:21" x14ac:dyDescent="0.25">
      <c r="A772" t="s">
        <v>3140</v>
      </c>
      <c r="B772" t="s">
        <v>353</v>
      </c>
      <c r="C772" t="s">
        <v>154</v>
      </c>
      <c r="D772" t="s">
        <v>26</v>
      </c>
      <c r="E772" t="s">
        <v>1288</v>
      </c>
      <c r="F772" t="s">
        <v>221</v>
      </c>
      <c r="H772" s="20"/>
      <c r="P772" t="s">
        <v>2291</v>
      </c>
      <c r="R772" t="s">
        <v>2292</v>
      </c>
    </row>
    <row r="773" spans="1:21" x14ac:dyDescent="0.25">
      <c r="A773" t="s">
        <v>3141</v>
      </c>
      <c r="B773" t="s">
        <v>353</v>
      </c>
      <c r="C773" t="s">
        <v>154</v>
      </c>
      <c r="D773" t="s">
        <v>26</v>
      </c>
      <c r="E773" t="s">
        <v>1289</v>
      </c>
      <c r="F773" t="s">
        <v>596</v>
      </c>
      <c r="H773" s="20"/>
      <c r="P773" t="s">
        <v>2291</v>
      </c>
      <c r="R773" t="s">
        <v>2292</v>
      </c>
    </row>
    <row r="774" spans="1:21" x14ac:dyDescent="0.25">
      <c r="A774" t="s">
        <v>3142</v>
      </c>
      <c r="B774" t="s">
        <v>353</v>
      </c>
      <c r="C774" t="s">
        <v>154</v>
      </c>
      <c r="D774" t="s">
        <v>26</v>
      </c>
      <c r="E774" t="s">
        <v>1289</v>
      </c>
      <c r="F774" t="s">
        <v>161</v>
      </c>
      <c r="H774" s="20"/>
      <c r="P774" t="s">
        <v>2291</v>
      </c>
      <c r="R774" t="s">
        <v>2292</v>
      </c>
    </row>
    <row r="775" spans="1:21" x14ac:dyDescent="0.25">
      <c r="A775" t="s">
        <v>3143</v>
      </c>
      <c r="B775" t="s">
        <v>353</v>
      </c>
      <c r="C775" t="s">
        <v>154</v>
      </c>
      <c r="D775" t="s">
        <v>26</v>
      </c>
      <c r="E775" t="s">
        <v>1290</v>
      </c>
      <c r="F775" t="s">
        <v>121</v>
      </c>
      <c r="H775" s="20"/>
      <c r="P775" t="s">
        <v>2291</v>
      </c>
      <c r="R775" t="s">
        <v>2292</v>
      </c>
    </row>
    <row r="776" spans="1:21" x14ac:dyDescent="0.25">
      <c r="A776" t="s">
        <v>3144</v>
      </c>
      <c r="B776" t="s">
        <v>353</v>
      </c>
      <c r="C776" t="s">
        <v>154</v>
      </c>
      <c r="D776" t="s">
        <v>26</v>
      </c>
      <c r="E776" t="s">
        <v>1291</v>
      </c>
      <c r="F776" t="s">
        <v>1167</v>
      </c>
      <c r="H776" s="20"/>
      <c r="P776" t="s">
        <v>2291</v>
      </c>
      <c r="R776" t="s">
        <v>2292</v>
      </c>
    </row>
    <row r="777" spans="1:21" x14ac:dyDescent="0.25">
      <c r="A777" t="s">
        <v>3145</v>
      </c>
      <c r="B777" t="s">
        <v>353</v>
      </c>
      <c r="C777" t="s">
        <v>154</v>
      </c>
      <c r="D777" t="s">
        <v>26</v>
      </c>
      <c r="E777" t="s">
        <v>1292</v>
      </c>
      <c r="F777" t="s">
        <v>441</v>
      </c>
      <c r="H777" s="20"/>
      <c r="P777" t="s">
        <v>2291</v>
      </c>
      <c r="R777" t="s">
        <v>2292</v>
      </c>
    </row>
    <row r="778" spans="1:21" x14ac:dyDescent="0.25">
      <c r="A778" t="s">
        <v>3146</v>
      </c>
      <c r="B778" t="s">
        <v>353</v>
      </c>
      <c r="C778" t="s">
        <v>541</v>
      </c>
      <c r="D778" t="s">
        <v>24</v>
      </c>
      <c r="E778" t="s">
        <v>1294</v>
      </c>
      <c r="F778" t="s">
        <v>199</v>
      </c>
      <c r="G778" t="s">
        <v>2271</v>
      </c>
      <c r="H778" s="20">
        <v>46250</v>
      </c>
      <c r="I778">
        <v>1800</v>
      </c>
      <c r="J778">
        <v>91</v>
      </c>
      <c r="K778">
        <v>75</v>
      </c>
      <c r="L778">
        <v>55</v>
      </c>
      <c r="P778" t="s">
        <v>2272</v>
      </c>
      <c r="Q778" t="s">
        <v>3147</v>
      </c>
      <c r="R778" t="s">
        <v>2423</v>
      </c>
      <c r="S778">
        <v>4</v>
      </c>
      <c r="T778" t="s">
        <v>2274</v>
      </c>
      <c r="U778" t="s">
        <v>2275</v>
      </c>
    </row>
    <row r="779" spans="1:21" x14ac:dyDescent="0.25">
      <c r="A779" t="s">
        <v>3148</v>
      </c>
      <c r="B779" t="s">
        <v>353</v>
      </c>
      <c r="C779" t="s">
        <v>541</v>
      </c>
      <c r="D779" t="s">
        <v>24</v>
      </c>
      <c r="E779" t="s">
        <v>1295</v>
      </c>
      <c r="F779" t="s">
        <v>567</v>
      </c>
      <c r="G779" t="s">
        <v>2425</v>
      </c>
      <c r="H779" s="20">
        <v>46250</v>
      </c>
      <c r="I779">
        <v>1800</v>
      </c>
      <c r="J779">
        <v>89</v>
      </c>
      <c r="K779">
        <v>47</v>
      </c>
      <c r="L779">
        <v>30</v>
      </c>
      <c r="P779" t="s">
        <v>2272</v>
      </c>
      <c r="Q779" t="s">
        <v>3149</v>
      </c>
      <c r="R779" t="s">
        <v>2423</v>
      </c>
      <c r="S779">
        <v>4</v>
      </c>
      <c r="T779" t="s">
        <v>2274</v>
      </c>
      <c r="U779" t="s">
        <v>2275</v>
      </c>
    </row>
    <row r="780" spans="1:21" x14ac:dyDescent="0.25">
      <c r="A780" t="s">
        <v>3150</v>
      </c>
      <c r="B780" t="s">
        <v>353</v>
      </c>
      <c r="C780" t="s">
        <v>541</v>
      </c>
      <c r="D780" t="s">
        <v>24</v>
      </c>
      <c r="E780" t="s">
        <v>1296</v>
      </c>
      <c r="F780" t="s">
        <v>223</v>
      </c>
      <c r="G780" t="s">
        <v>2425</v>
      </c>
      <c r="H780" s="20">
        <v>46250</v>
      </c>
      <c r="I780">
        <v>1800</v>
      </c>
      <c r="J780">
        <v>89</v>
      </c>
      <c r="K780">
        <v>47</v>
      </c>
      <c r="L780">
        <v>30</v>
      </c>
      <c r="P780" t="s">
        <v>2272</v>
      </c>
      <c r="Q780" t="s">
        <v>3149</v>
      </c>
      <c r="R780" t="s">
        <v>2423</v>
      </c>
      <c r="S780">
        <v>4</v>
      </c>
      <c r="T780" t="s">
        <v>2274</v>
      </c>
      <c r="U780" t="s">
        <v>2275</v>
      </c>
    </row>
    <row r="781" spans="1:21" x14ac:dyDescent="0.25">
      <c r="A781" t="s">
        <v>3151</v>
      </c>
      <c r="B781" t="s">
        <v>353</v>
      </c>
      <c r="C781" t="s">
        <v>541</v>
      </c>
      <c r="D781" t="s">
        <v>24</v>
      </c>
      <c r="E781" t="s">
        <v>1297</v>
      </c>
      <c r="F781" t="s">
        <v>368</v>
      </c>
      <c r="G781" t="s">
        <v>2425</v>
      </c>
      <c r="H781" s="20">
        <v>46250</v>
      </c>
      <c r="I781">
        <v>1800</v>
      </c>
      <c r="J781">
        <v>89</v>
      </c>
      <c r="K781">
        <v>47</v>
      </c>
      <c r="L781">
        <v>30</v>
      </c>
      <c r="P781" t="s">
        <v>2272</v>
      </c>
      <c r="Q781" t="s">
        <v>3149</v>
      </c>
      <c r="R781" t="s">
        <v>2423</v>
      </c>
      <c r="S781">
        <v>4</v>
      </c>
      <c r="T781" t="s">
        <v>2274</v>
      </c>
      <c r="U781" t="s">
        <v>2275</v>
      </c>
    </row>
    <row r="782" spans="1:21" x14ac:dyDescent="0.25">
      <c r="A782" t="s">
        <v>3152</v>
      </c>
      <c r="B782" t="s">
        <v>353</v>
      </c>
      <c r="C782" t="s">
        <v>541</v>
      </c>
      <c r="D782" t="s">
        <v>24</v>
      </c>
      <c r="E782" t="s">
        <v>1298</v>
      </c>
      <c r="F782" t="s">
        <v>180</v>
      </c>
      <c r="G782" t="s">
        <v>2425</v>
      </c>
      <c r="H782" s="20">
        <v>46250</v>
      </c>
      <c r="I782">
        <v>1800</v>
      </c>
      <c r="J782">
        <v>89</v>
      </c>
      <c r="K782">
        <v>47</v>
      </c>
      <c r="L782">
        <v>30</v>
      </c>
      <c r="P782" t="s">
        <v>2272</v>
      </c>
      <c r="Q782" t="s">
        <v>3149</v>
      </c>
      <c r="R782" t="s">
        <v>2423</v>
      </c>
      <c r="S782">
        <v>4</v>
      </c>
      <c r="T782" t="s">
        <v>2274</v>
      </c>
      <c r="U782" t="s">
        <v>2275</v>
      </c>
    </row>
    <row r="783" spans="1:21" x14ac:dyDescent="0.25">
      <c r="A783" t="s">
        <v>3153</v>
      </c>
      <c r="B783" t="s">
        <v>353</v>
      </c>
      <c r="C783" t="s">
        <v>541</v>
      </c>
      <c r="D783" t="s">
        <v>24</v>
      </c>
      <c r="E783" t="s">
        <v>1299</v>
      </c>
      <c r="F783" t="s">
        <v>293</v>
      </c>
      <c r="G783" t="s">
        <v>2425</v>
      </c>
      <c r="H783" s="20">
        <v>46250</v>
      </c>
      <c r="I783">
        <v>1800</v>
      </c>
      <c r="J783">
        <v>89</v>
      </c>
      <c r="K783">
        <v>47</v>
      </c>
      <c r="L783">
        <v>30</v>
      </c>
      <c r="P783" t="s">
        <v>2272</v>
      </c>
      <c r="Q783" t="s">
        <v>3149</v>
      </c>
      <c r="R783" t="s">
        <v>2423</v>
      </c>
      <c r="S783">
        <v>4</v>
      </c>
      <c r="T783" t="s">
        <v>2274</v>
      </c>
      <c r="U783" t="s">
        <v>2275</v>
      </c>
    </row>
    <row r="784" spans="1:21" x14ac:dyDescent="0.25">
      <c r="A784" t="s">
        <v>3154</v>
      </c>
      <c r="B784" t="s">
        <v>353</v>
      </c>
      <c r="C784" t="s">
        <v>541</v>
      </c>
      <c r="D784" t="s">
        <v>24</v>
      </c>
      <c r="E784" t="s">
        <v>1300</v>
      </c>
      <c r="F784" t="s">
        <v>596</v>
      </c>
      <c r="G784" t="s">
        <v>2425</v>
      </c>
      <c r="H784" s="20">
        <v>46250</v>
      </c>
      <c r="I784">
        <v>1800</v>
      </c>
      <c r="J784">
        <v>89</v>
      </c>
      <c r="K784">
        <v>47</v>
      </c>
      <c r="L784">
        <v>30</v>
      </c>
      <c r="P784" t="s">
        <v>2272</v>
      </c>
      <c r="Q784" t="s">
        <v>3149</v>
      </c>
      <c r="R784" t="s">
        <v>2423</v>
      </c>
      <c r="S784">
        <v>4</v>
      </c>
      <c r="T784" t="s">
        <v>2274</v>
      </c>
      <c r="U784" t="s">
        <v>2275</v>
      </c>
    </row>
    <row r="785" spans="1:21" x14ac:dyDescent="0.25">
      <c r="A785" t="s">
        <v>3155</v>
      </c>
      <c r="B785" t="s">
        <v>353</v>
      </c>
      <c r="C785" t="s">
        <v>541</v>
      </c>
      <c r="D785" t="s">
        <v>21</v>
      </c>
      <c r="E785" t="s">
        <v>1301</v>
      </c>
      <c r="F785" t="s">
        <v>70</v>
      </c>
      <c r="G785" t="s">
        <v>2444</v>
      </c>
      <c r="H785" s="20">
        <v>46254</v>
      </c>
      <c r="I785">
        <v>1500</v>
      </c>
      <c r="J785">
        <v>91</v>
      </c>
      <c r="K785">
        <v>75</v>
      </c>
      <c r="L785">
        <v>57</v>
      </c>
      <c r="P785" t="s">
        <v>2272</v>
      </c>
      <c r="Q785" t="s">
        <v>3156</v>
      </c>
      <c r="R785" t="s">
        <v>2446</v>
      </c>
      <c r="S785">
        <v>13</v>
      </c>
      <c r="T785" t="s">
        <v>2429</v>
      </c>
      <c r="U785" t="s">
        <v>2430</v>
      </c>
    </row>
    <row r="786" spans="1:21" x14ac:dyDescent="0.25">
      <c r="A786" t="s">
        <v>3157</v>
      </c>
      <c r="B786" t="s">
        <v>353</v>
      </c>
      <c r="C786" t="s">
        <v>541</v>
      </c>
      <c r="D786" t="s">
        <v>21</v>
      </c>
      <c r="E786" t="s">
        <v>1302</v>
      </c>
      <c r="F786" t="s">
        <v>398</v>
      </c>
      <c r="G786" t="s">
        <v>2271</v>
      </c>
      <c r="H786" s="20">
        <v>46254</v>
      </c>
      <c r="I786">
        <v>1500</v>
      </c>
      <c r="J786">
        <v>91</v>
      </c>
      <c r="K786">
        <v>75</v>
      </c>
      <c r="L786">
        <v>30</v>
      </c>
      <c r="P786" t="s">
        <v>2272</v>
      </c>
      <c r="Q786" t="s">
        <v>3158</v>
      </c>
      <c r="R786" t="s">
        <v>2446</v>
      </c>
      <c r="S786">
        <v>13</v>
      </c>
      <c r="T786" t="s">
        <v>2429</v>
      </c>
      <c r="U786" t="s">
        <v>2430</v>
      </c>
    </row>
    <row r="787" spans="1:21" x14ac:dyDescent="0.25">
      <c r="A787" t="s">
        <v>3159</v>
      </c>
      <c r="B787" t="s">
        <v>353</v>
      </c>
      <c r="C787" t="s">
        <v>541</v>
      </c>
      <c r="D787" t="s">
        <v>21</v>
      </c>
      <c r="E787" t="s">
        <v>1302</v>
      </c>
      <c r="F787" t="s">
        <v>593</v>
      </c>
      <c r="G787" t="s">
        <v>2271</v>
      </c>
      <c r="H787" s="20">
        <v>46254</v>
      </c>
      <c r="I787">
        <v>1500</v>
      </c>
      <c r="J787">
        <v>91</v>
      </c>
      <c r="K787">
        <v>75</v>
      </c>
      <c r="L787">
        <v>30</v>
      </c>
      <c r="P787" t="s">
        <v>2272</v>
      </c>
      <c r="Q787" t="s">
        <v>3158</v>
      </c>
      <c r="R787" t="s">
        <v>2446</v>
      </c>
      <c r="S787">
        <v>13</v>
      </c>
      <c r="T787" t="s">
        <v>2429</v>
      </c>
      <c r="U787" t="s">
        <v>2430</v>
      </c>
    </row>
    <row r="788" spans="1:21" x14ac:dyDescent="0.25">
      <c r="A788" t="s">
        <v>3160</v>
      </c>
      <c r="B788" t="s">
        <v>353</v>
      </c>
      <c r="C788" t="s">
        <v>541</v>
      </c>
      <c r="D788" t="s">
        <v>21</v>
      </c>
      <c r="E788" t="s">
        <v>1303</v>
      </c>
      <c r="F788" t="s">
        <v>342</v>
      </c>
      <c r="G788" t="s">
        <v>2271</v>
      </c>
      <c r="H788" s="20">
        <v>46254</v>
      </c>
      <c r="I788">
        <v>1500</v>
      </c>
      <c r="J788">
        <v>91</v>
      </c>
      <c r="K788">
        <v>75</v>
      </c>
      <c r="L788">
        <v>30</v>
      </c>
      <c r="P788" t="s">
        <v>2272</v>
      </c>
      <c r="Q788" t="s">
        <v>3158</v>
      </c>
      <c r="R788" t="s">
        <v>2446</v>
      </c>
      <c r="S788">
        <v>13</v>
      </c>
      <c r="T788" t="s">
        <v>2429</v>
      </c>
      <c r="U788" t="s">
        <v>2430</v>
      </c>
    </row>
    <row r="789" spans="1:21" x14ac:dyDescent="0.25">
      <c r="A789" t="s">
        <v>3161</v>
      </c>
      <c r="B789" t="s">
        <v>353</v>
      </c>
      <c r="C789" t="s">
        <v>541</v>
      </c>
      <c r="D789" t="s">
        <v>26</v>
      </c>
      <c r="E789" t="s">
        <v>1304</v>
      </c>
      <c r="F789" t="s">
        <v>1305</v>
      </c>
      <c r="H789" s="20"/>
      <c r="P789" t="s">
        <v>2291</v>
      </c>
      <c r="R789" t="s">
        <v>2292</v>
      </c>
    </row>
    <row r="790" spans="1:21" x14ac:dyDescent="0.25">
      <c r="A790" t="s">
        <v>3162</v>
      </c>
      <c r="B790" t="s">
        <v>353</v>
      </c>
      <c r="C790" t="s">
        <v>541</v>
      </c>
      <c r="D790" t="s">
        <v>26</v>
      </c>
      <c r="E790" t="s">
        <v>1306</v>
      </c>
      <c r="F790" t="s">
        <v>349</v>
      </c>
      <c r="H790" s="20"/>
      <c r="P790" t="s">
        <v>2291</v>
      </c>
      <c r="R790" t="s">
        <v>2292</v>
      </c>
    </row>
    <row r="791" spans="1:21" x14ac:dyDescent="0.25">
      <c r="A791" t="s">
        <v>3163</v>
      </c>
      <c r="B791" t="s">
        <v>353</v>
      </c>
      <c r="C791" t="s">
        <v>541</v>
      </c>
      <c r="D791" t="s">
        <v>26</v>
      </c>
      <c r="E791" t="s">
        <v>1307</v>
      </c>
      <c r="F791" t="s">
        <v>1217</v>
      </c>
      <c r="H791" s="20"/>
      <c r="P791" t="s">
        <v>2291</v>
      </c>
      <c r="R791" t="s">
        <v>2292</v>
      </c>
    </row>
    <row r="792" spans="1:21" x14ac:dyDescent="0.25">
      <c r="A792" t="s">
        <v>3164</v>
      </c>
      <c r="B792" t="s">
        <v>353</v>
      </c>
      <c r="C792" t="s">
        <v>4</v>
      </c>
      <c r="D792" t="s">
        <v>24</v>
      </c>
      <c r="E792" t="s">
        <v>1309</v>
      </c>
      <c r="F792" t="s">
        <v>395</v>
      </c>
      <c r="G792" t="s">
        <v>2271</v>
      </c>
      <c r="H792" s="20">
        <v>46250</v>
      </c>
      <c r="I792">
        <v>1800</v>
      </c>
      <c r="J792">
        <v>92</v>
      </c>
      <c r="K792">
        <v>66</v>
      </c>
      <c r="L792">
        <v>56</v>
      </c>
      <c r="M792">
        <v>53</v>
      </c>
      <c r="N792">
        <v>49</v>
      </c>
      <c r="P792" t="s">
        <v>2272</v>
      </c>
      <c r="Q792" t="s">
        <v>3165</v>
      </c>
      <c r="R792" t="s">
        <v>2423</v>
      </c>
      <c r="S792">
        <v>4</v>
      </c>
      <c r="T792" t="s">
        <v>2274</v>
      </c>
      <c r="U792" t="s">
        <v>2275</v>
      </c>
    </row>
    <row r="793" spans="1:21" x14ac:dyDescent="0.25">
      <c r="A793" t="s">
        <v>3166</v>
      </c>
      <c r="B793" t="s">
        <v>353</v>
      </c>
      <c r="C793" t="s">
        <v>4</v>
      </c>
      <c r="D793" t="s">
        <v>24</v>
      </c>
      <c r="E793" t="s">
        <v>1310</v>
      </c>
      <c r="F793" t="s">
        <v>746</v>
      </c>
      <c r="G793" t="s">
        <v>2271</v>
      </c>
      <c r="H793" s="20">
        <v>46250</v>
      </c>
      <c r="I793">
        <v>1800</v>
      </c>
      <c r="J793">
        <v>92</v>
      </c>
      <c r="K793">
        <v>66</v>
      </c>
      <c r="L793">
        <v>56</v>
      </c>
      <c r="M793">
        <v>53</v>
      </c>
      <c r="N793">
        <v>49</v>
      </c>
      <c r="P793" t="s">
        <v>2272</v>
      </c>
      <c r="Q793" t="s">
        <v>3165</v>
      </c>
      <c r="R793" t="s">
        <v>2423</v>
      </c>
      <c r="S793">
        <v>4</v>
      </c>
      <c r="T793" t="s">
        <v>2274</v>
      </c>
      <c r="U793" t="s">
        <v>2275</v>
      </c>
    </row>
    <row r="794" spans="1:21" x14ac:dyDescent="0.25">
      <c r="A794" t="s">
        <v>3167</v>
      </c>
      <c r="B794" t="s">
        <v>353</v>
      </c>
      <c r="C794" t="s">
        <v>4</v>
      </c>
      <c r="D794" t="s">
        <v>24</v>
      </c>
      <c r="E794" t="s">
        <v>1311</v>
      </c>
      <c r="F794" t="s">
        <v>985</v>
      </c>
      <c r="G794" t="s">
        <v>2271</v>
      </c>
      <c r="H794" s="20">
        <v>46250</v>
      </c>
      <c r="I794">
        <v>1800</v>
      </c>
      <c r="J794">
        <v>92</v>
      </c>
      <c r="K794">
        <v>66</v>
      </c>
      <c r="L794">
        <v>56</v>
      </c>
      <c r="M794">
        <v>53</v>
      </c>
      <c r="N794">
        <v>49</v>
      </c>
      <c r="P794" t="s">
        <v>2272</v>
      </c>
      <c r="Q794" t="s">
        <v>3165</v>
      </c>
      <c r="R794" t="s">
        <v>2423</v>
      </c>
      <c r="S794">
        <v>4</v>
      </c>
      <c r="T794" t="s">
        <v>2274</v>
      </c>
      <c r="U794" t="s">
        <v>2275</v>
      </c>
    </row>
    <row r="795" spans="1:21" x14ac:dyDescent="0.25">
      <c r="A795" t="s">
        <v>3168</v>
      </c>
      <c r="B795" t="s">
        <v>353</v>
      </c>
      <c r="C795" t="s">
        <v>4</v>
      </c>
      <c r="D795" t="s">
        <v>24</v>
      </c>
      <c r="E795" t="s">
        <v>1312</v>
      </c>
      <c r="F795" t="s">
        <v>772</v>
      </c>
      <c r="G795" t="s">
        <v>2425</v>
      </c>
      <c r="H795" s="20">
        <v>46250</v>
      </c>
      <c r="I795">
        <v>1800</v>
      </c>
      <c r="J795">
        <v>89</v>
      </c>
      <c r="K795">
        <v>46</v>
      </c>
      <c r="L795">
        <v>15</v>
      </c>
      <c r="P795" t="s">
        <v>2272</v>
      </c>
      <c r="Q795" t="s">
        <v>3169</v>
      </c>
      <c r="R795" t="s">
        <v>2423</v>
      </c>
      <c r="S795">
        <v>4</v>
      </c>
      <c r="T795" t="s">
        <v>2274</v>
      </c>
      <c r="U795" t="s">
        <v>2275</v>
      </c>
    </row>
    <row r="796" spans="1:21" x14ac:dyDescent="0.25">
      <c r="A796" t="s">
        <v>3170</v>
      </c>
      <c r="B796" t="s">
        <v>353</v>
      </c>
      <c r="C796" t="s">
        <v>4</v>
      </c>
      <c r="D796" t="s">
        <v>24</v>
      </c>
      <c r="E796" t="s">
        <v>1313</v>
      </c>
      <c r="F796" t="s">
        <v>131</v>
      </c>
      <c r="G796" t="s">
        <v>2425</v>
      </c>
      <c r="H796" s="20">
        <v>46250</v>
      </c>
      <c r="I796">
        <v>1800</v>
      </c>
      <c r="J796">
        <v>89</v>
      </c>
      <c r="K796">
        <v>46</v>
      </c>
      <c r="L796">
        <v>15</v>
      </c>
      <c r="P796" t="s">
        <v>2272</v>
      </c>
      <c r="Q796" t="s">
        <v>3169</v>
      </c>
      <c r="R796" t="s">
        <v>2423</v>
      </c>
      <c r="S796">
        <v>4</v>
      </c>
      <c r="T796" t="s">
        <v>2274</v>
      </c>
      <c r="U796" t="s">
        <v>2275</v>
      </c>
    </row>
    <row r="797" spans="1:21" x14ac:dyDescent="0.25">
      <c r="A797" t="s">
        <v>3171</v>
      </c>
      <c r="B797" t="s">
        <v>353</v>
      </c>
      <c r="C797" t="s">
        <v>4</v>
      </c>
      <c r="D797" t="s">
        <v>24</v>
      </c>
      <c r="E797" t="s">
        <v>1314</v>
      </c>
      <c r="F797" t="s">
        <v>228</v>
      </c>
      <c r="G797" t="s">
        <v>2425</v>
      </c>
      <c r="H797" s="20">
        <v>46250</v>
      </c>
      <c r="I797">
        <v>1800</v>
      </c>
      <c r="J797">
        <v>89</v>
      </c>
      <c r="K797">
        <v>46</v>
      </c>
      <c r="L797">
        <v>15</v>
      </c>
      <c r="P797" t="s">
        <v>2272</v>
      </c>
      <c r="Q797" t="s">
        <v>3169</v>
      </c>
      <c r="R797" t="s">
        <v>2423</v>
      </c>
      <c r="S797">
        <v>4</v>
      </c>
      <c r="T797" t="s">
        <v>2274</v>
      </c>
      <c r="U797" t="s">
        <v>2275</v>
      </c>
    </row>
    <row r="798" spans="1:21" x14ac:dyDescent="0.25">
      <c r="A798" t="s">
        <v>3172</v>
      </c>
      <c r="B798" t="s">
        <v>353</v>
      </c>
      <c r="C798" t="s">
        <v>4</v>
      </c>
      <c r="D798" t="s">
        <v>24</v>
      </c>
      <c r="E798" t="s">
        <v>1315</v>
      </c>
      <c r="F798" t="s">
        <v>503</v>
      </c>
      <c r="G798" t="s">
        <v>2425</v>
      </c>
      <c r="H798" s="20">
        <v>46250</v>
      </c>
      <c r="I798">
        <v>1800</v>
      </c>
      <c r="J798">
        <v>89</v>
      </c>
      <c r="K798">
        <v>46</v>
      </c>
      <c r="L798">
        <v>15</v>
      </c>
      <c r="P798" t="s">
        <v>2272</v>
      </c>
      <c r="Q798" t="s">
        <v>3169</v>
      </c>
      <c r="R798" t="s">
        <v>2423</v>
      </c>
      <c r="S798">
        <v>4</v>
      </c>
      <c r="T798" t="s">
        <v>2274</v>
      </c>
      <c r="U798" t="s">
        <v>2275</v>
      </c>
    </row>
    <row r="799" spans="1:21" x14ac:dyDescent="0.25">
      <c r="A799" t="s">
        <v>3173</v>
      </c>
      <c r="B799" t="s">
        <v>353</v>
      </c>
      <c r="C799" t="s">
        <v>4</v>
      </c>
      <c r="D799" t="s">
        <v>24</v>
      </c>
      <c r="E799" t="s">
        <v>1316</v>
      </c>
      <c r="F799" t="s">
        <v>76</v>
      </c>
      <c r="G799" t="s">
        <v>2425</v>
      </c>
      <c r="H799" s="20">
        <v>46250</v>
      </c>
      <c r="I799">
        <v>1800</v>
      </c>
      <c r="J799">
        <v>89</v>
      </c>
      <c r="K799">
        <v>46</v>
      </c>
      <c r="L799">
        <v>15</v>
      </c>
      <c r="P799" t="s">
        <v>2272</v>
      </c>
      <c r="Q799" t="s">
        <v>3169</v>
      </c>
      <c r="R799" t="s">
        <v>2423</v>
      </c>
      <c r="S799">
        <v>4</v>
      </c>
      <c r="T799" t="s">
        <v>2274</v>
      </c>
      <c r="U799" t="s">
        <v>2275</v>
      </c>
    </row>
    <row r="800" spans="1:21" x14ac:dyDescent="0.25">
      <c r="A800" t="s">
        <v>3174</v>
      </c>
      <c r="B800" t="s">
        <v>353</v>
      </c>
      <c r="C800" t="s">
        <v>4</v>
      </c>
      <c r="D800" t="s">
        <v>24</v>
      </c>
      <c r="E800" t="s">
        <v>1317</v>
      </c>
      <c r="F800" t="s">
        <v>633</v>
      </c>
      <c r="G800" t="s">
        <v>2425</v>
      </c>
      <c r="H800" s="20">
        <v>46250</v>
      </c>
      <c r="I800">
        <v>1800</v>
      </c>
      <c r="J800">
        <v>70</v>
      </c>
      <c r="K800">
        <v>36</v>
      </c>
      <c r="L800">
        <v>11</v>
      </c>
      <c r="P800" t="s">
        <v>2272</v>
      </c>
      <c r="Q800" t="s">
        <v>3175</v>
      </c>
      <c r="R800" t="s">
        <v>2423</v>
      </c>
      <c r="S800">
        <v>4</v>
      </c>
      <c r="T800" t="s">
        <v>2274</v>
      </c>
      <c r="U800" t="s">
        <v>2275</v>
      </c>
    </row>
    <row r="801" spans="1:21" x14ac:dyDescent="0.25">
      <c r="A801" t="s">
        <v>3176</v>
      </c>
      <c r="B801" t="s">
        <v>353</v>
      </c>
      <c r="C801" t="s">
        <v>4</v>
      </c>
      <c r="D801" t="s">
        <v>24</v>
      </c>
      <c r="E801" t="s">
        <v>1318</v>
      </c>
      <c r="F801" t="s">
        <v>1319</v>
      </c>
      <c r="G801" t="s">
        <v>2425</v>
      </c>
      <c r="H801" s="20">
        <v>46250</v>
      </c>
      <c r="I801">
        <v>1800</v>
      </c>
      <c r="J801">
        <v>70</v>
      </c>
      <c r="K801">
        <v>36</v>
      </c>
      <c r="L801">
        <v>11</v>
      </c>
      <c r="P801" t="s">
        <v>2272</v>
      </c>
      <c r="Q801" t="s">
        <v>3175</v>
      </c>
      <c r="R801" t="s">
        <v>2423</v>
      </c>
      <c r="S801">
        <v>4</v>
      </c>
      <c r="T801" t="s">
        <v>2274</v>
      </c>
      <c r="U801" t="s">
        <v>2275</v>
      </c>
    </row>
    <row r="802" spans="1:21" x14ac:dyDescent="0.25">
      <c r="A802" t="s">
        <v>3177</v>
      </c>
      <c r="B802" t="s">
        <v>353</v>
      </c>
      <c r="C802" t="s">
        <v>4</v>
      </c>
      <c r="D802" t="s">
        <v>24</v>
      </c>
      <c r="E802" t="s">
        <v>1320</v>
      </c>
      <c r="F802" t="s">
        <v>801</v>
      </c>
      <c r="G802" t="s">
        <v>2425</v>
      </c>
      <c r="H802" s="20">
        <v>46250</v>
      </c>
      <c r="I802">
        <v>1800</v>
      </c>
      <c r="J802">
        <v>70</v>
      </c>
      <c r="K802">
        <v>36</v>
      </c>
      <c r="L802">
        <v>11</v>
      </c>
      <c r="P802" t="s">
        <v>2272</v>
      </c>
      <c r="Q802" t="s">
        <v>3175</v>
      </c>
      <c r="R802" t="s">
        <v>2423</v>
      </c>
      <c r="S802">
        <v>4</v>
      </c>
      <c r="T802" t="s">
        <v>2274</v>
      </c>
      <c r="U802" t="s">
        <v>2275</v>
      </c>
    </row>
    <row r="803" spans="1:21" x14ac:dyDescent="0.25">
      <c r="A803" t="s">
        <v>3178</v>
      </c>
      <c r="B803" t="s">
        <v>353</v>
      </c>
      <c r="C803" t="s">
        <v>4</v>
      </c>
      <c r="D803" t="s">
        <v>24</v>
      </c>
      <c r="E803" t="s">
        <v>1320</v>
      </c>
      <c r="F803" t="s">
        <v>1321</v>
      </c>
      <c r="G803" t="s">
        <v>2425</v>
      </c>
      <c r="H803" s="20">
        <v>46250</v>
      </c>
      <c r="I803">
        <v>1800</v>
      </c>
      <c r="J803">
        <v>70</v>
      </c>
      <c r="K803">
        <v>36</v>
      </c>
      <c r="L803">
        <v>11</v>
      </c>
      <c r="P803" t="s">
        <v>2272</v>
      </c>
      <c r="Q803" t="s">
        <v>3175</v>
      </c>
      <c r="R803" t="s">
        <v>2423</v>
      </c>
      <c r="S803">
        <v>4</v>
      </c>
      <c r="T803" t="s">
        <v>2274</v>
      </c>
      <c r="U803" t="s">
        <v>2275</v>
      </c>
    </row>
    <row r="804" spans="1:21" x14ac:dyDescent="0.25">
      <c r="A804" t="s">
        <v>3179</v>
      </c>
      <c r="B804" t="s">
        <v>353</v>
      </c>
      <c r="C804" t="s">
        <v>4</v>
      </c>
      <c r="D804" t="s">
        <v>24</v>
      </c>
      <c r="E804" t="s">
        <v>1322</v>
      </c>
      <c r="F804" t="s">
        <v>165</v>
      </c>
      <c r="G804" t="s">
        <v>2425</v>
      </c>
      <c r="H804" s="20">
        <v>46250</v>
      </c>
      <c r="I804">
        <v>1800</v>
      </c>
      <c r="J804">
        <v>70</v>
      </c>
      <c r="K804">
        <v>36</v>
      </c>
      <c r="L804">
        <v>11</v>
      </c>
      <c r="P804" t="s">
        <v>2272</v>
      </c>
      <c r="Q804" t="s">
        <v>3175</v>
      </c>
      <c r="R804" t="s">
        <v>2423</v>
      </c>
      <c r="S804">
        <v>4</v>
      </c>
      <c r="T804" t="s">
        <v>2274</v>
      </c>
      <c r="U804" t="s">
        <v>2275</v>
      </c>
    </row>
    <row r="805" spans="1:21" x14ac:dyDescent="0.25">
      <c r="A805" t="s">
        <v>3180</v>
      </c>
      <c r="B805" t="s">
        <v>353</v>
      </c>
      <c r="C805" t="s">
        <v>4</v>
      </c>
      <c r="D805" t="s">
        <v>24</v>
      </c>
      <c r="E805" t="s">
        <v>1323</v>
      </c>
      <c r="F805" t="s">
        <v>219</v>
      </c>
      <c r="G805" t="s">
        <v>2425</v>
      </c>
      <c r="H805" s="20">
        <v>46250</v>
      </c>
      <c r="I805">
        <v>1800</v>
      </c>
      <c r="J805">
        <v>70</v>
      </c>
      <c r="K805">
        <v>36</v>
      </c>
      <c r="L805">
        <v>11</v>
      </c>
      <c r="P805" t="s">
        <v>2272</v>
      </c>
      <c r="Q805" t="s">
        <v>3175</v>
      </c>
      <c r="R805" t="s">
        <v>2423</v>
      </c>
      <c r="S805">
        <v>4</v>
      </c>
      <c r="T805" t="s">
        <v>2274</v>
      </c>
      <c r="U805" t="s">
        <v>2275</v>
      </c>
    </row>
    <row r="806" spans="1:21" x14ac:dyDescent="0.25">
      <c r="A806" t="s">
        <v>3181</v>
      </c>
      <c r="B806" t="s">
        <v>353</v>
      </c>
      <c r="C806" t="s">
        <v>4</v>
      </c>
      <c r="D806" t="s">
        <v>24</v>
      </c>
      <c r="E806" t="s">
        <v>1324</v>
      </c>
      <c r="F806" t="s">
        <v>250</v>
      </c>
      <c r="G806" t="s">
        <v>2425</v>
      </c>
      <c r="H806" s="20">
        <v>46250</v>
      </c>
      <c r="I806">
        <v>1800</v>
      </c>
      <c r="J806">
        <v>70</v>
      </c>
      <c r="K806">
        <v>36</v>
      </c>
      <c r="L806">
        <v>11</v>
      </c>
      <c r="P806" t="s">
        <v>2272</v>
      </c>
      <c r="Q806" t="s">
        <v>3175</v>
      </c>
      <c r="R806" t="s">
        <v>2423</v>
      </c>
      <c r="S806">
        <v>4</v>
      </c>
      <c r="T806" t="s">
        <v>2274</v>
      </c>
      <c r="U806" t="s">
        <v>2275</v>
      </c>
    </row>
    <row r="807" spans="1:21" x14ac:dyDescent="0.25">
      <c r="A807" t="s">
        <v>3182</v>
      </c>
      <c r="B807" t="s">
        <v>353</v>
      </c>
      <c r="C807" t="s">
        <v>4</v>
      </c>
      <c r="D807" t="s">
        <v>24</v>
      </c>
      <c r="E807" t="s">
        <v>1325</v>
      </c>
      <c r="F807" t="s">
        <v>188</v>
      </c>
      <c r="G807" t="s">
        <v>2425</v>
      </c>
      <c r="H807" s="20">
        <v>46250</v>
      </c>
      <c r="I807">
        <v>1800</v>
      </c>
      <c r="J807">
        <v>70</v>
      </c>
      <c r="K807">
        <v>36</v>
      </c>
      <c r="L807">
        <v>11</v>
      </c>
      <c r="P807" t="s">
        <v>2272</v>
      </c>
      <c r="Q807" t="s">
        <v>3175</v>
      </c>
      <c r="R807" t="s">
        <v>2423</v>
      </c>
      <c r="S807">
        <v>4</v>
      </c>
      <c r="T807" t="s">
        <v>2274</v>
      </c>
      <c r="U807" t="s">
        <v>2275</v>
      </c>
    </row>
    <row r="808" spans="1:21" x14ac:dyDescent="0.25">
      <c r="A808" t="s">
        <v>3183</v>
      </c>
      <c r="B808" t="s">
        <v>353</v>
      </c>
      <c r="C808" t="s">
        <v>4</v>
      </c>
      <c r="D808" t="s">
        <v>24</v>
      </c>
      <c r="E808" t="s">
        <v>1326</v>
      </c>
      <c r="F808" t="s">
        <v>435</v>
      </c>
      <c r="G808" t="s">
        <v>2425</v>
      </c>
      <c r="H808" s="20">
        <v>46250</v>
      </c>
      <c r="I808">
        <v>1800</v>
      </c>
      <c r="J808">
        <v>70</v>
      </c>
      <c r="K808">
        <v>36</v>
      </c>
      <c r="L808">
        <v>11</v>
      </c>
      <c r="P808" t="s">
        <v>2272</v>
      </c>
      <c r="Q808" t="s">
        <v>3175</v>
      </c>
      <c r="R808" t="s">
        <v>2423</v>
      </c>
      <c r="S808">
        <v>4</v>
      </c>
      <c r="T808" t="s">
        <v>2274</v>
      </c>
      <c r="U808" t="s">
        <v>2275</v>
      </c>
    </row>
    <row r="809" spans="1:21" x14ac:dyDescent="0.25">
      <c r="A809" t="s">
        <v>3184</v>
      </c>
      <c r="B809" t="s">
        <v>353</v>
      </c>
      <c r="C809" t="s">
        <v>4</v>
      </c>
      <c r="D809" t="s">
        <v>24</v>
      </c>
      <c r="E809" t="s">
        <v>1327</v>
      </c>
      <c r="F809" t="s">
        <v>317</v>
      </c>
      <c r="G809" t="s">
        <v>2425</v>
      </c>
      <c r="H809" s="20">
        <v>46250</v>
      </c>
      <c r="I809">
        <v>1800</v>
      </c>
      <c r="J809">
        <v>70</v>
      </c>
      <c r="K809">
        <v>36</v>
      </c>
      <c r="L809">
        <v>11</v>
      </c>
      <c r="P809" t="s">
        <v>2272</v>
      </c>
      <c r="Q809" t="s">
        <v>3175</v>
      </c>
      <c r="R809" t="s">
        <v>2423</v>
      </c>
      <c r="S809">
        <v>4</v>
      </c>
      <c r="T809" t="s">
        <v>2274</v>
      </c>
      <c r="U809" t="s">
        <v>2275</v>
      </c>
    </row>
    <row r="810" spans="1:21" x14ac:dyDescent="0.25">
      <c r="A810" t="s">
        <v>3185</v>
      </c>
      <c r="B810" t="s">
        <v>353</v>
      </c>
      <c r="C810" t="s">
        <v>4</v>
      </c>
      <c r="D810" t="s">
        <v>24</v>
      </c>
      <c r="E810" t="s">
        <v>1328</v>
      </c>
      <c r="F810" t="s">
        <v>742</v>
      </c>
      <c r="G810" t="s">
        <v>2425</v>
      </c>
      <c r="H810" s="20">
        <v>46250</v>
      </c>
      <c r="I810">
        <v>1800</v>
      </c>
      <c r="J810">
        <v>70</v>
      </c>
      <c r="K810">
        <v>36</v>
      </c>
      <c r="L810">
        <v>11</v>
      </c>
      <c r="P810" t="s">
        <v>2272</v>
      </c>
      <c r="Q810" t="s">
        <v>3175</v>
      </c>
      <c r="R810" t="s">
        <v>2423</v>
      </c>
      <c r="S810">
        <v>4</v>
      </c>
      <c r="T810" t="s">
        <v>2274</v>
      </c>
      <c r="U810" t="s">
        <v>2275</v>
      </c>
    </row>
    <row r="811" spans="1:21" x14ac:dyDescent="0.25">
      <c r="A811" t="s">
        <v>3186</v>
      </c>
      <c r="B811" t="s">
        <v>353</v>
      </c>
      <c r="C811" t="s">
        <v>4</v>
      </c>
      <c r="D811" t="s">
        <v>24</v>
      </c>
      <c r="E811" t="s">
        <v>1329</v>
      </c>
      <c r="F811" t="s">
        <v>392</v>
      </c>
      <c r="G811" t="s">
        <v>2425</v>
      </c>
      <c r="H811" s="20">
        <v>46250</v>
      </c>
      <c r="I811">
        <v>1800</v>
      </c>
      <c r="J811">
        <v>70</v>
      </c>
      <c r="K811">
        <v>36</v>
      </c>
      <c r="L811">
        <v>11</v>
      </c>
      <c r="P811" t="s">
        <v>2272</v>
      </c>
      <c r="Q811" t="s">
        <v>3175</v>
      </c>
      <c r="R811" t="s">
        <v>2423</v>
      </c>
      <c r="S811">
        <v>4</v>
      </c>
      <c r="T811" t="s">
        <v>2274</v>
      </c>
      <c r="U811" t="s">
        <v>2275</v>
      </c>
    </row>
    <row r="812" spans="1:21" x14ac:dyDescent="0.25">
      <c r="A812" t="s">
        <v>3187</v>
      </c>
      <c r="B812" t="s">
        <v>353</v>
      </c>
      <c r="C812" t="s">
        <v>4</v>
      </c>
      <c r="D812" t="s">
        <v>24</v>
      </c>
      <c r="E812" t="s">
        <v>1330</v>
      </c>
      <c r="F812" t="s">
        <v>1082</v>
      </c>
      <c r="G812" t="s">
        <v>2425</v>
      </c>
      <c r="H812" s="20">
        <v>46250</v>
      </c>
      <c r="I812">
        <v>1800</v>
      </c>
      <c r="J812">
        <v>70</v>
      </c>
      <c r="K812">
        <v>36</v>
      </c>
      <c r="L812">
        <v>11</v>
      </c>
      <c r="P812" t="s">
        <v>2272</v>
      </c>
      <c r="Q812" t="s">
        <v>3175</v>
      </c>
      <c r="R812" t="s">
        <v>2423</v>
      </c>
      <c r="S812">
        <v>4</v>
      </c>
      <c r="T812" t="s">
        <v>2274</v>
      </c>
      <c r="U812" t="s">
        <v>2275</v>
      </c>
    </row>
    <row r="813" spans="1:21" x14ac:dyDescent="0.25">
      <c r="A813" t="s">
        <v>3188</v>
      </c>
      <c r="B813" t="s">
        <v>353</v>
      </c>
      <c r="C813" t="s">
        <v>4</v>
      </c>
      <c r="D813" t="s">
        <v>24</v>
      </c>
      <c r="E813" t="s">
        <v>1331</v>
      </c>
      <c r="F813" t="s">
        <v>1332</v>
      </c>
      <c r="G813" t="s">
        <v>2425</v>
      </c>
      <c r="H813" s="20">
        <v>46250</v>
      </c>
      <c r="I813">
        <v>1800</v>
      </c>
      <c r="J813">
        <v>70</v>
      </c>
      <c r="K813">
        <v>36</v>
      </c>
      <c r="L813">
        <v>11</v>
      </c>
      <c r="P813" t="s">
        <v>2272</v>
      </c>
      <c r="Q813" t="s">
        <v>3175</v>
      </c>
      <c r="R813" t="s">
        <v>2423</v>
      </c>
      <c r="S813">
        <v>4</v>
      </c>
      <c r="T813" t="s">
        <v>2274</v>
      </c>
      <c r="U813" t="s">
        <v>2275</v>
      </c>
    </row>
    <row r="814" spans="1:21" x14ac:dyDescent="0.25">
      <c r="A814" t="s">
        <v>3189</v>
      </c>
      <c r="B814" t="s">
        <v>353</v>
      </c>
      <c r="C814" t="s">
        <v>4</v>
      </c>
      <c r="D814" t="s">
        <v>24</v>
      </c>
      <c r="E814" t="s">
        <v>1333</v>
      </c>
      <c r="F814" t="s">
        <v>1334</v>
      </c>
      <c r="G814" t="s">
        <v>2425</v>
      </c>
      <c r="H814" s="20">
        <v>46250</v>
      </c>
      <c r="I814">
        <v>1800</v>
      </c>
      <c r="J814">
        <v>70</v>
      </c>
      <c r="K814">
        <v>36</v>
      </c>
      <c r="L814">
        <v>11</v>
      </c>
      <c r="P814" t="s">
        <v>2272</v>
      </c>
      <c r="Q814" t="s">
        <v>3175</v>
      </c>
      <c r="R814" t="s">
        <v>2423</v>
      </c>
      <c r="S814">
        <v>4</v>
      </c>
      <c r="T814" t="s">
        <v>2274</v>
      </c>
      <c r="U814" t="s">
        <v>2275</v>
      </c>
    </row>
    <row r="815" spans="1:21" x14ac:dyDescent="0.25">
      <c r="A815" t="s">
        <v>3190</v>
      </c>
      <c r="B815" t="s">
        <v>353</v>
      </c>
      <c r="C815" t="s">
        <v>4</v>
      </c>
      <c r="D815" t="s">
        <v>21</v>
      </c>
      <c r="E815" t="s">
        <v>1335</v>
      </c>
      <c r="F815" t="s">
        <v>1140</v>
      </c>
      <c r="G815" t="s">
        <v>2271</v>
      </c>
      <c r="H815" s="20">
        <v>46254</v>
      </c>
      <c r="I815">
        <v>1500</v>
      </c>
      <c r="J815">
        <v>68</v>
      </c>
      <c r="K815">
        <v>44</v>
      </c>
      <c r="L815">
        <v>17</v>
      </c>
      <c r="M815">
        <v>14</v>
      </c>
      <c r="N815">
        <v>12</v>
      </c>
      <c r="O815">
        <v>10</v>
      </c>
      <c r="P815" t="s">
        <v>2272</v>
      </c>
      <c r="R815" t="s">
        <v>2273</v>
      </c>
      <c r="S815">
        <v>13</v>
      </c>
      <c r="T815" t="s">
        <v>2429</v>
      </c>
      <c r="U815" t="s">
        <v>2430</v>
      </c>
    </row>
    <row r="816" spans="1:21" x14ac:dyDescent="0.25">
      <c r="A816" t="s">
        <v>3191</v>
      </c>
      <c r="B816" t="s">
        <v>353</v>
      </c>
      <c r="C816" t="s">
        <v>4</v>
      </c>
      <c r="D816" t="s">
        <v>21</v>
      </c>
      <c r="E816" t="s">
        <v>1336</v>
      </c>
      <c r="F816" t="s">
        <v>1088</v>
      </c>
      <c r="G816" t="s">
        <v>2444</v>
      </c>
      <c r="H816" s="20">
        <v>46254</v>
      </c>
      <c r="I816">
        <v>1500</v>
      </c>
      <c r="J816">
        <v>68</v>
      </c>
      <c r="K816">
        <v>55</v>
      </c>
      <c r="L816">
        <v>50</v>
      </c>
      <c r="M816">
        <v>45</v>
      </c>
      <c r="N816">
        <v>40</v>
      </c>
      <c r="P816" t="s">
        <v>2272</v>
      </c>
      <c r="Q816" t="s">
        <v>3192</v>
      </c>
      <c r="R816" t="s">
        <v>2446</v>
      </c>
      <c r="S816">
        <v>13</v>
      </c>
      <c r="T816" t="s">
        <v>2429</v>
      </c>
      <c r="U816" t="s">
        <v>2430</v>
      </c>
    </row>
    <row r="817" spans="1:21" x14ac:dyDescent="0.25">
      <c r="A817" t="s">
        <v>3193</v>
      </c>
      <c r="B817" t="s">
        <v>353</v>
      </c>
      <c r="C817" t="s">
        <v>4</v>
      </c>
      <c r="D817" t="s">
        <v>21</v>
      </c>
      <c r="E817" t="s">
        <v>1337</v>
      </c>
      <c r="F817" t="s">
        <v>515</v>
      </c>
      <c r="G817" t="s">
        <v>2444</v>
      </c>
      <c r="H817" s="20">
        <v>46254</v>
      </c>
      <c r="I817">
        <v>1500</v>
      </c>
      <c r="J817">
        <v>68</v>
      </c>
      <c r="K817">
        <v>55</v>
      </c>
      <c r="L817">
        <v>50</v>
      </c>
      <c r="M817">
        <v>45</v>
      </c>
      <c r="N817">
        <v>40</v>
      </c>
      <c r="P817" t="s">
        <v>2272</v>
      </c>
      <c r="Q817" t="s">
        <v>3192</v>
      </c>
      <c r="R817" t="s">
        <v>2446</v>
      </c>
      <c r="S817">
        <v>13</v>
      </c>
      <c r="T817" t="s">
        <v>2429</v>
      </c>
      <c r="U817" t="s">
        <v>2430</v>
      </c>
    </row>
    <row r="818" spans="1:21" x14ac:dyDescent="0.25">
      <c r="A818" t="s">
        <v>3194</v>
      </c>
      <c r="B818" t="s">
        <v>353</v>
      </c>
      <c r="C818" t="s">
        <v>4</v>
      </c>
      <c r="D818" t="s">
        <v>21</v>
      </c>
      <c r="E818" t="s">
        <v>1338</v>
      </c>
      <c r="F818" t="s">
        <v>985</v>
      </c>
      <c r="G818" t="s">
        <v>2444</v>
      </c>
      <c r="H818" s="20">
        <v>46254</v>
      </c>
      <c r="I818">
        <v>1500</v>
      </c>
      <c r="J818">
        <v>68</v>
      </c>
      <c r="K818">
        <v>55</v>
      </c>
      <c r="L818">
        <v>50</v>
      </c>
      <c r="M818">
        <v>45</v>
      </c>
      <c r="N818">
        <v>40</v>
      </c>
      <c r="P818" t="s">
        <v>2272</v>
      </c>
      <c r="Q818" t="s">
        <v>3192</v>
      </c>
      <c r="R818" t="s">
        <v>2446</v>
      </c>
      <c r="S818">
        <v>13</v>
      </c>
      <c r="T818" t="s">
        <v>2429</v>
      </c>
      <c r="U818" t="s">
        <v>2430</v>
      </c>
    </row>
    <row r="819" spans="1:21" x14ac:dyDescent="0.25">
      <c r="A819" t="s">
        <v>3195</v>
      </c>
      <c r="B819" t="s">
        <v>353</v>
      </c>
      <c r="C819" t="s">
        <v>4</v>
      </c>
      <c r="D819" t="s">
        <v>21</v>
      </c>
      <c r="E819" t="s">
        <v>1339</v>
      </c>
      <c r="F819" t="s">
        <v>157</v>
      </c>
      <c r="G819" t="s">
        <v>2271</v>
      </c>
      <c r="H819" s="20">
        <v>46254</v>
      </c>
      <c r="I819">
        <v>1500</v>
      </c>
      <c r="J819">
        <v>68</v>
      </c>
      <c r="K819">
        <v>44</v>
      </c>
      <c r="L819">
        <v>17</v>
      </c>
      <c r="M819">
        <v>14</v>
      </c>
      <c r="N819">
        <v>12</v>
      </c>
      <c r="O819">
        <v>10</v>
      </c>
      <c r="P819" t="s">
        <v>2272</v>
      </c>
      <c r="R819" t="s">
        <v>2273</v>
      </c>
      <c r="S819">
        <v>13</v>
      </c>
      <c r="T819" t="s">
        <v>2429</v>
      </c>
      <c r="U819" t="s">
        <v>2430</v>
      </c>
    </row>
    <row r="820" spans="1:21" x14ac:dyDescent="0.25">
      <c r="A820" t="s">
        <v>3196</v>
      </c>
      <c r="B820" t="s">
        <v>353</v>
      </c>
      <c r="C820" t="s">
        <v>4</v>
      </c>
      <c r="D820" t="s">
        <v>21</v>
      </c>
      <c r="E820" t="s">
        <v>1340</v>
      </c>
      <c r="F820" t="s">
        <v>772</v>
      </c>
      <c r="G820" t="s">
        <v>2271</v>
      </c>
      <c r="H820" s="20">
        <v>46254</v>
      </c>
      <c r="I820">
        <v>1500</v>
      </c>
      <c r="J820">
        <v>68</v>
      </c>
      <c r="K820">
        <v>44</v>
      </c>
      <c r="L820">
        <v>17</v>
      </c>
      <c r="M820">
        <v>14</v>
      </c>
      <c r="N820">
        <v>12</v>
      </c>
      <c r="O820">
        <v>10</v>
      </c>
      <c r="P820" t="s">
        <v>2272</v>
      </c>
      <c r="R820" t="s">
        <v>2273</v>
      </c>
      <c r="S820">
        <v>13</v>
      </c>
      <c r="T820" t="s">
        <v>2429</v>
      </c>
      <c r="U820" t="s">
        <v>2430</v>
      </c>
    </row>
    <row r="821" spans="1:21" x14ac:dyDescent="0.25">
      <c r="A821" t="s">
        <v>3197</v>
      </c>
      <c r="B821" t="s">
        <v>353</v>
      </c>
      <c r="C821" t="s">
        <v>4</v>
      </c>
      <c r="D821" t="s">
        <v>21</v>
      </c>
      <c r="E821" t="s">
        <v>1341</v>
      </c>
      <c r="F821" t="s">
        <v>953</v>
      </c>
      <c r="G821" t="s">
        <v>2271</v>
      </c>
      <c r="H821" s="20">
        <v>46254</v>
      </c>
      <c r="I821">
        <v>1500</v>
      </c>
      <c r="J821">
        <v>68</v>
      </c>
      <c r="K821">
        <v>44</v>
      </c>
      <c r="L821">
        <v>17</v>
      </c>
      <c r="M821">
        <v>14</v>
      </c>
      <c r="N821">
        <v>12</v>
      </c>
      <c r="O821">
        <v>10</v>
      </c>
      <c r="P821" t="s">
        <v>2272</v>
      </c>
      <c r="R821" t="s">
        <v>2273</v>
      </c>
      <c r="S821">
        <v>13</v>
      </c>
      <c r="T821" t="s">
        <v>2429</v>
      </c>
      <c r="U821" t="s">
        <v>2430</v>
      </c>
    </row>
    <row r="822" spans="1:21" x14ac:dyDescent="0.25">
      <c r="A822" t="s">
        <v>3198</v>
      </c>
      <c r="B822" t="s">
        <v>353</v>
      </c>
      <c r="C822" t="s">
        <v>4</v>
      </c>
      <c r="D822" t="s">
        <v>21</v>
      </c>
      <c r="E822" t="s">
        <v>1342</v>
      </c>
      <c r="F822" t="s">
        <v>131</v>
      </c>
      <c r="G822" t="s">
        <v>2271</v>
      </c>
      <c r="H822" s="20">
        <v>46254</v>
      </c>
      <c r="I822">
        <v>1500</v>
      </c>
      <c r="J822">
        <v>68</v>
      </c>
      <c r="K822">
        <v>44</v>
      </c>
      <c r="L822">
        <v>17</v>
      </c>
      <c r="M822">
        <v>14</v>
      </c>
      <c r="N822">
        <v>12</v>
      </c>
      <c r="O822">
        <v>10</v>
      </c>
      <c r="P822" t="s">
        <v>2272</v>
      </c>
      <c r="R822" t="s">
        <v>2273</v>
      </c>
      <c r="S822">
        <v>13</v>
      </c>
      <c r="T822" t="s">
        <v>2429</v>
      </c>
      <c r="U822" t="s">
        <v>2430</v>
      </c>
    </row>
    <row r="823" spans="1:21" x14ac:dyDescent="0.25">
      <c r="A823" t="s">
        <v>3199</v>
      </c>
      <c r="B823" t="s">
        <v>353</v>
      </c>
      <c r="C823" t="s">
        <v>4</v>
      </c>
      <c r="D823" t="s">
        <v>21</v>
      </c>
      <c r="E823" t="s">
        <v>1343</v>
      </c>
      <c r="F823" t="s">
        <v>1030</v>
      </c>
      <c r="G823" t="s">
        <v>2271</v>
      </c>
      <c r="H823" s="20">
        <v>46254</v>
      </c>
      <c r="I823">
        <v>1500</v>
      </c>
      <c r="J823">
        <v>68</v>
      </c>
      <c r="K823">
        <v>44</v>
      </c>
      <c r="L823">
        <v>17</v>
      </c>
      <c r="M823">
        <v>14</v>
      </c>
      <c r="N823">
        <v>12</v>
      </c>
      <c r="O823">
        <v>10</v>
      </c>
      <c r="P823" t="s">
        <v>2272</v>
      </c>
      <c r="R823" t="s">
        <v>2273</v>
      </c>
      <c r="S823">
        <v>13</v>
      </c>
      <c r="T823" t="s">
        <v>2429</v>
      </c>
      <c r="U823" t="s">
        <v>2430</v>
      </c>
    </row>
    <row r="824" spans="1:21" x14ac:dyDescent="0.25">
      <c r="A824" t="s">
        <v>3200</v>
      </c>
      <c r="B824" t="s">
        <v>353</v>
      </c>
      <c r="C824" t="s">
        <v>4</v>
      </c>
      <c r="D824" t="s">
        <v>21</v>
      </c>
      <c r="E824" t="s">
        <v>1344</v>
      </c>
      <c r="F824" t="s">
        <v>228</v>
      </c>
      <c r="G824" t="s">
        <v>2271</v>
      </c>
      <c r="H824" s="20">
        <v>46254</v>
      </c>
      <c r="I824">
        <v>1500</v>
      </c>
      <c r="J824">
        <v>68</v>
      </c>
      <c r="K824">
        <v>44</v>
      </c>
      <c r="L824">
        <v>17</v>
      </c>
      <c r="M824">
        <v>14</v>
      </c>
      <c r="N824">
        <v>12</v>
      </c>
      <c r="O824">
        <v>10</v>
      </c>
      <c r="P824" t="s">
        <v>2272</v>
      </c>
      <c r="R824" t="s">
        <v>2273</v>
      </c>
      <c r="S824">
        <v>13</v>
      </c>
      <c r="T824" t="s">
        <v>2429</v>
      </c>
      <c r="U824" t="s">
        <v>2430</v>
      </c>
    </row>
    <row r="825" spans="1:21" x14ac:dyDescent="0.25">
      <c r="A825" t="s">
        <v>3201</v>
      </c>
      <c r="B825" t="s">
        <v>353</v>
      </c>
      <c r="C825" t="s">
        <v>4</v>
      </c>
      <c r="D825" t="s">
        <v>21</v>
      </c>
      <c r="E825" t="s">
        <v>1345</v>
      </c>
      <c r="F825" t="s">
        <v>309</v>
      </c>
      <c r="G825" t="s">
        <v>2271</v>
      </c>
      <c r="H825" s="20">
        <v>46254</v>
      </c>
      <c r="I825">
        <v>1500</v>
      </c>
      <c r="J825">
        <v>68</v>
      </c>
      <c r="K825">
        <v>44</v>
      </c>
      <c r="L825">
        <v>17</v>
      </c>
      <c r="M825">
        <v>14</v>
      </c>
      <c r="N825">
        <v>12</v>
      </c>
      <c r="O825">
        <v>10</v>
      </c>
      <c r="P825" t="s">
        <v>2272</v>
      </c>
      <c r="R825" t="s">
        <v>2273</v>
      </c>
      <c r="S825">
        <v>13</v>
      </c>
      <c r="T825" t="s">
        <v>2429</v>
      </c>
      <c r="U825" t="s">
        <v>2430</v>
      </c>
    </row>
    <row r="826" spans="1:21" x14ac:dyDescent="0.25">
      <c r="A826" t="s">
        <v>3202</v>
      </c>
      <c r="B826" t="s">
        <v>353</v>
      </c>
      <c r="C826" t="s">
        <v>4</v>
      </c>
      <c r="D826" t="s">
        <v>21</v>
      </c>
      <c r="E826" t="s">
        <v>1346</v>
      </c>
      <c r="F826" t="s">
        <v>432</v>
      </c>
      <c r="G826" t="s">
        <v>2271</v>
      </c>
      <c r="H826" s="20">
        <v>46254</v>
      </c>
      <c r="I826">
        <v>1500</v>
      </c>
      <c r="J826">
        <v>68</v>
      </c>
      <c r="K826">
        <v>44</v>
      </c>
      <c r="L826">
        <v>17</v>
      </c>
      <c r="M826">
        <v>14</v>
      </c>
      <c r="N826">
        <v>12</v>
      </c>
      <c r="O826">
        <v>10</v>
      </c>
      <c r="P826" t="s">
        <v>2272</v>
      </c>
      <c r="R826" t="s">
        <v>2273</v>
      </c>
      <c r="S826">
        <v>13</v>
      </c>
      <c r="T826" t="s">
        <v>2429</v>
      </c>
      <c r="U826" t="s">
        <v>2430</v>
      </c>
    </row>
    <row r="827" spans="1:21" x14ac:dyDescent="0.25">
      <c r="A827" t="s">
        <v>3203</v>
      </c>
      <c r="B827" t="s">
        <v>353</v>
      </c>
      <c r="C827" t="s">
        <v>4</v>
      </c>
      <c r="D827" t="s">
        <v>21</v>
      </c>
      <c r="E827" t="s">
        <v>1347</v>
      </c>
      <c r="F827" t="s">
        <v>400</v>
      </c>
      <c r="G827" t="s">
        <v>2271</v>
      </c>
      <c r="H827" s="20">
        <v>46254</v>
      </c>
      <c r="I827">
        <v>1500</v>
      </c>
      <c r="J827">
        <v>68</v>
      </c>
      <c r="K827">
        <v>44</v>
      </c>
      <c r="L827">
        <v>17</v>
      </c>
      <c r="M827">
        <v>14</v>
      </c>
      <c r="N827">
        <v>12</v>
      </c>
      <c r="O827">
        <v>10</v>
      </c>
      <c r="P827" t="s">
        <v>2272</v>
      </c>
      <c r="R827" t="s">
        <v>2273</v>
      </c>
      <c r="S827">
        <v>13</v>
      </c>
      <c r="T827" t="s">
        <v>2429</v>
      </c>
      <c r="U827" t="s">
        <v>2430</v>
      </c>
    </row>
    <row r="828" spans="1:21" x14ac:dyDescent="0.25">
      <c r="A828" t="s">
        <v>3204</v>
      </c>
      <c r="B828" t="s">
        <v>353</v>
      </c>
      <c r="C828" t="s">
        <v>4</v>
      </c>
      <c r="D828" t="s">
        <v>21</v>
      </c>
      <c r="E828" t="s">
        <v>1348</v>
      </c>
      <c r="F828" t="s">
        <v>212</v>
      </c>
      <c r="G828" t="s">
        <v>2271</v>
      </c>
      <c r="H828" s="20">
        <v>46254</v>
      </c>
      <c r="I828">
        <v>1500</v>
      </c>
      <c r="J828">
        <v>68</v>
      </c>
      <c r="K828">
        <v>44</v>
      </c>
      <c r="L828">
        <v>17</v>
      </c>
      <c r="M828">
        <v>14</v>
      </c>
      <c r="N828">
        <v>12</v>
      </c>
      <c r="O828">
        <v>10</v>
      </c>
      <c r="P828" t="s">
        <v>2272</v>
      </c>
      <c r="R828" t="s">
        <v>2273</v>
      </c>
      <c r="S828">
        <v>13</v>
      </c>
      <c r="T828" t="s">
        <v>2429</v>
      </c>
      <c r="U828" t="s">
        <v>2430</v>
      </c>
    </row>
    <row r="829" spans="1:21" x14ac:dyDescent="0.25">
      <c r="A829" t="s">
        <v>3205</v>
      </c>
      <c r="B829" t="s">
        <v>353</v>
      </c>
      <c r="C829" t="s">
        <v>4</v>
      </c>
      <c r="D829" t="s">
        <v>21</v>
      </c>
      <c r="E829" t="s">
        <v>1349</v>
      </c>
      <c r="F829" t="s">
        <v>1319</v>
      </c>
      <c r="G829" t="s">
        <v>2271</v>
      </c>
      <c r="H829" s="20">
        <v>46254</v>
      </c>
      <c r="I829">
        <v>1500</v>
      </c>
      <c r="J829">
        <v>68</v>
      </c>
      <c r="K829">
        <v>44</v>
      </c>
      <c r="L829">
        <v>17</v>
      </c>
      <c r="M829">
        <v>14</v>
      </c>
      <c r="N829">
        <v>12</v>
      </c>
      <c r="O829">
        <v>10</v>
      </c>
      <c r="P829" t="s">
        <v>2272</v>
      </c>
      <c r="R829" t="s">
        <v>2273</v>
      </c>
      <c r="S829">
        <v>13</v>
      </c>
      <c r="T829" t="s">
        <v>2429</v>
      </c>
      <c r="U829" t="s">
        <v>2430</v>
      </c>
    </row>
    <row r="830" spans="1:21" x14ac:dyDescent="0.25">
      <c r="A830" t="s">
        <v>3206</v>
      </c>
      <c r="B830" t="s">
        <v>353</v>
      </c>
      <c r="C830" t="s">
        <v>4</v>
      </c>
      <c r="D830" t="s">
        <v>21</v>
      </c>
      <c r="E830" t="s">
        <v>1350</v>
      </c>
      <c r="F830" t="s">
        <v>593</v>
      </c>
      <c r="G830" t="s">
        <v>2271</v>
      </c>
      <c r="H830" s="20">
        <v>46254</v>
      </c>
      <c r="I830">
        <v>1500</v>
      </c>
      <c r="J830">
        <v>68</v>
      </c>
      <c r="K830">
        <v>44</v>
      </c>
      <c r="L830">
        <v>17</v>
      </c>
      <c r="M830">
        <v>14</v>
      </c>
      <c r="N830">
        <v>12</v>
      </c>
      <c r="O830">
        <v>10</v>
      </c>
      <c r="P830" t="s">
        <v>2272</v>
      </c>
      <c r="R830" t="s">
        <v>2273</v>
      </c>
      <c r="S830">
        <v>13</v>
      </c>
      <c r="T830" t="s">
        <v>2429</v>
      </c>
      <c r="U830" t="s">
        <v>2430</v>
      </c>
    </row>
    <row r="831" spans="1:21" x14ac:dyDescent="0.25">
      <c r="A831" t="s">
        <v>3207</v>
      </c>
      <c r="B831" t="s">
        <v>353</v>
      </c>
      <c r="C831" t="s">
        <v>4</v>
      </c>
      <c r="D831" t="s">
        <v>21</v>
      </c>
      <c r="E831" t="s">
        <v>1351</v>
      </c>
      <c r="F831" t="s">
        <v>593</v>
      </c>
      <c r="G831" t="s">
        <v>2271</v>
      </c>
      <c r="H831" s="20">
        <v>46254</v>
      </c>
      <c r="I831">
        <v>1500</v>
      </c>
      <c r="J831">
        <v>68</v>
      </c>
      <c r="K831">
        <v>44</v>
      </c>
      <c r="L831">
        <v>17</v>
      </c>
      <c r="M831">
        <v>14</v>
      </c>
      <c r="N831">
        <v>12</v>
      </c>
      <c r="O831">
        <v>10</v>
      </c>
      <c r="P831" t="s">
        <v>2272</v>
      </c>
      <c r="R831" t="s">
        <v>2273</v>
      </c>
      <c r="S831">
        <v>13</v>
      </c>
      <c r="T831" t="s">
        <v>2429</v>
      </c>
      <c r="U831" t="s">
        <v>2430</v>
      </c>
    </row>
    <row r="832" spans="1:21" x14ac:dyDescent="0.25">
      <c r="A832" t="s">
        <v>3208</v>
      </c>
      <c r="B832" t="s">
        <v>353</v>
      </c>
      <c r="C832" t="s">
        <v>4</v>
      </c>
      <c r="D832" t="s">
        <v>21</v>
      </c>
      <c r="E832" t="s">
        <v>1352</v>
      </c>
      <c r="F832" t="s">
        <v>347</v>
      </c>
      <c r="G832" t="s">
        <v>2271</v>
      </c>
      <c r="H832" s="20">
        <v>46254</v>
      </c>
      <c r="I832">
        <v>1500</v>
      </c>
      <c r="J832">
        <v>68</v>
      </c>
      <c r="K832">
        <v>44</v>
      </c>
      <c r="L832">
        <v>17</v>
      </c>
      <c r="M832">
        <v>14</v>
      </c>
      <c r="N832">
        <v>12</v>
      </c>
      <c r="O832">
        <v>10</v>
      </c>
      <c r="P832" t="s">
        <v>2272</v>
      </c>
      <c r="R832" t="s">
        <v>2273</v>
      </c>
      <c r="S832">
        <v>13</v>
      </c>
      <c r="T832" t="s">
        <v>2429</v>
      </c>
      <c r="U832" t="s">
        <v>2430</v>
      </c>
    </row>
    <row r="833" spans="1:21" x14ac:dyDescent="0.25">
      <c r="A833" t="s">
        <v>3209</v>
      </c>
      <c r="B833" t="s">
        <v>353</v>
      </c>
      <c r="C833" t="s">
        <v>4</v>
      </c>
      <c r="D833" t="s">
        <v>21</v>
      </c>
      <c r="E833" t="s">
        <v>1353</v>
      </c>
      <c r="F833" t="s">
        <v>165</v>
      </c>
      <c r="G833" t="s">
        <v>2271</v>
      </c>
      <c r="H833" s="20">
        <v>46254</v>
      </c>
      <c r="I833">
        <v>1500</v>
      </c>
      <c r="J833">
        <v>68</v>
      </c>
      <c r="K833">
        <v>44</v>
      </c>
      <c r="L833">
        <v>17</v>
      </c>
      <c r="M833">
        <v>14</v>
      </c>
      <c r="N833">
        <v>12</v>
      </c>
      <c r="O833">
        <v>10</v>
      </c>
      <c r="P833" t="s">
        <v>2272</v>
      </c>
      <c r="R833" t="s">
        <v>2273</v>
      </c>
      <c r="S833">
        <v>13</v>
      </c>
      <c r="T833" t="s">
        <v>2429</v>
      </c>
      <c r="U833" t="s">
        <v>2430</v>
      </c>
    </row>
    <row r="834" spans="1:21" x14ac:dyDescent="0.25">
      <c r="A834" t="s">
        <v>3210</v>
      </c>
      <c r="B834" t="s">
        <v>353</v>
      </c>
      <c r="C834" t="s">
        <v>4</v>
      </c>
      <c r="D834" t="s">
        <v>21</v>
      </c>
      <c r="E834" t="s">
        <v>1354</v>
      </c>
      <c r="F834" t="s">
        <v>390</v>
      </c>
      <c r="G834" t="s">
        <v>2271</v>
      </c>
      <c r="H834" s="20">
        <v>46254</v>
      </c>
      <c r="I834">
        <v>1500</v>
      </c>
      <c r="J834">
        <v>68</v>
      </c>
      <c r="K834">
        <v>44</v>
      </c>
      <c r="L834">
        <v>17</v>
      </c>
      <c r="M834">
        <v>14</v>
      </c>
      <c r="N834">
        <v>12</v>
      </c>
      <c r="O834">
        <v>10</v>
      </c>
      <c r="P834" t="s">
        <v>2272</v>
      </c>
      <c r="R834" t="s">
        <v>2273</v>
      </c>
      <c r="S834">
        <v>13</v>
      </c>
      <c r="T834" t="s">
        <v>2429</v>
      </c>
      <c r="U834" t="s">
        <v>2430</v>
      </c>
    </row>
    <row r="835" spans="1:21" x14ac:dyDescent="0.25">
      <c r="A835" t="s">
        <v>3211</v>
      </c>
      <c r="B835" t="s">
        <v>353</v>
      </c>
      <c r="C835" t="s">
        <v>4</v>
      </c>
      <c r="D835" t="s">
        <v>21</v>
      </c>
      <c r="E835" t="s">
        <v>1355</v>
      </c>
      <c r="F835" t="s">
        <v>266</v>
      </c>
      <c r="G835" t="s">
        <v>2271</v>
      </c>
      <c r="H835" s="20">
        <v>46254</v>
      </c>
      <c r="I835">
        <v>1500</v>
      </c>
      <c r="J835">
        <v>68</v>
      </c>
      <c r="K835">
        <v>44</v>
      </c>
      <c r="L835">
        <v>17</v>
      </c>
      <c r="M835">
        <v>14</v>
      </c>
      <c r="N835">
        <v>12</v>
      </c>
      <c r="O835">
        <v>10</v>
      </c>
      <c r="P835" t="s">
        <v>2272</v>
      </c>
      <c r="R835" t="s">
        <v>2273</v>
      </c>
      <c r="S835">
        <v>13</v>
      </c>
      <c r="T835" t="s">
        <v>2429</v>
      </c>
      <c r="U835" t="s">
        <v>2430</v>
      </c>
    </row>
    <row r="836" spans="1:21" x14ac:dyDescent="0.25">
      <c r="A836" t="s">
        <v>3212</v>
      </c>
      <c r="B836" t="s">
        <v>353</v>
      </c>
      <c r="C836" t="s">
        <v>4</v>
      </c>
      <c r="D836" t="s">
        <v>21</v>
      </c>
      <c r="E836" t="s">
        <v>1356</v>
      </c>
      <c r="F836" t="s">
        <v>293</v>
      </c>
      <c r="G836" t="s">
        <v>2271</v>
      </c>
      <c r="H836" s="20">
        <v>46254</v>
      </c>
      <c r="I836">
        <v>1500</v>
      </c>
      <c r="J836">
        <v>68</v>
      </c>
      <c r="K836">
        <v>44</v>
      </c>
      <c r="L836">
        <v>17</v>
      </c>
      <c r="M836">
        <v>14</v>
      </c>
      <c r="N836">
        <v>12</v>
      </c>
      <c r="O836">
        <v>10</v>
      </c>
      <c r="P836" t="s">
        <v>2272</v>
      </c>
      <c r="R836" t="s">
        <v>2273</v>
      </c>
      <c r="S836">
        <v>13</v>
      </c>
      <c r="T836" t="s">
        <v>2429</v>
      </c>
      <c r="U836" t="s">
        <v>2430</v>
      </c>
    </row>
    <row r="837" spans="1:21" x14ac:dyDescent="0.25">
      <c r="A837" t="s">
        <v>3213</v>
      </c>
      <c r="B837" t="s">
        <v>353</v>
      </c>
      <c r="C837" t="s">
        <v>4</v>
      </c>
      <c r="D837" t="s">
        <v>21</v>
      </c>
      <c r="E837" t="s">
        <v>1357</v>
      </c>
      <c r="F837" t="s">
        <v>108</v>
      </c>
      <c r="G837" t="s">
        <v>2271</v>
      </c>
      <c r="H837" s="20">
        <v>46254</v>
      </c>
      <c r="I837">
        <v>1500</v>
      </c>
      <c r="J837">
        <v>68</v>
      </c>
      <c r="K837">
        <v>44</v>
      </c>
      <c r="L837">
        <v>17</v>
      </c>
      <c r="M837">
        <v>14</v>
      </c>
      <c r="N837">
        <v>12</v>
      </c>
      <c r="O837">
        <v>10</v>
      </c>
      <c r="P837" t="s">
        <v>2272</v>
      </c>
      <c r="R837" t="s">
        <v>2273</v>
      </c>
      <c r="S837">
        <v>13</v>
      </c>
      <c r="T837" t="s">
        <v>2429</v>
      </c>
      <c r="U837" t="s">
        <v>2430</v>
      </c>
    </row>
    <row r="838" spans="1:21" x14ac:dyDescent="0.25">
      <c r="A838" t="s">
        <v>3214</v>
      </c>
      <c r="B838" t="s">
        <v>353</v>
      </c>
      <c r="C838" t="s">
        <v>4</v>
      </c>
      <c r="D838" t="s">
        <v>21</v>
      </c>
      <c r="E838" t="s">
        <v>1358</v>
      </c>
      <c r="F838" t="s">
        <v>317</v>
      </c>
      <c r="G838" t="s">
        <v>2271</v>
      </c>
      <c r="H838" s="20">
        <v>46254</v>
      </c>
      <c r="I838">
        <v>1500</v>
      </c>
      <c r="J838">
        <v>68</v>
      </c>
      <c r="K838">
        <v>44</v>
      </c>
      <c r="L838">
        <v>17</v>
      </c>
      <c r="M838">
        <v>14</v>
      </c>
      <c r="N838">
        <v>12</v>
      </c>
      <c r="O838">
        <v>10</v>
      </c>
      <c r="P838" t="s">
        <v>2272</v>
      </c>
      <c r="R838" t="s">
        <v>2273</v>
      </c>
      <c r="S838">
        <v>13</v>
      </c>
      <c r="T838" t="s">
        <v>2429</v>
      </c>
      <c r="U838" t="s">
        <v>2430</v>
      </c>
    </row>
    <row r="839" spans="1:21" x14ac:dyDescent="0.25">
      <c r="A839" t="s">
        <v>3215</v>
      </c>
      <c r="B839" t="s">
        <v>353</v>
      </c>
      <c r="C839" t="s">
        <v>4</v>
      </c>
      <c r="D839" t="s">
        <v>21</v>
      </c>
      <c r="E839" t="s">
        <v>1359</v>
      </c>
      <c r="F839" t="s">
        <v>62</v>
      </c>
      <c r="G839" t="s">
        <v>2271</v>
      </c>
      <c r="H839" s="20">
        <v>46254</v>
      </c>
      <c r="I839">
        <v>1500</v>
      </c>
      <c r="J839">
        <v>68</v>
      </c>
      <c r="K839">
        <v>44</v>
      </c>
      <c r="L839">
        <v>17</v>
      </c>
      <c r="M839">
        <v>14</v>
      </c>
      <c r="N839">
        <v>12</v>
      </c>
      <c r="O839">
        <v>10</v>
      </c>
      <c r="P839" t="s">
        <v>2272</v>
      </c>
      <c r="R839" t="s">
        <v>2273</v>
      </c>
      <c r="S839">
        <v>13</v>
      </c>
      <c r="T839" t="s">
        <v>2429</v>
      </c>
      <c r="U839" t="s">
        <v>2430</v>
      </c>
    </row>
    <row r="840" spans="1:21" x14ac:dyDescent="0.25">
      <c r="A840" t="s">
        <v>3216</v>
      </c>
      <c r="B840" t="s">
        <v>353</v>
      </c>
      <c r="C840" t="s">
        <v>4</v>
      </c>
      <c r="D840" t="s">
        <v>21</v>
      </c>
      <c r="E840" t="s">
        <v>1360</v>
      </c>
      <c r="F840" t="s">
        <v>674</v>
      </c>
      <c r="G840" t="s">
        <v>2271</v>
      </c>
      <c r="H840" s="20">
        <v>46254</v>
      </c>
      <c r="I840">
        <v>1500</v>
      </c>
      <c r="J840">
        <v>68</v>
      </c>
      <c r="K840">
        <v>44</v>
      </c>
      <c r="L840">
        <v>17</v>
      </c>
      <c r="M840">
        <v>14</v>
      </c>
      <c r="N840">
        <v>12</v>
      </c>
      <c r="O840">
        <v>10</v>
      </c>
      <c r="P840" t="s">
        <v>2272</v>
      </c>
      <c r="R840" t="s">
        <v>2273</v>
      </c>
      <c r="S840">
        <v>13</v>
      </c>
      <c r="T840" t="s">
        <v>2429</v>
      </c>
      <c r="U840" t="s">
        <v>2430</v>
      </c>
    </row>
    <row r="841" spans="1:21" x14ac:dyDescent="0.25">
      <c r="A841" t="s">
        <v>3217</v>
      </c>
      <c r="B841" t="s">
        <v>353</v>
      </c>
      <c r="C841" t="s">
        <v>4</v>
      </c>
      <c r="D841" t="s">
        <v>21</v>
      </c>
      <c r="E841" t="s">
        <v>1361</v>
      </c>
      <c r="F841" t="s">
        <v>272</v>
      </c>
      <c r="G841" t="s">
        <v>2271</v>
      </c>
      <c r="H841" s="20">
        <v>46254</v>
      </c>
      <c r="I841">
        <v>1500</v>
      </c>
      <c r="J841">
        <v>68</v>
      </c>
      <c r="K841">
        <v>44</v>
      </c>
      <c r="L841">
        <v>17</v>
      </c>
      <c r="M841">
        <v>14</v>
      </c>
      <c r="N841">
        <v>12</v>
      </c>
      <c r="O841">
        <v>10</v>
      </c>
      <c r="P841" t="s">
        <v>2272</v>
      </c>
      <c r="R841" t="s">
        <v>2273</v>
      </c>
      <c r="S841">
        <v>13</v>
      </c>
      <c r="T841" t="s">
        <v>2429</v>
      </c>
      <c r="U841" t="s">
        <v>2430</v>
      </c>
    </row>
    <row r="842" spans="1:21" x14ac:dyDescent="0.25">
      <c r="A842" t="s">
        <v>3218</v>
      </c>
      <c r="B842" t="s">
        <v>353</v>
      </c>
      <c r="C842" t="s">
        <v>4</v>
      </c>
      <c r="D842" t="s">
        <v>21</v>
      </c>
      <c r="E842" t="s">
        <v>1362</v>
      </c>
      <c r="F842" t="s">
        <v>303</v>
      </c>
      <c r="G842" t="s">
        <v>2271</v>
      </c>
      <c r="H842" s="20">
        <v>46254</v>
      </c>
      <c r="I842">
        <v>1500</v>
      </c>
      <c r="J842">
        <v>68</v>
      </c>
      <c r="K842">
        <v>44</v>
      </c>
      <c r="L842">
        <v>17</v>
      </c>
      <c r="M842">
        <v>14</v>
      </c>
      <c r="N842">
        <v>12</v>
      </c>
      <c r="O842">
        <v>10</v>
      </c>
      <c r="P842" t="s">
        <v>2272</v>
      </c>
      <c r="R842" t="s">
        <v>2273</v>
      </c>
      <c r="S842">
        <v>13</v>
      </c>
      <c r="T842" t="s">
        <v>2429</v>
      </c>
      <c r="U842" t="s">
        <v>2430</v>
      </c>
    </row>
    <row r="843" spans="1:21" x14ac:dyDescent="0.25">
      <c r="A843" t="s">
        <v>3219</v>
      </c>
      <c r="B843" t="s">
        <v>353</v>
      </c>
      <c r="C843" t="s">
        <v>4</v>
      </c>
      <c r="D843" t="s">
        <v>21</v>
      </c>
      <c r="E843" t="s">
        <v>1363</v>
      </c>
      <c r="F843" t="s">
        <v>1207</v>
      </c>
      <c r="G843" t="s">
        <v>2271</v>
      </c>
      <c r="H843" s="20">
        <v>46254</v>
      </c>
      <c r="I843">
        <v>1500</v>
      </c>
      <c r="J843">
        <v>68</v>
      </c>
      <c r="K843">
        <v>44</v>
      </c>
      <c r="L843">
        <v>17</v>
      </c>
      <c r="M843">
        <v>14</v>
      </c>
      <c r="N843">
        <v>12</v>
      </c>
      <c r="O843">
        <v>10</v>
      </c>
      <c r="P843" t="s">
        <v>2272</v>
      </c>
      <c r="R843" t="s">
        <v>2273</v>
      </c>
      <c r="S843">
        <v>13</v>
      </c>
      <c r="T843" t="s">
        <v>2429</v>
      </c>
      <c r="U843" t="s">
        <v>2430</v>
      </c>
    </row>
    <row r="844" spans="1:21" x14ac:dyDescent="0.25">
      <c r="A844" t="s">
        <v>3220</v>
      </c>
      <c r="B844" t="s">
        <v>353</v>
      </c>
      <c r="C844" t="s">
        <v>4</v>
      </c>
      <c r="D844" t="s">
        <v>21</v>
      </c>
      <c r="E844" t="s">
        <v>1364</v>
      </c>
      <c r="F844" t="s">
        <v>1207</v>
      </c>
      <c r="G844" t="s">
        <v>2271</v>
      </c>
      <c r="H844" s="20">
        <v>46254</v>
      </c>
      <c r="I844">
        <v>1500</v>
      </c>
      <c r="J844">
        <v>68</v>
      </c>
      <c r="K844">
        <v>44</v>
      </c>
      <c r="L844">
        <v>17</v>
      </c>
      <c r="M844">
        <v>14</v>
      </c>
      <c r="N844">
        <v>12</v>
      </c>
      <c r="O844">
        <v>10</v>
      </c>
      <c r="P844" t="s">
        <v>2272</v>
      </c>
      <c r="R844" t="s">
        <v>2273</v>
      </c>
      <c r="S844">
        <v>13</v>
      </c>
      <c r="T844" t="s">
        <v>2429</v>
      </c>
      <c r="U844" t="s">
        <v>2430</v>
      </c>
    </row>
    <row r="845" spans="1:21" x14ac:dyDescent="0.25">
      <c r="A845" t="s">
        <v>3221</v>
      </c>
      <c r="B845" t="s">
        <v>353</v>
      </c>
      <c r="C845" t="s">
        <v>4</v>
      </c>
      <c r="D845" t="s">
        <v>21</v>
      </c>
      <c r="E845" t="s">
        <v>1365</v>
      </c>
      <c r="F845" t="s">
        <v>1366</v>
      </c>
      <c r="G845" t="s">
        <v>2271</v>
      </c>
      <c r="H845" s="20">
        <v>46254</v>
      </c>
      <c r="I845">
        <v>1500</v>
      </c>
      <c r="J845">
        <v>68</v>
      </c>
      <c r="K845">
        <v>44</v>
      </c>
      <c r="L845">
        <v>17</v>
      </c>
      <c r="M845">
        <v>14</v>
      </c>
      <c r="N845">
        <v>12</v>
      </c>
      <c r="O845">
        <v>10</v>
      </c>
      <c r="P845" t="s">
        <v>2272</v>
      </c>
      <c r="R845" t="s">
        <v>2273</v>
      </c>
      <c r="S845">
        <v>13</v>
      </c>
      <c r="T845" t="s">
        <v>2429</v>
      </c>
      <c r="U845" t="s">
        <v>2430</v>
      </c>
    </row>
    <row r="846" spans="1:21" x14ac:dyDescent="0.25">
      <c r="A846" t="s">
        <v>3222</v>
      </c>
      <c r="B846" t="s">
        <v>353</v>
      </c>
      <c r="C846" t="s">
        <v>4</v>
      </c>
      <c r="D846" t="s">
        <v>21</v>
      </c>
      <c r="E846" t="s">
        <v>1367</v>
      </c>
      <c r="F846" t="s">
        <v>1108</v>
      </c>
      <c r="G846" t="s">
        <v>2271</v>
      </c>
      <c r="H846" s="20">
        <v>46254</v>
      </c>
      <c r="I846">
        <v>1500</v>
      </c>
      <c r="J846">
        <v>68</v>
      </c>
      <c r="K846">
        <v>44</v>
      </c>
      <c r="L846">
        <v>17</v>
      </c>
      <c r="M846">
        <v>14</v>
      </c>
      <c r="N846">
        <v>12</v>
      </c>
      <c r="O846">
        <v>10</v>
      </c>
      <c r="P846" t="s">
        <v>2272</v>
      </c>
      <c r="R846" t="s">
        <v>2273</v>
      </c>
      <c r="S846">
        <v>13</v>
      </c>
      <c r="T846" t="s">
        <v>2429</v>
      </c>
      <c r="U846" t="s">
        <v>2430</v>
      </c>
    </row>
    <row r="847" spans="1:21" x14ac:dyDescent="0.25">
      <c r="A847" t="s">
        <v>3223</v>
      </c>
      <c r="B847" t="s">
        <v>353</v>
      </c>
      <c r="C847" t="s">
        <v>4</v>
      </c>
      <c r="D847" t="s">
        <v>21</v>
      </c>
      <c r="E847" t="s">
        <v>1368</v>
      </c>
      <c r="F847" t="s">
        <v>1118</v>
      </c>
      <c r="G847" t="s">
        <v>2271</v>
      </c>
      <c r="H847" s="20">
        <v>46254</v>
      </c>
      <c r="I847">
        <v>1500</v>
      </c>
      <c r="J847">
        <v>68</v>
      </c>
      <c r="K847">
        <v>44</v>
      </c>
      <c r="L847">
        <v>17</v>
      </c>
      <c r="M847">
        <v>14</v>
      </c>
      <c r="N847">
        <v>12</v>
      </c>
      <c r="O847">
        <v>10</v>
      </c>
      <c r="P847" t="s">
        <v>2272</v>
      </c>
      <c r="R847" t="s">
        <v>2273</v>
      </c>
      <c r="S847">
        <v>13</v>
      </c>
      <c r="T847" t="s">
        <v>2429</v>
      </c>
      <c r="U847" t="s">
        <v>2430</v>
      </c>
    </row>
    <row r="848" spans="1:21" x14ac:dyDescent="0.25">
      <c r="A848" t="s">
        <v>3224</v>
      </c>
      <c r="B848" t="s">
        <v>353</v>
      </c>
      <c r="C848" t="s">
        <v>4</v>
      </c>
      <c r="D848" t="s">
        <v>29</v>
      </c>
      <c r="E848" t="s">
        <v>1369</v>
      </c>
      <c r="F848" t="s">
        <v>1370</v>
      </c>
      <c r="H848" s="20"/>
      <c r="P848" t="s">
        <v>2291</v>
      </c>
      <c r="R848" t="s">
        <v>2292</v>
      </c>
    </row>
    <row r="849" spans="1:18" x14ac:dyDescent="0.25">
      <c r="A849" t="s">
        <v>3225</v>
      </c>
      <c r="B849" t="s">
        <v>353</v>
      </c>
      <c r="C849" t="s">
        <v>4</v>
      </c>
      <c r="D849" t="s">
        <v>29</v>
      </c>
      <c r="E849" t="s">
        <v>1371</v>
      </c>
      <c r="F849" t="s">
        <v>1197</v>
      </c>
      <c r="H849" s="20"/>
      <c r="P849" t="s">
        <v>2291</v>
      </c>
      <c r="R849" t="s">
        <v>2292</v>
      </c>
    </row>
    <row r="850" spans="1:18" x14ac:dyDescent="0.25">
      <c r="A850" t="s">
        <v>3226</v>
      </c>
      <c r="B850" t="s">
        <v>353</v>
      </c>
      <c r="C850" t="s">
        <v>4</v>
      </c>
      <c r="D850" t="s">
        <v>29</v>
      </c>
      <c r="E850" t="s">
        <v>1372</v>
      </c>
      <c r="F850" t="s">
        <v>333</v>
      </c>
      <c r="H850" s="20"/>
      <c r="P850" t="s">
        <v>2291</v>
      </c>
      <c r="R850" t="s">
        <v>2292</v>
      </c>
    </row>
    <row r="851" spans="1:18" x14ac:dyDescent="0.25">
      <c r="A851" t="s">
        <v>3227</v>
      </c>
      <c r="B851" t="s">
        <v>353</v>
      </c>
      <c r="C851" t="s">
        <v>4</v>
      </c>
      <c r="D851" t="s">
        <v>29</v>
      </c>
      <c r="E851" t="s">
        <v>1373</v>
      </c>
      <c r="F851" t="s">
        <v>49</v>
      </c>
      <c r="H851" s="20"/>
      <c r="P851" t="s">
        <v>2291</v>
      </c>
      <c r="R851" t="s">
        <v>2292</v>
      </c>
    </row>
    <row r="852" spans="1:18" x14ac:dyDescent="0.25">
      <c r="A852" t="s">
        <v>3228</v>
      </c>
      <c r="B852" t="s">
        <v>353</v>
      </c>
      <c r="C852" t="s">
        <v>4</v>
      </c>
      <c r="D852" t="s">
        <v>29</v>
      </c>
      <c r="E852" t="s">
        <v>1374</v>
      </c>
      <c r="F852" t="s">
        <v>293</v>
      </c>
      <c r="H852" s="20"/>
      <c r="P852" t="s">
        <v>2291</v>
      </c>
      <c r="R852" t="s">
        <v>2292</v>
      </c>
    </row>
    <row r="853" spans="1:18" x14ac:dyDescent="0.25">
      <c r="A853" t="s">
        <v>3229</v>
      </c>
      <c r="B853" t="s">
        <v>353</v>
      </c>
      <c r="C853" t="s">
        <v>4</v>
      </c>
      <c r="D853" t="s">
        <v>29</v>
      </c>
      <c r="E853" t="s">
        <v>1375</v>
      </c>
      <c r="F853" t="s">
        <v>1376</v>
      </c>
      <c r="H853" s="20"/>
      <c r="P853" t="s">
        <v>2291</v>
      </c>
      <c r="R853" t="s">
        <v>2292</v>
      </c>
    </row>
    <row r="854" spans="1:18" x14ac:dyDescent="0.25">
      <c r="A854" t="s">
        <v>3230</v>
      </c>
      <c r="B854" t="s">
        <v>353</v>
      </c>
      <c r="C854" t="s">
        <v>4</v>
      </c>
      <c r="D854" t="s">
        <v>29</v>
      </c>
      <c r="E854" t="s">
        <v>1377</v>
      </c>
      <c r="F854" t="s">
        <v>752</v>
      </c>
      <c r="H854" s="20"/>
      <c r="P854" t="s">
        <v>2291</v>
      </c>
      <c r="R854" t="s">
        <v>2292</v>
      </c>
    </row>
    <row r="855" spans="1:18" x14ac:dyDescent="0.25">
      <c r="A855" t="s">
        <v>3231</v>
      </c>
      <c r="B855" t="s">
        <v>353</v>
      </c>
      <c r="C855" t="s">
        <v>4</v>
      </c>
      <c r="D855" t="s">
        <v>29</v>
      </c>
      <c r="E855" t="s">
        <v>1378</v>
      </c>
      <c r="F855" t="s">
        <v>1118</v>
      </c>
      <c r="H855" s="20"/>
      <c r="P855" t="s">
        <v>2291</v>
      </c>
      <c r="R855" t="s">
        <v>2292</v>
      </c>
    </row>
    <row r="856" spans="1:18" x14ac:dyDescent="0.25">
      <c r="A856" t="s">
        <v>3232</v>
      </c>
      <c r="B856" t="s">
        <v>353</v>
      </c>
      <c r="C856" t="s">
        <v>4</v>
      </c>
      <c r="D856" t="s">
        <v>26</v>
      </c>
      <c r="E856" t="s">
        <v>1379</v>
      </c>
      <c r="F856" t="s">
        <v>637</v>
      </c>
      <c r="H856" s="20"/>
      <c r="P856" t="s">
        <v>2291</v>
      </c>
      <c r="R856" t="s">
        <v>2292</v>
      </c>
    </row>
    <row r="857" spans="1:18" x14ac:dyDescent="0.25">
      <c r="A857" t="s">
        <v>3233</v>
      </c>
      <c r="B857" t="s">
        <v>353</v>
      </c>
      <c r="C857" t="s">
        <v>4</v>
      </c>
      <c r="D857" t="s">
        <v>26</v>
      </c>
      <c r="E857" t="s">
        <v>1379</v>
      </c>
      <c r="F857" t="s">
        <v>630</v>
      </c>
      <c r="H857" s="20"/>
      <c r="P857" t="s">
        <v>2291</v>
      </c>
      <c r="R857" t="s">
        <v>2292</v>
      </c>
    </row>
    <row r="858" spans="1:18" x14ac:dyDescent="0.25">
      <c r="A858" t="s">
        <v>3234</v>
      </c>
      <c r="B858" t="s">
        <v>353</v>
      </c>
      <c r="C858" t="s">
        <v>4</v>
      </c>
      <c r="D858" t="s">
        <v>26</v>
      </c>
      <c r="E858" t="s">
        <v>1380</v>
      </c>
      <c r="F858" t="s">
        <v>985</v>
      </c>
      <c r="H858" s="20"/>
      <c r="P858" t="s">
        <v>2291</v>
      </c>
      <c r="R858" t="s">
        <v>2292</v>
      </c>
    </row>
    <row r="859" spans="1:18" x14ac:dyDescent="0.25">
      <c r="A859" t="s">
        <v>3235</v>
      </c>
      <c r="B859" t="s">
        <v>353</v>
      </c>
      <c r="C859" t="s">
        <v>4</v>
      </c>
      <c r="D859" t="s">
        <v>26</v>
      </c>
      <c r="E859" t="s">
        <v>1381</v>
      </c>
      <c r="F859" t="s">
        <v>228</v>
      </c>
      <c r="H859" s="20"/>
      <c r="P859" t="s">
        <v>2291</v>
      </c>
      <c r="R859" t="s">
        <v>2292</v>
      </c>
    </row>
    <row r="860" spans="1:18" x14ac:dyDescent="0.25">
      <c r="A860" t="s">
        <v>3236</v>
      </c>
      <c r="B860" t="s">
        <v>353</v>
      </c>
      <c r="C860" t="s">
        <v>4</v>
      </c>
      <c r="D860" t="s">
        <v>26</v>
      </c>
      <c r="E860" t="s">
        <v>1381</v>
      </c>
      <c r="F860" t="s">
        <v>726</v>
      </c>
      <c r="H860" s="20"/>
      <c r="P860" t="s">
        <v>2291</v>
      </c>
      <c r="R860" t="s">
        <v>2292</v>
      </c>
    </row>
    <row r="861" spans="1:18" x14ac:dyDescent="0.25">
      <c r="A861" t="s">
        <v>3237</v>
      </c>
      <c r="B861" t="s">
        <v>353</v>
      </c>
      <c r="C861" t="s">
        <v>4</v>
      </c>
      <c r="D861" t="s">
        <v>26</v>
      </c>
      <c r="E861" t="s">
        <v>1382</v>
      </c>
      <c r="F861" t="s">
        <v>237</v>
      </c>
      <c r="H861" s="20"/>
      <c r="P861" t="s">
        <v>2291</v>
      </c>
      <c r="R861" t="s">
        <v>2292</v>
      </c>
    </row>
    <row r="862" spans="1:18" x14ac:dyDescent="0.25">
      <c r="A862" t="s">
        <v>3238</v>
      </c>
      <c r="B862" t="s">
        <v>353</v>
      </c>
      <c r="C862" t="s">
        <v>4</v>
      </c>
      <c r="D862" t="s">
        <v>26</v>
      </c>
      <c r="E862" t="s">
        <v>1383</v>
      </c>
      <c r="F862" t="s">
        <v>1319</v>
      </c>
      <c r="H862" s="20"/>
      <c r="P862" t="s">
        <v>2291</v>
      </c>
      <c r="R862" t="s">
        <v>2292</v>
      </c>
    </row>
    <row r="863" spans="1:18" x14ac:dyDescent="0.25">
      <c r="A863" t="s">
        <v>3239</v>
      </c>
      <c r="B863" t="s">
        <v>353</v>
      </c>
      <c r="C863" t="s">
        <v>4</v>
      </c>
      <c r="D863" t="s">
        <v>26</v>
      </c>
      <c r="E863" t="s">
        <v>1383</v>
      </c>
      <c r="F863" t="s">
        <v>289</v>
      </c>
      <c r="H863" s="20"/>
      <c r="P863" t="s">
        <v>2291</v>
      </c>
      <c r="R863" t="s">
        <v>2292</v>
      </c>
    </row>
    <row r="864" spans="1:18" x14ac:dyDescent="0.25">
      <c r="A864" t="s">
        <v>3240</v>
      </c>
      <c r="B864" t="s">
        <v>353</v>
      </c>
      <c r="C864" t="s">
        <v>4</v>
      </c>
      <c r="D864" t="s">
        <v>26</v>
      </c>
      <c r="E864" t="s">
        <v>1384</v>
      </c>
      <c r="F864" t="s">
        <v>678</v>
      </c>
      <c r="H864" s="20"/>
      <c r="P864" t="s">
        <v>2291</v>
      </c>
      <c r="R864" t="s">
        <v>2292</v>
      </c>
    </row>
    <row r="865" spans="1:21" x14ac:dyDescent="0.25">
      <c r="A865" t="s">
        <v>3241</v>
      </c>
      <c r="B865" t="s">
        <v>353</v>
      </c>
      <c r="C865" t="s">
        <v>4</v>
      </c>
      <c r="D865" t="s">
        <v>26</v>
      </c>
      <c r="E865" t="s">
        <v>1385</v>
      </c>
      <c r="F865" t="s">
        <v>530</v>
      </c>
      <c r="H865" s="20"/>
      <c r="P865" t="s">
        <v>2291</v>
      </c>
      <c r="R865" t="s">
        <v>2292</v>
      </c>
    </row>
    <row r="866" spans="1:21" x14ac:dyDescent="0.25">
      <c r="A866" t="s">
        <v>3242</v>
      </c>
      <c r="B866" t="s">
        <v>353</v>
      </c>
      <c r="C866" t="s">
        <v>4</v>
      </c>
      <c r="D866" t="s">
        <v>26</v>
      </c>
      <c r="E866" t="s">
        <v>1385</v>
      </c>
      <c r="F866" t="s">
        <v>262</v>
      </c>
      <c r="H866" s="20"/>
      <c r="P866" t="s">
        <v>2291</v>
      </c>
      <c r="R866" t="s">
        <v>2292</v>
      </c>
    </row>
    <row r="867" spans="1:21" x14ac:dyDescent="0.25">
      <c r="A867" t="s">
        <v>3243</v>
      </c>
      <c r="B867" t="s">
        <v>353</v>
      </c>
      <c r="C867" t="s">
        <v>4</v>
      </c>
      <c r="D867" t="s">
        <v>26</v>
      </c>
      <c r="E867" t="s">
        <v>1386</v>
      </c>
      <c r="F867" t="s">
        <v>262</v>
      </c>
      <c r="H867" s="20"/>
      <c r="P867" t="s">
        <v>2291</v>
      </c>
      <c r="R867" t="s">
        <v>2292</v>
      </c>
    </row>
    <row r="868" spans="1:21" x14ac:dyDescent="0.25">
      <c r="A868" t="s">
        <v>3244</v>
      </c>
      <c r="B868" t="s">
        <v>353</v>
      </c>
      <c r="C868" t="s">
        <v>4</v>
      </c>
      <c r="D868" t="s">
        <v>26</v>
      </c>
      <c r="E868" t="s">
        <v>1387</v>
      </c>
      <c r="F868" t="s">
        <v>317</v>
      </c>
      <c r="H868" s="20"/>
      <c r="P868" t="s">
        <v>2291</v>
      </c>
      <c r="R868" t="s">
        <v>2292</v>
      </c>
    </row>
    <row r="869" spans="1:21" x14ac:dyDescent="0.25">
      <c r="A869" t="s">
        <v>3245</v>
      </c>
      <c r="B869" t="s">
        <v>353</v>
      </c>
      <c r="C869" t="s">
        <v>4</v>
      </c>
      <c r="D869" t="s">
        <v>26</v>
      </c>
      <c r="E869" t="s">
        <v>1387</v>
      </c>
      <c r="F869" t="s">
        <v>478</v>
      </c>
      <c r="H869" s="20"/>
      <c r="P869" t="s">
        <v>2291</v>
      </c>
      <c r="R869" t="s">
        <v>2292</v>
      </c>
    </row>
    <row r="870" spans="1:21" x14ac:dyDescent="0.25">
      <c r="A870" t="s">
        <v>3246</v>
      </c>
      <c r="B870" t="s">
        <v>353</v>
      </c>
      <c r="C870" t="s">
        <v>4</v>
      </c>
      <c r="D870" t="s">
        <v>21</v>
      </c>
      <c r="E870" t="s">
        <v>1388</v>
      </c>
      <c r="F870" t="s">
        <v>330</v>
      </c>
      <c r="G870" t="s">
        <v>2271</v>
      </c>
      <c r="H870" s="20">
        <v>46254</v>
      </c>
      <c r="I870">
        <v>1500</v>
      </c>
      <c r="J870">
        <v>68</v>
      </c>
      <c r="K870">
        <v>44</v>
      </c>
      <c r="L870">
        <v>17</v>
      </c>
      <c r="M870">
        <v>14</v>
      </c>
      <c r="N870">
        <v>12</v>
      </c>
      <c r="O870">
        <v>10</v>
      </c>
      <c r="P870" t="s">
        <v>2272</v>
      </c>
      <c r="R870" t="s">
        <v>2273</v>
      </c>
      <c r="S870">
        <v>13</v>
      </c>
      <c r="T870" t="s">
        <v>2429</v>
      </c>
      <c r="U870" t="s">
        <v>2430</v>
      </c>
    </row>
    <row r="871" spans="1:21" x14ac:dyDescent="0.25">
      <c r="A871" t="s">
        <v>3247</v>
      </c>
      <c r="B871" t="s">
        <v>353</v>
      </c>
      <c r="C871" t="s">
        <v>4</v>
      </c>
      <c r="D871" t="s">
        <v>21</v>
      </c>
      <c r="E871" t="s">
        <v>1389</v>
      </c>
      <c r="F871" t="s">
        <v>147</v>
      </c>
      <c r="G871" t="s">
        <v>2271</v>
      </c>
      <c r="H871" s="20">
        <v>46254</v>
      </c>
      <c r="I871">
        <v>1500</v>
      </c>
      <c r="J871">
        <v>68</v>
      </c>
      <c r="K871">
        <v>44</v>
      </c>
      <c r="L871">
        <v>17</v>
      </c>
      <c r="M871">
        <v>14</v>
      </c>
      <c r="N871">
        <v>12</v>
      </c>
      <c r="O871">
        <v>10</v>
      </c>
      <c r="P871" t="s">
        <v>2272</v>
      </c>
      <c r="R871" t="s">
        <v>2273</v>
      </c>
      <c r="S871">
        <v>13</v>
      </c>
      <c r="T871" t="s">
        <v>2429</v>
      </c>
      <c r="U871" t="s">
        <v>2430</v>
      </c>
    </row>
    <row r="872" spans="1:21" x14ac:dyDescent="0.25">
      <c r="A872" t="s">
        <v>3248</v>
      </c>
      <c r="B872" t="s">
        <v>353</v>
      </c>
      <c r="C872" t="s">
        <v>4</v>
      </c>
      <c r="D872" t="s">
        <v>21</v>
      </c>
      <c r="E872" t="s">
        <v>1390</v>
      </c>
      <c r="F872" t="s">
        <v>250</v>
      </c>
      <c r="G872" t="s">
        <v>2271</v>
      </c>
      <c r="H872" s="20">
        <v>46254</v>
      </c>
      <c r="I872">
        <v>1500</v>
      </c>
      <c r="J872">
        <v>68</v>
      </c>
      <c r="K872">
        <v>44</v>
      </c>
      <c r="L872">
        <v>17</v>
      </c>
      <c r="M872">
        <v>14</v>
      </c>
      <c r="N872">
        <v>12</v>
      </c>
      <c r="O872">
        <v>10</v>
      </c>
      <c r="P872" t="s">
        <v>2272</v>
      </c>
      <c r="R872" t="s">
        <v>2273</v>
      </c>
      <c r="S872">
        <v>13</v>
      </c>
      <c r="T872" t="s">
        <v>2429</v>
      </c>
      <c r="U872" t="s">
        <v>2430</v>
      </c>
    </row>
    <row r="873" spans="1:21" x14ac:dyDescent="0.25">
      <c r="A873" t="s">
        <v>3249</v>
      </c>
      <c r="B873" t="s">
        <v>353</v>
      </c>
      <c r="C873" t="s">
        <v>904</v>
      </c>
      <c r="D873" t="s">
        <v>24</v>
      </c>
      <c r="E873" t="s">
        <v>1392</v>
      </c>
      <c r="F873" t="s">
        <v>1393</v>
      </c>
      <c r="G873" t="s">
        <v>2271</v>
      </c>
      <c r="H873" s="20">
        <v>46250</v>
      </c>
      <c r="I873">
        <v>1800</v>
      </c>
      <c r="J873">
        <v>45</v>
      </c>
      <c r="K873">
        <v>37</v>
      </c>
      <c r="L873">
        <v>32</v>
      </c>
      <c r="P873" t="s">
        <v>2272</v>
      </c>
      <c r="Q873" t="s">
        <v>3250</v>
      </c>
      <c r="R873" t="s">
        <v>2423</v>
      </c>
      <c r="S873">
        <v>4</v>
      </c>
      <c r="T873" t="s">
        <v>2274</v>
      </c>
      <c r="U873" t="s">
        <v>2275</v>
      </c>
    </row>
    <row r="874" spans="1:21" x14ac:dyDescent="0.25">
      <c r="A874" t="s">
        <v>3251</v>
      </c>
      <c r="B874" t="s">
        <v>353</v>
      </c>
      <c r="C874" t="s">
        <v>904</v>
      </c>
      <c r="D874" t="s">
        <v>24</v>
      </c>
      <c r="E874" t="s">
        <v>1394</v>
      </c>
      <c r="F874" t="s">
        <v>464</v>
      </c>
      <c r="G874" t="s">
        <v>2271</v>
      </c>
      <c r="H874" s="20">
        <v>46250</v>
      </c>
      <c r="I874">
        <v>1800</v>
      </c>
      <c r="J874">
        <v>45</v>
      </c>
      <c r="K874">
        <v>37</v>
      </c>
      <c r="L874">
        <v>32</v>
      </c>
      <c r="P874" t="s">
        <v>2272</v>
      </c>
      <c r="Q874" t="s">
        <v>3250</v>
      </c>
      <c r="R874" t="s">
        <v>2423</v>
      </c>
      <c r="S874">
        <v>4</v>
      </c>
      <c r="T874" t="s">
        <v>2274</v>
      </c>
      <c r="U874" t="s">
        <v>2275</v>
      </c>
    </row>
    <row r="875" spans="1:21" x14ac:dyDescent="0.25">
      <c r="A875" t="s">
        <v>3252</v>
      </c>
      <c r="B875" t="s">
        <v>353</v>
      </c>
      <c r="C875" t="s">
        <v>904</v>
      </c>
      <c r="D875" t="s">
        <v>24</v>
      </c>
      <c r="E875" t="s">
        <v>1395</v>
      </c>
      <c r="F875" t="s">
        <v>488</v>
      </c>
      <c r="G875" t="s">
        <v>2425</v>
      </c>
      <c r="H875" s="20">
        <v>46250</v>
      </c>
      <c r="I875">
        <v>1800</v>
      </c>
      <c r="J875">
        <v>43</v>
      </c>
      <c r="K875">
        <v>35</v>
      </c>
      <c r="L875">
        <v>20</v>
      </c>
      <c r="P875" t="s">
        <v>2272</v>
      </c>
      <c r="Q875" t="s">
        <v>3253</v>
      </c>
      <c r="R875" t="s">
        <v>2423</v>
      </c>
      <c r="S875">
        <v>4</v>
      </c>
      <c r="T875" t="s">
        <v>2274</v>
      </c>
      <c r="U875" t="s">
        <v>2275</v>
      </c>
    </row>
    <row r="876" spans="1:21" x14ac:dyDescent="0.25">
      <c r="A876" t="s">
        <v>3254</v>
      </c>
      <c r="B876" t="s">
        <v>353</v>
      </c>
      <c r="C876" t="s">
        <v>904</v>
      </c>
      <c r="D876" t="s">
        <v>24</v>
      </c>
      <c r="E876" t="s">
        <v>1396</v>
      </c>
      <c r="F876" t="s">
        <v>836</v>
      </c>
      <c r="G876" t="s">
        <v>2425</v>
      </c>
      <c r="H876" s="20">
        <v>46250</v>
      </c>
      <c r="I876">
        <v>1800</v>
      </c>
      <c r="J876">
        <v>43</v>
      </c>
      <c r="K876">
        <v>35</v>
      </c>
      <c r="L876">
        <v>20</v>
      </c>
      <c r="P876" t="s">
        <v>2272</v>
      </c>
      <c r="Q876" t="s">
        <v>3253</v>
      </c>
      <c r="R876" t="s">
        <v>2423</v>
      </c>
      <c r="S876">
        <v>4</v>
      </c>
      <c r="T876" t="s">
        <v>2274</v>
      </c>
      <c r="U876" t="s">
        <v>2275</v>
      </c>
    </row>
    <row r="877" spans="1:21" x14ac:dyDescent="0.25">
      <c r="A877" t="s">
        <v>3255</v>
      </c>
      <c r="B877" t="s">
        <v>353</v>
      </c>
      <c r="C877" t="s">
        <v>904</v>
      </c>
      <c r="D877" t="s">
        <v>24</v>
      </c>
      <c r="E877" t="s">
        <v>1397</v>
      </c>
      <c r="F877" t="s">
        <v>235</v>
      </c>
      <c r="G877" t="s">
        <v>2425</v>
      </c>
      <c r="H877" s="20">
        <v>46250</v>
      </c>
      <c r="I877">
        <v>1800</v>
      </c>
      <c r="J877">
        <v>43</v>
      </c>
      <c r="K877">
        <v>35</v>
      </c>
      <c r="L877">
        <v>20</v>
      </c>
      <c r="P877" t="s">
        <v>2272</v>
      </c>
      <c r="Q877" t="s">
        <v>3253</v>
      </c>
      <c r="R877" t="s">
        <v>2423</v>
      </c>
      <c r="S877">
        <v>4</v>
      </c>
      <c r="T877" t="s">
        <v>2274</v>
      </c>
      <c r="U877" t="s">
        <v>2275</v>
      </c>
    </row>
    <row r="878" spans="1:21" x14ac:dyDescent="0.25">
      <c r="A878" t="s">
        <v>3256</v>
      </c>
      <c r="B878" t="s">
        <v>353</v>
      </c>
      <c r="C878" t="s">
        <v>904</v>
      </c>
      <c r="D878" t="s">
        <v>24</v>
      </c>
      <c r="E878" t="s">
        <v>1397</v>
      </c>
      <c r="F878" t="s">
        <v>159</v>
      </c>
      <c r="G878" t="s">
        <v>2425</v>
      </c>
      <c r="H878" s="20">
        <v>46250</v>
      </c>
      <c r="I878">
        <v>1800</v>
      </c>
      <c r="J878">
        <v>43</v>
      </c>
      <c r="K878">
        <v>35</v>
      </c>
      <c r="L878">
        <v>20</v>
      </c>
      <c r="P878" t="s">
        <v>2272</v>
      </c>
      <c r="Q878" t="s">
        <v>3253</v>
      </c>
      <c r="R878" t="s">
        <v>2423</v>
      </c>
      <c r="S878">
        <v>4</v>
      </c>
      <c r="T878" t="s">
        <v>2274</v>
      </c>
      <c r="U878" t="s">
        <v>2275</v>
      </c>
    </row>
    <row r="879" spans="1:21" x14ac:dyDescent="0.25">
      <c r="A879" t="s">
        <v>3257</v>
      </c>
      <c r="B879" t="s">
        <v>353</v>
      </c>
      <c r="C879" t="s">
        <v>904</v>
      </c>
      <c r="D879" t="s">
        <v>24</v>
      </c>
      <c r="E879" t="s">
        <v>1398</v>
      </c>
      <c r="F879" t="s">
        <v>513</v>
      </c>
      <c r="G879" t="s">
        <v>2425</v>
      </c>
      <c r="H879" s="20">
        <v>46250</v>
      </c>
      <c r="I879">
        <v>1800</v>
      </c>
      <c r="J879">
        <v>43</v>
      </c>
      <c r="K879">
        <v>35</v>
      </c>
      <c r="L879">
        <v>20</v>
      </c>
      <c r="P879" t="s">
        <v>2272</v>
      </c>
      <c r="Q879" t="s">
        <v>3253</v>
      </c>
      <c r="R879" t="s">
        <v>2423</v>
      </c>
      <c r="S879">
        <v>4</v>
      </c>
      <c r="T879" t="s">
        <v>2274</v>
      </c>
      <c r="U879" t="s">
        <v>2275</v>
      </c>
    </row>
    <row r="880" spans="1:21" x14ac:dyDescent="0.25">
      <c r="A880" t="s">
        <v>3258</v>
      </c>
      <c r="B880" t="s">
        <v>353</v>
      </c>
      <c r="C880" t="s">
        <v>904</v>
      </c>
      <c r="D880" t="s">
        <v>24</v>
      </c>
      <c r="E880" t="s">
        <v>1399</v>
      </c>
      <c r="F880" t="s">
        <v>250</v>
      </c>
      <c r="G880" t="s">
        <v>2425</v>
      </c>
      <c r="H880" s="20">
        <v>46250</v>
      </c>
      <c r="I880">
        <v>1800</v>
      </c>
      <c r="J880">
        <v>43</v>
      </c>
      <c r="K880">
        <v>35</v>
      </c>
      <c r="L880">
        <v>20</v>
      </c>
      <c r="P880" t="s">
        <v>2272</v>
      </c>
      <c r="Q880" t="s">
        <v>3253</v>
      </c>
      <c r="R880" t="s">
        <v>2423</v>
      </c>
      <c r="S880">
        <v>4</v>
      </c>
      <c r="T880" t="s">
        <v>2274</v>
      </c>
      <c r="U880" t="s">
        <v>2275</v>
      </c>
    </row>
    <row r="881" spans="1:21" x14ac:dyDescent="0.25">
      <c r="A881" t="s">
        <v>3259</v>
      </c>
      <c r="B881" t="s">
        <v>353</v>
      </c>
      <c r="C881" t="s">
        <v>904</v>
      </c>
      <c r="D881" t="s">
        <v>24</v>
      </c>
      <c r="E881" t="s">
        <v>1400</v>
      </c>
      <c r="F881" t="s">
        <v>693</v>
      </c>
      <c r="G881" t="s">
        <v>2425</v>
      </c>
      <c r="H881" s="20">
        <v>46250</v>
      </c>
      <c r="I881">
        <v>1800</v>
      </c>
      <c r="J881">
        <v>43</v>
      </c>
      <c r="K881">
        <v>35</v>
      </c>
      <c r="L881">
        <v>20</v>
      </c>
      <c r="P881" t="s">
        <v>2272</v>
      </c>
      <c r="Q881" t="s">
        <v>3253</v>
      </c>
      <c r="R881" t="s">
        <v>2423</v>
      </c>
      <c r="S881">
        <v>4</v>
      </c>
      <c r="T881" t="s">
        <v>2274</v>
      </c>
      <c r="U881" t="s">
        <v>2275</v>
      </c>
    </row>
    <row r="882" spans="1:21" x14ac:dyDescent="0.25">
      <c r="A882" t="s">
        <v>3260</v>
      </c>
      <c r="B882" t="s">
        <v>353</v>
      </c>
      <c r="C882" t="s">
        <v>904</v>
      </c>
      <c r="D882" t="s">
        <v>24</v>
      </c>
      <c r="E882" t="s">
        <v>1401</v>
      </c>
      <c r="F882" t="s">
        <v>760</v>
      </c>
      <c r="G882" t="s">
        <v>2425</v>
      </c>
      <c r="H882" s="20">
        <v>46250</v>
      </c>
      <c r="I882">
        <v>1800</v>
      </c>
      <c r="J882">
        <v>43</v>
      </c>
      <c r="K882">
        <v>35</v>
      </c>
      <c r="L882">
        <v>20</v>
      </c>
      <c r="P882" t="s">
        <v>2272</v>
      </c>
      <c r="Q882" t="s">
        <v>3253</v>
      </c>
      <c r="R882" t="s">
        <v>2423</v>
      </c>
      <c r="S882">
        <v>4</v>
      </c>
      <c r="T882" t="s">
        <v>2274</v>
      </c>
      <c r="U882" t="s">
        <v>2275</v>
      </c>
    </row>
    <row r="883" spans="1:21" x14ac:dyDescent="0.25">
      <c r="A883" t="s">
        <v>3261</v>
      </c>
      <c r="B883" t="s">
        <v>353</v>
      </c>
      <c r="C883" t="s">
        <v>904</v>
      </c>
      <c r="D883" t="s">
        <v>24</v>
      </c>
      <c r="E883" t="s">
        <v>1402</v>
      </c>
      <c r="F883" t="s">
        <v>352</v>
      </c>
      <c r="G883" t="s">
        <v>2425</v>
      </c>
      <c r="H883" s="20">
        <v>46250</v>
      </c>
      <c r="I883">
        <v>1800</v>
      </c>
      <c r="J883">
        <v>43</v>
      </c>
      <c r="K883">
        <v>35</v>
      </c>
      <c r="L883">
        <v>20</v>
      </c>
      <c r="P883" t="s">
        <v>2272</v>
      </c>
      <c r="Q883" t="s">
        <v>3253</v>
      </c>
      <c r="R883" t="s">
        <v>2423</v>
      </c>
      <c r="S883">
        <v>4</v>
      </c>
      <c r="T883" t="s">
        <v>2274</v>
      </c>
      <c r="U883" t="s">
        <v>2275</v>
      </c>
    </row>
    <row r="884" spans="1:21" x14ac:dyDescent="0.25">
      <c r="A884" t="s">
        <v>3262</v>
      </c>
      <c r="B884" t="s">
        <v>353</v>
      </c>
      <c r="C884" t="s">
        <v>904</v>
      </c>
      <c r="D884" t="s">
        <v>21</v>
      </c>
      <c r="E884" t="s">
        <v>1403</v>
      </c>
      <c r="F884" t="s">
        <v>746</v>
      </c>
      <c r="G884" t="s">
        <v>2444</v>
      </c>
      <c r="H884" s="20">
        <v>46254</v>
      </c>
      <c r="I884">
        <v>1500</v>
      </c>
      <c r="J884">
        <v>45</v>
      </c>
      <c r="K884">
        <v>37</v>
      </c>
      <c r="L884">
        <v>30</v>
      </c>
      <c r="P884" t="s">
        <v>2272</v>
      </c>
      <c r="Q884" t="s">
        <v>3263</v>
      </c>
      <c r="R884" t="s">
        <v>2446</v>
      </c>
      <c r="S884">
        <v>13</v>
      </c>
      <c r="T884" t="s">
        <v>2429</v>
      </c>
      <c r="U884" t="s">
        <v>2430</v>
      </c>
    </row>
    <row r="885" spans="1:21" x14ac:dyDescent="0.25">
      <c r="A885" t="s">
        <v>3264</v>
      </c>
      <c r="B885" t="s">
        <v>353</v>
      </c>
      <c r="C885" t="s">
        <v>904</v>
      </c>
      <c r="D885" t="s">
        <v>21</v>
      </c>
      <c r="E885" t="s">
        <v>1404</v>
      </c>
      <c r="F885" t="s">
        <v>1405</v>
      </c>
      <c r="G885" t="s">
        <v>2271</v>
      </c>
      <c r="H885" s="20">
        <v>46254</v>
      </c>
      <c r="I885">
        <v>1500</v>
      </c>
      <c r="J885">
        <v>50</v>
      </c>
      <c r="K885">
        <v>37</v>
      </c>
      <c r="L885">
        <v>19</v>
      </c>
      <c r="P885" t="s">
        <v>2272</v>
      </c>
      <c r="R885" t="s">
        <v>2273</v>
      </c>
      <c r="S885">
        <v>13</v>
      </c>
      <c r="T885" t="s">
        <v>2429</v>
      </c>
      <c r="U885" t="s">
        <v>2430</v>
      </c>
    </row>
    <row r="886" spans="1:21" x14ac:dyDescent="0.25">
      <c r="A886" t="s">
        <v>3265</v>
      </c>
      <c r="B886" t="s">
        <v>353</v>
      </c>
      <c r="C886" t="s">
        <v>904</v>
      </c>
      <c r="D886" t="s">
        <v>21</v>
      </c>
      <c r="E886" t="s">
        <v>1406</v>
      </c>
      <c r="F886" t="s">
        <v>443</v>
      </c>
      <c r="G886" t="s">
        <v>2271</v>
      </c>
      <c r="H886" s="20">
        <v>46254</v>
      </c>
      <c r="I886">
        <v>1500</v>
      </c>
      <c r="J886">
        <v>50</v>
      </c>
      <c r="K886">
        <v>37</v>
      </c>
      <c r="L886">
        <v>19</v>
      </c>
      <c r="P886" t="s">
        <v>2272</v>
      </c>
      <c r="R886" t="s">
        <v>2273</v>
      </c>
      <c r="S886">
        <v>13</v>
      </c>
      <c r="T886" t="s">
        <v>2429</v>
      </c>
      <c r="U886" t="s">
        <v>2430</v>
      </c>
    </row>
    <row r="887" spans="1:21" x14ac:dyDescent="0.25">
      <c r="A887" t="s">
        <v>3266</v>
      </c>
      <c r="B887" t="s">
        <v>353</v>
      </c>
      <c r="C887" t="s">
        <v>904</v>
      </c>
      <c r="D887" t="s">
        <v>21</v>
      </c>
      <c r="E887" t="s">
        <v>1407</v>
      </c>
      <c r="F887" t="s">
        <v>872</v>
      </c>
      <c r="G887" t="s">
        <v>2271</v>
      </c>
      <c r="H887" s="20">
        <v>46254</v>
      </c>
      <c r="I887">
        <v>1500</v>
      </c>
      <c r="J887">
        <v>50</v>
      </c>
      <c r="K887">
        <v>37</v>
      </c>
      <c r="L887">
        <v>19</v>
      </c>
      <c r="P887" t="s">
        <v>2272</v>
      </c>
      <c r="R887" t="s">
        <v>2273</v>
      </c>
      <c r="S887">
        <v>13</v>
      </c>
      <c r="T887" t="s">
        <v>2429</v>
      </c>
      <c r="U887" t="s">
        <v>2430</v>
      </c>
    </row>
    <row r="888" spans="1:21" x14ac:dyDescent="0.25">
      <c r="A888" t="s">
        <v>3267</v>
      </c>
      <c r="B888" t="s">
        <v>353</v>
      </c>
      <c r="C888" t="s">
        <v>904</v>
      </c>
      <c r="D888" t="s">
        <v>21</v>
      </c>
      <c r="E888" t="s">
        <v>1408</v>
      </c>
      <c r="F888" t="s">
        <v>293</v>
      </c>
      <c r="G888" t="s">
        <v>2271</v>
      </c>
      <c r="H888" s="20">
        <v>46254</v>
      </c>
      <c r="I888">
        <v>1500</v>
      </c>
      <c r="J888">
        <v>50</v>
      </c>
      <c r="K888">
        <v>37</v>
      </c>
      <c r="L888">
        <v>19</v>
      </c>
      <c r="P888" t="s">
        <v>2272</v>
      </c>
      <c r="R888" t="s">
        <v>2273</v>
      </c>
      <c r="S888">
        <v>13</v>
      </c>
      <c r="T888" t="s">
        <v>2429</v>
      </c>
      <c r="U888" t="s">
        <v>2430</v>
      </c>
    </row>
    <row r="889" spans="1:21" x14ac:dyDescent="0.25">
      <c r="A889" t="s">
        <v>3268</v>
      </c>
      <c r="B889" t="s">
        <v>353</v>
      </c>
      <c r="C889" t="s">
        <v>904</v>
      </c>
      <c r="D889" t="s">
        <v>21</v>
      </c>
      <c r="E889" t="s">
        <v>1409</v>
      </c>
      <c r="F889" t="s">
        <v>1164</v>
      </c>
      <c r="G889" t="s">
        <v>2271</v>
      </c>
      <c r="H889" s="20">
        <v>46254</v>
      </c>
      <c r="I889">
        <v>1500</v>
      </c>
      <c r="J889">
        <v>50</v>
      </c>
      <c r="K889">
        <v>37</v>
      </c>
      <c r="L889">
        <v>19</v>
      </c>
      <c r="P889" t="s">
        <v>2272</v>
      </c>
      <c r="R889" t="s">
        <v>2273</v>
      </c>
      <c r="S889">
        <v>13</v>
      </c>
      <c r="T889" t="s">
        <v>2429</v>
      </c>
      <c r="U889" t="s">
        <v>2430</v>
      </c>
    </row>
    <row r="890" spans="1:21" x14ac:dyDescent="0.25">
      <c r="A890" t="s">
        <v>3269</v>
      </c>
      <c r="B890" t="s">
        <v>353</v>
      </c>
      <c r="C890" t="s">
        <v>904</v>
      </c>
      <c r="D890" t="s">
        <v>21</v>
      </c>
      <c r="E890" t="s">
        <v>1409</v>
      </c>
      <c r="F890" t="s">
        <v>232</v>
      </c>
      <c r="G890" t="s">
        <v>2271</v>
      </c>
      <c r="H890" s="20">
        <v>46254</v>
      </c>
      <c r="I890">
        <v>1500</v>
      </c>
      <c r="J890">
        <v>50</v>
      </c>
      <c r="K890">
        <v>37</v>
      </c>
      <c r="L890">
        <v>19</v>
      </c>
      <c r="P890" t="s">
        <v>2272</v>
      </c>
      <c r="R890" t="s">
        <v>2273</v>
      </c>
      <c r="S890">
        <v>13</v>
      </c>
      <c r="T890" t="s">
        <v>2429</v>
      </c>
      <c r="U890" t="s">
        <v>2430</v>
      </c>
    </row>
    <row r="891" spans="1:21" x14ac:dyDescent="0.25">
      <c r="A891" t="s">
        <v>3270</v>
      </c>
      <c r="B891" t="s">
        <v>353</v>
      </c>
      <c r="C891" t="s">
        <v>904</v>
      </c>
      <c r="D891" t="s">
        <v>21</v>
      </c>
      <c r="E891" t="s">
        <v>1410</v>
      </c>
      <c r="F891" t="s">
        <v>295</v>
      </c>
      <c r="G891" t="s">
        <v>2271</v>
      </c>
      <c r="H891" s="20">
        <v>46254</v>
      </c>
      <c r="I891">
        <v>1500</v>
      </c>
      <c r="J891">
        <v>50</v>
      </c>
      <c r="K891">
        <v>37</v>
      </c>
      <c r="L891">
        <v>19</v>
      </c>
      <c r="P891" t="s">
        <v>2272</v>
      </c>
      <c r="R891" t="s">
        <v>2273</v>
      </c>
      <c r="S891">
        <v>13</v>
      </c>
      <c r="T891" t="s">
        <v>2429</v>
      </c>
      <c r="U891" t="s">
        <v>2430</v>
      </c>
    </row>
    <row r="892" spans="1:21" x14ac:dyDescent="0.25">
      <c r="A892" t="s">
        <v>3271</v>
      </c>
      <c r="B892" t="s">
        <v>353</v>
      </c>
      <c r="C892" t="s">
        <v>904</v>
      </c>
      <c r="D892" t="s">
        <v>21</v>
      </c>
      <c r="E892" t="s">
        <v>1411</v>
      </c>
      <c r="F892" t="s">
        <v>744</v>
      </c>
      <c r="G892" t="s">
        <v>2271</v>
      </c>
      <c r="H892" s="20">
        <v>46254</v>
      </c>
      <c r="I892">
        <v>1500</v>
      </c>
      <c r="J892">
        <v>50</v>
      </c>
      <c r="K892">
        <v>37</v>
      </c>
      <c r="L892">
        <v>19</v>
      </c>
      <c r="P892" t="s">
        <v>2272</v>
      </c>
      <c r="R892" t="s">
        <v>2273</v>
      </c>
      <c r="S892">
        <v>13</v>
      </c>
      <c r="T892" t="s">
        <v>2429</v>
      </c>
      <c r="U892" t="s">
        <v>2430</v>
      </c>
    </row>
    <row r="893" spans="1:21" x14ac:dyDescent="0.25">
      <c r="A893" t="s">
        <v>3272</v>
      </c>
      <c r="B893" t="s">
        <v>353</v>
      </c>
      <c r="C893" t="s">
        <v>1004</v>
      </c>
      <c r="D893" t="s">
        <v>24</v>
      </c>
      <c r="E893" t="s">
        <v>1413</v>
      </c>
      <c r="F893" t="s">
        <v>1414</v>
      </c>
      <c r="G893" t="s">
        <v>2271</v>
      </c>
      <c r="H893" s="20">
        <v>46250</v>
      </c>
      <c r="I893">
        <v>1800</v>
      </c>
      <c r="J893">
        <v>76</v>
      </c>
      <c r="K893">
        <v>57</v>
      </c>
      <c r="L893">
        <v>55</v>
      </c>
      <c r="P893" t="s">
        <v>2272</v>
      </c>
      <c r="Q893" t="s">
        <v>3250</v>
      </c>
      <c r="R893" t="s">
        <v>2423</v>
      </c>
      <c r="S893">
        <v>4</v>
      </c>
      <c r="T893" t="s">
        <v>2274</v>
      </c>
      <c r="U893" t="s">
        <v>2275</v>
      </c>
    </row>
    <row r="894" spans="1:21" x14ac:dyDescent="0.25">
      <c r="A894" t="s">
        <v>3273</v>
      </c>
      <c r="B894" t="s">
        <v>353</v>
      </c>
      <c r="C894" t="s">
        <v>1004</v>
      </c>
      <c r="D894" t="s">
        <v>24</v>
      </c>
      <c r="E894" t="s">
        <v>1415</v>
      </c>
      <c r="F894" t="s">
        <v>86</v>
      </c>
      <c r="G894" t="s">
        <v>2271</v>
      </c>
      <c r="H894" s="20">
        <v>46250</v>
      </c>
      <c r="I894">
        <v>1800</v>
      </c>
      <c r="J894">
        <v>76</v>
      </c>
      <c r="K894">
        <v>57</v>
      </c>
      <c r="L894">
        <v>55</v>
      </c>
      <c r="P894" t="s">
        <v>2272</v>
      </c>
      <c r="Q894" t="s">
        <v>3250</v>
      </c>
      <c r="R894" t="s">
        <v>2423</v>
      </c>
      <c r="S894">
        <v>4</v>
      </c>
      <c r="T894" t="s">
        <v>2274</v>
      </c>
      <c r="U894" t="s">
        <v>2275</v>
      </c>
    </row>
    <row r="895" spans="1:21" x14ac:dyDescent="0.25">
      <c r="A895" t="s">
        <v>3274</v>
      </c>
      <c r="B895" t="s">
        <v>353</v>
      </c>
      <c r="C895" t="s">
        <v>1004</v>
      </c>
      <c r="D895" t="s">
        <v>24</v>
      </c>
      <c r="E895" t="s">
        <v>1416</v>
      </c>
      <c r="F895" t="s">
        <v>94</v>
      </c>
      <c r="G895" t="s">
        <v>2425</v>
      </c>
      <c r="H895" s="20">
        <v>46250</v>
      </c>
      <c r="I895">
        <v>1800</v>
      </c>
      <c r="J895">
        <v>72</v>
      </c>
      <c r="K895">
        <v>46</v>
      </c>
      <c r="L895">
        <v>25</v>
      </c>
      <c r="M895">
        <v>22</v>
      </c>
      <c r="P895" t="s">
        <v>2272</v>
      </c>
      <c r="Q895" t="s">
        <v>3253</v>
      </c>
      <c r="R895" t="s">
        <v>2423</v>
      </c>
      <c r="S895">
        <v>4</v>
      </c>
      <c r="T895" t="s">
        <v>2274</v>
      </c>
      <c r="U895" t="s">
        <v>2275</v>
      </c>
    </row>
    <row r="896" spans="1:21" x14ac:dyDescent="0.25">
      <c r="A896" t="s">
        <v>3275</v>
      </c>
      <c r="B896" t="s">
        <v>353</v>
      </c>
      <c r="C896" t="s">
        <v>1004</v>
      </c>
      <c r="D896" t="s">
        <v>24</v>
      </c>
      <c r="E896" t="s">
        <v>1417</v>
      </c>
      <c r="F896" t="s">
        <v>252</v>
      </c>
      <c r="G896" t="s">
        <v>2425</v>
      </c>
      <c r="H896" s="20">
        <v>46250</v>
      </c>
      <c r="I896">
        <v>1800</v>
      </c>
      <c r="J896">
        <v>72</v>
      </c>
      <c r="K896">
        <v>46</v>
      </c>
      <c r="L896">
        <v>25</v>
      </c>
      <c r="M896">
        <v>22</v>
      </c>
      <c r="P896" t="s">
        <v>2272</v>
      </c>
      <c r="Q896" t="s">
        <v>3253</v>
      </c>
      <c r="R896" t="s">
        <v>2423</v>
      </c>
      <c r="S896">
        <v>4</v>
      </c>
      <c r="T896" t="s">
        <v>2274</v>
      </c>
      <c r="U896" t="s">
        <v>2275</v>
      </c>
    </row>
    <row r="897" spans="1:21" x14ac:dyDescent="0.25">
      <c r="A897" t="s">
        <v>3276</v>
      </c>
      <c r="B897" t="s">
        <v>353</v>
      </c>
      <c r="C897" t="s">
        <v>1004</v>
      </c>
      <c r="D897" t="s">
        <v>24</v>
      </c>
      <c r="E897" t="s">
        <v>1418</v>
      </c>
      <c r="F897" t="s">
        <v>159</v>
      </c>
      <c r="G897" t="s">
        <v>2425</v>
      </c>
      <c r="H897" s="20">
        <v>46250</v>
      </c>
      <c r="I897">
        <v>1800</v>
      </c>
      <c r="J897">
        <v>72</v>
      </c>
      <c r="K897">
        <v>46</v>
      </c>
      <c r="L897">
        <v>25</v>
      </c>
      <c r="M897">
        <v>22</v>
      </c>
      <c r="P897" t="s">
        <v>2272</v>
      </c>
      <c r="Q897" t="s">
        <v>3253</v>
      </c>
      <c r="R897" t="s">
        <v>2423</v>
      </c>
      <c r="S897">
        <v>4</v>
      </c>
      <c r="T897" t="s">
        <v>2274</v>
      </c>
      <c r="U897" t="s">
        <v>2275</v>
      </c>
    </row>
    <row r="898" spans="1:21" x14ac:dyDescent="0.25">
      <c r="A898" t="s">
        <v>3277</v>
      </c>
      <c r="B898" t="s">
        <v>353</v>
      </c>
      <c r="C898" t="s">
        <v>1004</v>
      </c>
      <c r="D898" t="s">
        <v>24</v>
      </c>
      <c r="E898" t="s">
        <v>1419</v>
      </c>
      <c r="F898" t="s">
        <v>300</v>
      </c>
      <c r="G898" t="s">
        <v>2425</v>
      </c>
      <c r="H898" s="20">
        <v>46250</v>
      </c>
      <c r="I898">
        <v>1800</v>
      </c>
      <c r="J898">
        <v>72</v>
      </c>
      <c r="K898">
        <v>46</v>
      </c>
      <c r="L898">
        <v>25</v>
      </c>
      <c r="M898">
        <v>22</v>
      </c>
      <c r="P898" t="s">
        <v>2272</v>
      </c>
      <c r="Q898" t="s">
        <v>3253</v>
      </c>
      <c r="R898" t="s">
        <v>2423</v>
      </c>
      <c r="S898">
        <v>4</v>
      </c>
      <c r="T898" t="s">
        <v>2274</v>
      </c>
      <c r="U898" t="s">
        <v>2275</v>
      </c>
    </row>
    <row r="899" spans="1:21" x14ac:dyDescent="0.25">
      <c r="A899" t="s">
        <v>3278</v>
      </c>
      <c r="B899" t="s">
        <v>353</v>
      </c>
      <c r="C899" t="s">
        <v>1004</v>
      </c>
      <c r="D899" t="s">
        <v>24</v>
      </c>
      <c r="E899" t="s">
        <v>1420</v>
      </c>
      <c r="F899" t="s">
        <v>335</v>
      </c>
      <c r="G899" t="s">
        <v>2425</v>
      </c>
      <c r="H899" s="20">
        <v>46250</v>
      </c>
      <c r="I899">
        <v>1800</v>
      </c>
      <c r="J899">
        <v>72</v>
      </c>
      <c r="K899">
        <v>46</v>
      </c>
      <c r="L899">
        <v>25</v>
      </c>
      <c r="M899">
        <v>22</v>
      </c>
      <c r="P899" t="s">
        <v>2272</v>
      </c>
      <c r="Q899" t="s">
        <v>3253</v>
      </c>
      <c r="R899" t="s">
        <v>2423</v>
      </c>
      <c r="S899">
        <v>4</v>
      </c>
      <c r="T899" t="s">
        <v>2274</v>
      </c>
      <c r="U899" t="s">
        <v>2275</v>
      </c>
    </row>
    <row r="900" spans="1:21" x14ac:dyDescent="0.25">
      <c r="A900" t="s">
        <v>3279</v>
      </c>
      <c r="B900" t="s">
        <v>353</v>
      </c>
      <c r="C900" t="s">
        <v>1004</v>
      </c>
      <c r="D900" t="s">
        <v>24</v>
      </c>
      <c r="E900" t="s">
        <v>1421</v>
      </c>
      <c r="F900" t="s">
        <v>981</v>
      </c>
      <c r="G900" t="s">
        <v>2425</v>
      </c>
      <c r="H900" s="20">
        <v>46250</v>
      </c>
      <c r="I900">
        <v>1800</v>
      </c>
      <c r="J900">
        <v>72</v>
      </c>
      <c r="K900">
        <v>46</v>
      </c>
      <c r="L900">
        <v>25</v>
      </c>
      <c r="M900">
        <v>22</v>
      </c>
      <c r="P900" t="s">
        <v>2272</v>
      </c>
      <c r="Q900" t="s">
        <v>3253</v>
      </c>
      <c r="R900" t="s">
        <v>2423</v>
      </c>
      <c r="S900">
        <v>4</v>
      </c>
      <c r="T900" t="s">
        <v>2274</v>
      </c>
      <c r="U900" t="s">
        <v>2275</v>
      </c>
    </row>
    <row r="901" spans="1:21" x14ac:dyDescent="0.25">
      <c r="A901" t="s">
        <v>3280</v>
      </c>
      <c r="B901" t="s">
        <v>353</v>
      </c>
      <c r="C901" t="s">
        <v>1004</v>
      </c>
      <c r="D901" t="s">
        <v>24</v>
      </c>
      <c r="E901" t="s">
        <v>1422</v>
      </c>
      <c r="F901" t="s">
        <v>349</v>
      </c>
      <c r="G901" t="s">
        <v>2425</v>
      </c>
      <c r="H901" s="20">
        <v>46250</v>
      </c>
      <c r="I901">
        <v>1800</v>
      </c>
      <c r="J901">
        <v>72</v>
      </c>
      <c r="K901">
        <v>46</v>
      </c>
      <c r="L901">
        <v>25</v>
      </c>
      <c r="M901">
        <v>22</v>
      </c>
      <c r="P901" t="s">
        <v>2272</v>
      </c>
      <c r="Q901" t="s">
        <v>3253</v>
      </c>
      <c r="R901" t="s">
        <v>2423</v>
      </c>
      <c r="S901">
        <v>4</v>
      </c>
      <c r="T901" t="s">
        <v>2274</v>
      </c>
      <c r="U901" t="s">
        <v>2275</v>
      </c>
    </row>
    <row r="902" spans="1:21" x14ac:dyDescent="0.25">
      <c r="A902" t="s">
        <v>3281</v>
      </c>
      <c r="B902" t="s">
        <v>353</v>
      </c>
      <c r="C902" t="s">
        <v>1004</v>
      </c>
      <c r="D902" t="s">
        <v>24</v>
      </c>
      <c r="E902" t="s">
        <v>1423</v>
      </c>
      <c r="F902" t="s">
        <v>303</v>
      </c>
      <c r="G902" t="s">
        <v>2425</v>
      </c>
      <c r="H902" s="20">
        <v>46250</v>
      </c>
      <c r="I902">
        <v>1800</v>
      </c>
      <c r="J902">
        <v>72</v>
      </c>
      <c r="K902">
        <v>46</v>
      </c>
      <c r="L902">
        <v>25</v>
      </c>
      <c r="M902">
        <v>22</v>
      </c>
      <c r="P902" t="s">
        <v>2272</v>
      </c>
      <c r="Q902" t="s">
        <v>3253</v>
      </c>
      <c r="R902" t="s">
        <v>2423</v>
      </c>
      <c r="S902">
        <v>4</v>
      </c>
      <c r="T902" t="s">
        <v>2274</v>
      </c>
      <c r="U902" t="s">
        <v>2275</v>
      </c>
    </row>
    <row r="903" spans="1:21" x14ac:dyDescent="0.25">
      <c r="A903" t="s">
        <v>3282</v>
      </c>
      <c r="B903" t="s">
        <v>353</v>
      </c>
      <c r="C903" t="s">
        <v>1004</v>
      </c>
      <c r="D903" t="s">
        <v>24</v>
      </c>
      <c r="E903" t="s">
        <v>1424</v>
      </c>
      <c r="F903" t="s">
        <v>352</v>
      </c>
      <c r="G903" t="s">
        <v>2425</v>
      </c>
      <c r="H903" s="20">
        <v>46250</v>
      </c>
      <c r="I903">
        <v>1800</v>
      </c>
      <c r="J903">
        <v>72</v>
      </c>
      <c r="K903">
        <v>46</v>
      </c>
      <c r="L903">
        <v>25</v>
      </c>
      <c r="M903">
        <v>22</v>
      </c>
      <c r="P903" t="s">
        <v>2272</v>
      </c>
      <c r="Q903" t="s">
        <v>3253</v>
      </c>
      <c r="R903" t="s">
        <v>2423</v>
      </c>
      <c r="S903">
        <v>4</v>
      </c>
      <c r="T903" t="s">
        <v>2274</v>
      </c>
      <c r="U903" t="s">
        <v>2275</v>
      </c>
    </row>
    <row r="904" spans="1:21" x14ac:dyDescent="0.25">
      <c r="A904" t="s">
        <v>3283</v>
      </c>
      <c r="B904" t="s">
        <v>353</v>
      </c>
      <c r="C904" t="s">
        <v>1004</v>
      </c>
      <c r="D904" t="s">
        <v>21</v>
      </c>
      <c r="E904" t="s">
        <v>1425</v>
      </c>
      <c r="F904" t="s">
        <v>319</v>
      </c>
      <c r="G904" t="s">
        <v>2444</v>
      </c>
      <c r="H904" s="20">
        <v>46254</v>
      </c>
      <c r="I904">
        <v>1500</v>
      </c>
      <c r="J904">
        <v>74</v>
      </c>
      <c r="K904">
        <v>55</v>
      </c>
      <c r="L904">
        <v>47</v>
      </c>
      <c r="P904" t="s">
        <v>2272</v>
      </c>
      <c r="Q904" t="s">
        <v>3284</v>
      </c>
      <c r="R904" t="s">
        <v>2446</v>
      </c>
      <c r="S904">
        <v>14</v>
      </c>
      <c r="T904" t="s">
        <v>3285</v>
      </c>
      <c r="U904" t="s">
        <v>3286</v>
      </c>
    </row>
    <row r="905" spans="1:21" x14ac:dyDescent="0.25">
      <c r="A905" t="s">
        <v>3287</v>
      </c>
      <c r="B905" t="s">
        <v>353</v>
      </c>
      <c r="C905" t="s">
        <v>1004</v>
      </c>
      <c r="D905" t="s">
        <v>21</v>
      </c>
      <c r="E905" t="s">
        <v>1426</v>
      </c>
      <c r="F905" t="s">
        <v>676</v>
      </c>
      <c r="G905" t="s">
        <v>2444</v>
      </c>
      <c r="H905" s="20">
        <v>46254</v>
      </c>
      <c r="I905">
        <v>1500</v>
      </c>
      <c r="J905">
        <v>74</v>
      </c>
      <c r="K905">
        <v>55</v>
      </c>
      <c r="L905">
        <v>47</v>
      </c>
      <c r="P905" t="s">
        <v>2272</v>
      </c>
      <c r="Q905" t="s">
        <v>3284</v>
      </c>
      <c r="R905" t="s">
        <v>2446</v>
      </c>
      <c r="S905">
        <v>14</v>
      </c>
      <c r="T905" t="s">
        <v>3285</v>
      </c>
      <c r="U905" t="s">
        <v>3286</v>
      </c>
    </row>
    <row r="906" spans="1:21" x14ac:dyDescent="0.25">
      <c r="A906" t="s">
        <v>3288</v>
      </c>
      <c r="B906" t="s">
        <v>353</v>
      </c>
      <c r="C906" t="s">
        <v>1004</v>
      </c>
      <c r="D906" t="s">
        <v>21</v>
      </c>
      <c r="E906" t="s">
        <v>1038</v>
      </c>
      <c r="F906" t="s">
        <v>131</v>
      </c>
      <c r="G906" t="s">
        <v>2444</v>
      </c>
      <c r="H906" s="20">
        <v>46254</v>
      </c>
      <c r="I906">
        <v>1500</v>
      </c>
      <c r="J906">
        <v>74</v>
      </c>
      <c r="K906">
        <v>55</v>
      </c>
      <c r="L906">
        <v>47</v>
      </c>
      <c r="P906" t="s">
        <v>2272</v>
      </c>
      <c r="Q906" t="s">
        <v>3284</v>
      </c>
      <c r="R906" t="s">
        <v>2446</v>
      </c>
      <c r="S906">
        <v>14</v>
      </c>
      <c r="T906" t="s">
        <v>3285</v>
      </c>
      <c r="U906" t="s">
        <v>3286</v>
      </c>
    </row>
    <row r="907" spans="1:21" x14ac:dyDescent="0.25">
      <c r="A907" t="s">
        <v>3289</v>
      </c>
      <c r="B907" t="s">
        <v>353</v>
      </c>
      <c r="C907" t="s">
        <v>1004</v>
      </c>
      <c r="D907" t="s">
        <v>21</v>
      </c>
      <c r="E907" t="s">
        <v>1427</v>
      </c>
      <c r="F907" t="s">
        <v>801</v>
      </c>
      <c r="G907" t="s">
        <v>2271</v>
      </c>
      <c r="H907" s="20">
        <v>46254</v>
      </c>
      <c r="I907">
        <v>1500</v>
      </c>
      <c r="J907">
        <v>74</v>
      </c>
      <c r="K907">
        <v>42</v>
      </c>
      <c r="L907">
        <v>21</v>
      </c>
      <c r="M907">
        <v>19</v>
      </c>
      <c r="P907" t="s">
        <v>2272</v>
      </c>
      <c r="R907" t="s">
        <v>2273</v>
      </c>
      <c r="S907">
        <v>13</v>
      </c>
      <c r="T907" t="s">
        <v>2429</v>
      </c>
      <c r="U907" t="s">
        <v>2430</v>
      </c>
    </row>
    <row r="908" spans="1:21" x14ac:dyDescent="0.25">
      <c r="A908" t="s">
        <v>3290</v>
      </c>
      <c r="B908" t="s">
        <v>353</v>
      </c>
      <c r="C908" t="s">
        <v>1004</v>
      </c>
      <c r="D908" t="s">
        <v>21</v>
      </c>
      <c r="E908" t="s">
        <v>1427</v>
      </c>
      <c r="F908" t="s">
        <v>368</v>
      </c>
      <c r="G908" t="s">
        <v>2271</v>
      </c>
      <c r="H908" s="20">
        <v>46254</v>
      </c>
      <c r="I908">
        <v>1500</v>
      </c>
      <c r="J908">
        <v>74</v>
      </c>
      <c r="K908">
        <v>42</v>
      </c>
      <c r="L908">
        <v>21</v>
      </c>
      <c r="M908">
        <v>19</v>
      </c>
      <c r="P908" t="s">
        <v>2272</v>
      </c>
      <c r="R908" t="s">
        <v>2273</v>
      </c>
      <c r="S908">
        <v>13</v>
      </c>
      <c r="T908" t="s">
        <v>2429</v>
      </c>
      <c r="U908" t="s">
        <v>2430</v>
      </c>
    </row>
    <row r="909" spans="1:21" x14ac:dyDescent="0.25">
      <c r="A909" t="s">
        <v>3291</v>
      </c>
      <c r="B909" t="s">
        <v>353</v>
      </c>
      <c r="C909" t="s">
        <v>1004</v>
      </c>
      <c r="D909" t="s">
        <v>21</v>
      </c>
      <c r="E909" t="s">
        <v>1428</v>
      </c>
      <c r="F909" t="s">
        <v>685</v>
      </c>
      <c r="G909" t="s">
        <v>2271</v>
      </c>
      <c r="H909" s="20">
        <v>46254</v>
      </c>
      <c r="I909">
        <v>1500</v>
      </c>
      <c r="J909">
        <v>74</v>
      </c>
      <c r="K909">
        <v>42</v>
      </c>
      <c r="L909">
        <v>21</v>
      </c>
      <c r="M909">
        <v>19</v>
      </c>
      <c r="P909" t="s">
        <v>2272</v>
      </c>
      <c r="R909" t="s">
        <v>2273</v>
      </c>
      <c r="S909">
        <v>13</v>
      </c>
      <c r="T909" t="s">
        <v>2429</v>
      </c>
      <c r="U909" t="s">
        <v>2430</v>
      </c>
    </row>
    <row r="910" spans="1:21" x14ac:dyDescent="0.25">
      <c r="A910" t="s">
        <v>3292</v>
      </c>
      <c r="B910" t="s">
        <v>353</v>
      </c>
      <c r="C910" t="s">
        <v>1004</v>
      </c>
      <c r="D910" t="s">
        <v>21</v>
      </c>
      <c r="E910" t="s">
        <v>1429</v>
      </c>
      <c r="F910" t="s">
        <v>272</v>
      </c>
      <c r="G910" t="s">
        <v>2271</v>
      </c>
      <c r="H910" s="20">
        <v>46254</v>
      </c>
      <c r="I910">
        <v>1500</v>
      </c>
      <c r="J910">
        <v>74</v>
      </c>
      <c r="K910">
        <v>42</v>
      </c>
      <c r="L910">
        <v>21</v>
      </c>
      <c r="M910">
        <v>19</v>
      </c>
      <c r="P910" t="s">
        <v>2272</v>
      </c>
      <c r="R910" t="s">
        <v>2273</v>
      </c>
      <c r="S910">
        <v>13</v>
      </c>
      <c r="T910" t="s">
        <v>2429</v>
      </c>
      <c r="U910" t="s">
        <v>2430</v>
      </c>
    </row>
    <row r="911" spans="1:21" x14ac:dyDescent="0.25">
      <c r="A911" t="s">
        <v>3293</v>
      </c>
      <c r="B911" t="s">
        <v>353</v>
      </c>
      <c r="C911" t="s">
        <v>1004</v>
      </c>
      <c r="D911" t="s">
        <v>21</v>
      </c>
      <c r="E911" t="s">
        <v>1430</v>
      </c>
      <c r="F911" t="s">
        <v>855</v>
      </c>
      <c r="G911" t="s">
        <v>2271</v>
      </c>
      <c r="H911" s="20">
        <v>46254</v>
      </c>
      <c r="I911">
        <v>1500</v>
      </c>
      <c r="J911">
        <v>74</v>
      </c>
      <c r="K911">
        <v>42</v>
      </c>
      <c r="L911">
        <v>21</v>
      </c>
      <c r="M911">
        <v>19</v>
      </c>
      <c r="P911" t="s">
        <v>2272</v>
      </c>
      <c r="R911" t="s">
        <v>2273</v>
      </c>
      <c r="S911">
        <v>13</v>
      </c>
      <c r="T911" t="s">
        <v>2429</v>
      </c>
      <c r="U911" t="s">
        <v>2430</v>
      </c>
    </row>
    <row r="912" spans="1:21" x14ac:dyDescent="0.25">
      <c r="A912" t="s">
        <v>3294</v>
      </c>
      <c r="B912" t="s">
        <v>353</v>
      </c>
      <c r="C912" t="s">
        <v>1004</v>
      </c>
      <c r="D912" t="s">
        <v>26</v>
      </c>
      <c r="E912" t="s">
        <v>1041</v>
      </c>
      <c r="F912" t="s">
        <v>395</v>
      </c>
      <c r="H912" s="20"/>
      <c r="P912" t="s">
        <v>2291</v>
      </c>
      <c r="R912" t="s">
        <v>2292</v>
      </c>
    </row>
    <row r="913" spans="1:21" x14ac:dyDescent="0.25">
      <c r="A913" t="s">
        <v>3295</v>
      </c>
      <c r="B913" t="s">
        <v>353</v>
      </c>
      <c r="C913" t="s">
        <v>1004</v>
      </c>
      <c r="D913" t="s">
        <v>26</v>
      </c>
      <c r="E913" t="s">
        <v>1041</v>
      </c>
      <c r="F913" t="s">
        <v>716</v>
      </c>
      <c r="H913" s="20"/>
      <c r="P913" t="s">
        <v>2291</v>
      </c>
      <c r="R913" t="s">
        <v>2292</v>
      </c>
    </row>
    <row r="914" spans="1:21" x14ac:dyDescent="0.25">
      <c r="A914" t="s">
        <v>3296</v>
      </c>
      <c r="B914" t="s">
        <v>154</v>
      </c>
      <c r="C914" t="s">
        <v>2</v>
      </c>
      <c r="D914" t="s">
        <v>24</v>
      </c>
      <c r="E914" t="s">
        <v>1432</v>
      </c>
      <c r="F914" t="s">
        <v>637</v>
      </c>
      <c r="G914" t="s">
        <v>2271</v>
      </c>
      <c r="H914" s="20">
        <v>46250</v>
      </c>
      <c r="I914">
        <v>1800</v>
      </c>
      <c r="J914">
        <v>75</v>
      </c>
      <c r="K914">
        <v>65</v>
      </c>
      <c r="L914">
        <v>50</v>
      </c>
      <c r="M914">
        <v>42</v>
      </c>
      <c r="P914" t="s">
        <v>2272</v>
      </c>
      <c r="Q914" t="s">
        <v>3297</v>
      </c>
      <c r="R914" t="s">
        <v>2446</v>
      </c>
      <c r="S914">
        <v>4</v>
      </c>
      <c r="T914" t="s">
        <v>2274</v>
      </c>
      <c r="U914" t="s">
        <v>2275</v>
      </c>
    </row>
    <row r="915" spans="1:21" x14ac:dyDescent="0.25">
      <c r="A915" t="s">
        <v>3298</v>
      </c>
      <c r="B915" t="s">
        <v>154</v>
      </c>
      <c r="C915" t="s">
        <v>2</v>
      </c>
      <c r="D915" t="s">
        <v>24</v>
      </c>
      <c r="E915" t="s">
        <v>1433</v>
      </c>
      <c r="F915" t="s">
        <v>398</v>
      </c>
      <c r="G915" t="s">
        <v>2425</v>
      </c>
      <c r="H915" s="20">
        <v>46250</v>
      </c>
      <c r="I915">
        <v>1800</v>
      </c>
      <c r="J915">
        <v>61</v>
      </c>
      <c r="K915">
        <v>58</v>
      </c>
      <c r="L915">
        <v>42</v>
      </c>
      <c r="M915">
        <v>39</v>
      </c>
      <c r="P915" t="s">
        <v>2272</v>
      </c>
      <c r="R915" t="s">
        <v>2273</v>
      </c>
      <c r="S915">
        <v>4</v>
      </c>
      <c r="T915" t="s">
        <v>2274</v>
      </c>
      <c r="U915" t="s">
        <v>2275</v>
      </c>
    </row>
    <row r="916" spans="1:21" x14ac:dyDescent="0.25">
      <c r="A916" t="s">
        <v>3299</v>
      </c>
      <c r="B916" t="s">
        <v>154</v>
      </c>
      <c r="C916" t="s">
        <v>2</v>
      </c>
      <c r="D916" t="s">
        <v>24</v>
      </c>
      <c r="E916" t="s">
        <v>1434</v>
      </c>
      <c r="F916" t="s">
        <v>262</v>
      </c>
      <c r="G916" t="s">
        <v>2425</v>
      </c>
      <c r="H916" s="20">
        <v>46250</v>
      </c>
      <c r="I916">
        <v>1800</v>
      </c>
      <c r="J916">
        <v>61</v>
      </c>
      <c r="K916">
        <v>58</v>
      </c>
      <c r="L916">
        <v>42</v>
      </c>
      <c r="M916">
        <v>39</v>
      </c>
      <c r="P916" t="s">
        <v>2272</v>
      </c>
      <c r="R916" t="s">
        <v>2273</v>
      </c>
      <c r="S916">
        <v>4</v>
      </c>
      <c r="T916" t="s">
        <v>2274</v>
      </c>
      <c r="U916" t="s">
        <v>2275</v>
      </c>
    </row>
    <row r="917" spans="1:21" x14ac:dyDescent="0.25">
      <c r="A917" t="s">
        <v>3300</v>
      </c>
      <c r="B917" t="s">
        <v>154</v>
      </c>
      <c r="C917" t="s">
        <v>2</v>
      </c>
      <c r="D917" t="s">
        <v>24</v>
      </c>
      <c r="E917" t="s">
        <v>1435</v>
      </c>
      <c r="F917" t="s">
        <v>674</v>
      </c>
      <c r="G917" t="s">
        <v>2425</v>
      </c>
      <c r="H917" s="20">
        <v>46250</v>
      </c>
      <c r="I917">
        <v>1800</v>
      </c>
      <c r="J917">
        <v>61</v>
      </c>
      <c r="K917">
        <v>58</v>
      </c>
      <c r="L917">
        <v>42</v>
      </c>
      <c r="M917">
        <v>39</v>
      </c>
      <c r="P917" t="s">
        <v>2272</v>
      </c>
      <c r="R917" t="s">
        <v>2273</v>
      </c>
      <c r="S917">
        <v>4</v>
      </c>
      <c r="T917" t="s">
        <v>2274</v>
      </c>
      <c r="U917" t="s">
        <v>2275</v>
      </c>
    </row>
    <row r="918" spans="1:21" x14ac:dyDescent="0.25">
      <c r="A918" t="s">
        <v>3301</v>
      </c>
      <c r="B918" t="s">
        <v>154</v>
      </c>
      <c r="C918" t="s">
        <v>2</v>
      </c>
      <c r="D918" t="s">
        <v>26</v>
      </c>
      <c r="E918" t="s">
        <v>1436</v>
      </c>
      <c r="F918" t="s">
        <v>1021</v>
      </c>
      <c r="H918" s="20"/>
      <c r="P918" t="s">
        <v>2291</v>
      </c>
      <c r="R918" t="s">
        <v>2292</v>
      </c>
    </row>
    <row r="919" spans="1:21" x14ac:dyDescent="0.25">
      <c r="A919" t="s">
        <v>3302</v>
      </c>
      <c r="B919" t="s">
        <v>154</v>
      </c>
      <c r="C919" t="s">
        <v>2</v>
      </c>
      <c r="D919" t="s">
        <v>26</v>
      </c>
      <c r="E919" t="s">
        <v>1436</v>
      </c>
      <c r="F919" t="s">
        <v>1245</v>
      </c>
      <c r="H919" s="20"/>
      <c r="P919" t="s">
        <v>2291</v>
      </c>
      <c r="R919" t="s">
        <v>2292</v>
      </c>
    </row>
    <row r="920" spans="1:21" x14ac:dyDescent="0.25">
      <c r="A920" t="s">
        <v>3303</v>
      </c>
      <c r="B920" t="s">
        <v>154</v>
      </c>
      <c r="C920" t="s">
        <v>2</v>
      </c>
      <c r="D920" t="s">
        <v>21</v>
      </c>
      <c r="E920" t="s">
        <v>1437</v>
      </c>
      <c r="F920" t="s">
        <v>832</v>
      </c>
      <c r="G920" t="s">
        <v>2271</v>
      </c>
      <c r="H920" s="20">
        <v>46254</v>
      </c>
      <c r="I920">
        <v>1500</v>
      </c>
      <c r="J920">
        <v>80</v>
      </c>
      <c r="K920">
        <v>53</v>
      </c>
      <c r="L920">
        <v>39</v>
      </c>
      <c r="P920" t="s">
        <v>2272</v>
      </c>
      <c r="R920" t="s">
        <v>2273</v>
      </c>
      <c r="S920">
        <v>5</v>
      </c>
      <c r="T920" t="s">
        <v>2319</v>
      </c>
      <c r="U920" t="s">
        <v>2320</v>
      </c>
    </row>
    <row r="921" spans="1:21" x14ac:dyDescent="0.25">
      <c r="A921" t="s">
        <v>3304</v>
      </c>
      <c r="B921" t="s">
        <v>154</v>
      </c>
      <c r="C921" t="s">
        <v>2</v>
      </c>
      <c r="D921" t="s">
        <v>21</v>
      </c>
      <c r="E921" t="s">
        <v>1437</v>
      </c>
      <c r="F921" t="s">
        <v>131</v>
      </c>
      <c r="G921" t="s">
        <v>2271</v>
      </c>
      <c r="H921" s="20">
        <v>46254</v>
      </c>
      <c r="I921">
        <v>1500</v>
      </c>
      <c r="J921">
        <v>80</v>
      </c>
      <c r="K921">
        <v>53</v>
      </c>
      <c r="L921">
        <v>39</v>
      </c>
      <c r="P921" t="s">
        <v>2272</v>
      </c>
      <c r="R921" t="s">
        <v>2273</v>
      </c>
      <c r="S921">
        <v>5</v>
      </c>
      <c r="T921" t="s">
        <v>2319</v>
      </c>
      <c r="U921" t="s">
        <v>2320</v>
      </c>
    </row>
    <row r="922" spans="1:21" x14ac:dyDescent="0.25">
      <c r="A922" t="s">
        <v>3305</v>
      </c>
      <c r="B922" t="s">
        <v>154</v>
      </c>
      <c r="C922" t="s">
        <v>353</v>
      </c>
      <c r="D922" t="s">
        <v>24</v>
      </c>
      <c r="E922" t="s">
        <v>1439</v>
      </c>
      <c r="F922" t="s">
        <v>1140</v>
      </c>
      <c r="G922" t="s">
        <v>2271</v>
      </c>
      <c r="H922" s="20">
        <v>46250</v>
      </c>
      <c r="I922">
        <v>1800</v>
      </c>
      <c r="J922">
        <v>47</v>
      </c>
      <c r="K922">
        <v>25</v>
      </c>
      <c r="L922">
        <v>16</v>
      </c>
      <c r="P922" t="s">
        <v>2272</v>
      </c>
      <c r="R922" t="s">
        <v>2273</v>
      </c>
      <c r="S922">
        <v>4</v>
      </c>
      <c r="T922" t="s">
        <v>2274</v>
      </c>
      <c r="U922" t="s">
        <v>2275</v>
      </c>
    </row>
    <row r="923" spans="1:21" x14ac:dyDescent="0.25">
      <c r="A923" t="s">
        <v>3306</v>
      </c>
      <c r="B923" t="s">
        <v>154</v>
      </c>
      <c r="C923" t="s">
        <v>353</v>
      </c>
      <c r="D923" t="s">
        <v>24</v>
      </c>
      <c r="E923" t="s">
        <v>1440</v>
      </c>
      <c r="F923" t="s">
        <v>1131</v>
      </c>
      <c r="G923" t="s">
        <v>2271</v>
      </c>
      <c r="H923" s="20">
        <v>46250</v>
      </c>
      <c r="I923">
        <v>1800</v>
      </c>
      <c r="J923">
        <v>47</v>
      </c>
      <c r="K923">
        <v>25</v>
      </c>
      <c r="L923">
        <v>16</v>
      </c>
      <c r="P923" t="s">
        <v>2272</v>
      </c>
      <c r="R923" t="s">
        <v>2273</v>
      </c>
      <c r="S923">
        <v>4</v>
      </c>
      <c r="T923" t="s">
        <v>2274</v>
      </c>
      <c r="U923" t="s">
        <v>2275</v>
      </c>
    </row>
    <row r="924" spans="1:21" x14ac:dyDescent="0.25">
      <c r="A924" t="s">
        <v>3307</v>
      </c>
      <c r="B924" t="s">
        <v>154</v>
      </c>
      <c r="C924" t="s">
        <v>353</v>
      </c>
      <c r="D924" t="s">
        <v>24</v>
      </c>
      <c r="E924" t="s">
        <v>1441</v>
      </c>
      <c r="F924" t="s">
        <v>199</v>
      </c>
      <c r="G924" t="s">
        <v>2271</v>
      </c>
      <c r="H924" s="20">
        <v>46250</v>
      </c>
      <c r="I924">
        <v>1800</v>
      </c>
      <c r="J924">
        <v>47</v>
      </c>
      <c r="K924">
        <v>25</v>
      </c>
      <c r="L924">
        <v>16</v>
      </c>
      <c r="P924" t="s">
        <v>2272</v>
      </c>
      <c r="R924" t="s">
        <v>2273</v>
      </c>
      <c r="S924">
        <v>4</v>
      </c>
      <c r="T924" t="s">
        <v>2274</v>
      </c>
      <c r="U924" t="s">
        <v>2275</v>
      </c>
    </row>
    <row r="925" spans="1:21" x14ac:dyDescent="0.25">
      <c r="A925" t="s">
        <v>3308</v>
      </c>
      <c r="B925" t="s">
        <v>154</v>
      </c>
      <c r="C925" t="s">
        <v>353</v>
      </c>
      <c r="D925" t="s">
        <v>24</v>
      </c>
      <c r="E925" t="s">
        <v>1442</v>
      </c>
      <c r="F925" t="s">
        <v>422</v>
      </c>
      <c r="G925" t="s">
        <v>2271</v>
      </c>
      <c r="H925" s="20">
        <v>46250</v>
      </c>
      <c r="I925">
        <v>1800</v>
      </c>
      <c r="J925">
        <v>47</v>
      </c>
      <c r="K925">
        <v>25</v>
      </c>
      <c r="L925">
        <v>16</v>
      </c>
      <c r="P925" t="s">
        <v>2272</v>
      </c>
      <c r="R925" t="s">
        <v>2273</v>
      </c>
      <c r="S925">
        <v>4</v>
      </c>
      <c r="T925" t="s">
        <v>2274</v>
      </c>
      <c r="U925" t="s">
        <v>2275</v>
      </c>
    </row>
    <row r="926" spans="1:21" x14ac:dyDescent="0.25">
      <c r="A926" t="s">
        <v>3309</v>
      </c>
      <c r="B926" t="s">
        <v>154</v>
      </c>
      <c r="C926" t="s">
        <v>353</v>
      </c>
      <c r="D926" t="s">
        <v>24</v>
      </c>
      <c r="E926" t="s">
        <v>1443</v>
      </c>
      <c r="F926" t="s">
        <v>953</v>
      </c>
      <c r="G926" t="s">
        <v>2271</v>
      </c>
      <c r="H926" s="20">
        <v>46250</v>
      </c>
      <c r="I926">
        <v>1800</v>
      </c>
      <c r="J926">
        <v>47</v>
      </c>
      <c r="K926">
        <v>25</v>
      </c>
      <c r="L926">
        <v>16</v>
      </c>
      <c r="P926" t="s">
        <v>2272</v>
      </c>
      <c r="R926" t="s">
        <v>2273</v>
      </c>
      <c r="S926">
        <v>4</v>
      </c>
      <c r="T926" t="s">
        <v>2274</v>
      </c>
      <c r="U926" t="s">
        <v>2275</v>
      </c>
    </row>
    <row r="927" spans="1:21" x14ac:dyDescent="0.25">
      <c r="A927" t="s">
        <v>3310</v>
      </c>
      <c r="B927" t="s">
        <v>154</v>
      </c>
      <c r="C927" t="s">
        <v>353</v>
      </c>
      <c r="D927" t="s">
        <v>24</v>
      </c>
      <c r="E927" t="s">
        <v>1444</v>
      </c>
      <c r="F927" t="s">
        <v>836</v>
      </c>
      <c r="G927" t="s">
        <v>2271</v>
      </c>
      <c r="H927" s="20">
        <v>46250</v>
      </c>
      <c r="I927">
        <v>1800</v>
      </c>
      <c r="J927">
        <v>47</v>
      </c>
      <c r="K927">
        <v>25</v>
      </c>
      <c r="L927">
        <v>16</v>
      </c>
      <c r="P927" t="s">
        <v>2272</v>
      </c>
      <c r="R927" t="s">
        <v>2273</v>
      </c>
      <c r="S927">
        <v>4</v>
      </c>
      <c r="T927" t="s">
        <v>2274</v>
      </c>
      <c r="U927" t="s">
        <v>2275</v>
      </c>
    </row>
    <row r="928" spans="1:21" x14ac:dyDescent="0.25">
      <c r="A928" t="s">
        <v>3311</v>
      </c>
      <c r="B928" t="s">
        <v>154</v>
      </c>
      <c r="C928" t="s">
        <v>353</v>
      </c>
      <c r="D928" t="s">
        <v>24</v>
      </c>
      <c r="E928" t="s">
        <v>1445</v>
      </c>
      <c r="F928" t="s">
        <v>76</v>
      </c>
      <c r="G928" t="s">
        <v>2271</v>
      </c>
      <c r="H928" s="20">
        <v>46250</v>
      </c>
      <c r="I928">
        <v>1800</v>
      </c>
      <c r="J928">
        <v>47</v>
      </c>
      <c r="K928">
        <v>25</v>
      </c>
      <c r="L928">
        <v>16</v>
      </c>
      <c r="P928" t="s">
        <v>2272</v>
      </c>
      <c r="R928" t="s">
        <v>2273</v>
      </c>
      <c r="S928">
        <v>4</v>
      </c>
      <c r="T928" t="s">
        <v>2274</v>
      </c>
      <c r="U928" t="s">
        <v>2275</v>
      </c>
    </row>
    <row r="929" spans="1:21" x14ac:dyDescent="0.25">
      <c r="A929" t="s">
        <v>3312</v>
      </c>
      <c r="B929" t="s">
        <v>154</v>
      </c>
      <c r="C929" t="s">
        <v>353</v>
      </c>
      <c r="D929" t="s">
        <v>24</v>
      </c>
      <c r="E929" t="s">
        <v>1446</v>
      </c>
      <c r="F929" t="s">
        <v>1319</v>
      </c>
      <c r="G929" t="s">
        <v>2271</v>
      </c>
      <c r="H929" s="20">
        <v>46250</v>
      </c>
      <c r="I929">
        <v>1800</v>
      </c>
      <c r="J929">
        <v>47</v>
      </c>
      <c r="K929">
        <v>25</v>
      </c>
      <c r="L929">
        <v>16</v>
      </c>
      <c r="P929" t="s">
        <v>2272</v>
      </c>
      <c r="R929" t="s">
        <v>2273</v>
      </c>
      <c r="S929">
        <v>4</v>
      </c>
      <c r="T929" t="s">
        <v>2274</v>
      </c>
      <c r="U929" t="s">
        <v>2275</v>
      </c>
    </row>
    <row r="930" spans="1:21" x14ac:dyDescent="0.25">
      <c r="A930" t="s">
        <v>3313</v>
      </c>
      <c r="B930" t="s">
        <v>154</v>
      </c>
      <c r="C930" t="s">
        <v>353</v>
      </c>
      <c r="D930" t="s">
        <v>24</v>
      </c>
      <c r="E930" t="s">
        <v>1447</v>
      </c>
      <c r="F930" t="s">
        <v>931</v>
      </c>
      <c r="G930" t="s">
        <v>2271</v>
      </c>
      <c r="H930" s="20">
        <v>46250</v>
      </c>
      <c r="I930">
        <v>1800</v>
      </c>
      <c r="J930">
        <v>47</v>
      </c>
      <c r="K930">
        <v>25</v>
      </c>
      <c r="L930">
        <v>16</v>
      </c>
      <c r="P930" t="s">
        <v>2272</v>
      </c>
      <c r="R930" t="s">
        <v>2273</v>
      </c>
      <c r="S930">
        <v>4</v>
      </c>
      <c r="T930" t="s">
        <v>2274</v>
      </c>
      <c r="U930" t="s">
        <v>2275</v>
      </c>
    </row>
    <row r="931" spans="1:21" x14ac:dyDescent="0.25">
      <c r="A931" t="s">
        <v>3314</v>
      </c>
      <c r="B931" t="s">
        <v>154</v>
      </c>
      <c r="C931" t="s">
        <v>353</v>
      </c>
      <c r="D931" t="s">
        <v>24</v>
      </c>
      <c r="E931" t="s">
        <v>1448</v>
      </c>
      <c r="F931" t="s">
        <v>219</v>
      </c>
      <c r="G931" t="s">
        <v>2271</v>
      </c>
      <c r="H931" s="20">
        <v>46250</v>
      </c>
      <c r="I931">
        <v>1800</v>
      </c>
      <c r="J931">
        <v>47</v>
      </c>
      <c r="K931">
        <v>25</v>
      </c>
      <c r="L931">
        <v>16</v>
      </c>
      <c r="P931" t="s">
        <v>2272</v>
      </c>
      <c r="R931" t="s">
        <v>2273</v>
      </c>
      <c r="S931">
        <v>4</v>
      </c>
      <c r="T931" t="s">
        <v>2274</v>
      </c>
      <c r="U931" t="s">
        <v>2275</v>
      </c>
    </row>
    <row r="932" spans="1:21" x14ac:dyDescent="0.25">
      <c r="A932" t="s">
        <v>3315</v>
      </c>
      <c r="B932" t="s">
        <v>154</v>
      </c>
      <c r="C932" t="s">
        <v>353</v>
      </c>
      <c r="D932" t="s">
        <v>24</v>
      </c>
      <c r="E932" t="s">
        <v>1449</v>
      </c>
      <c r="F932" t="s">
        <v>981</v>
      </c>
      <c r="G932" t="s">
        <v>2271</v>
      </c>
      <c r="H932" s="20">
        <v>46250</v>
      </c>
      <c r="I932">
        <v>1800</v>
      </c>
      <c r="J932">
        <v>47</v>
      </c>
      <c r="K932">
        <v>25</v>
      </c>
      <c r="L932">
        <v>16</v>
      </c>
      <c r="P932" t="s">
        <v>2272</v>
      </c>
      <c r="R932" t="s">
        <v>2273</v>
      </c>
      <c r="S932">
        <v>4</v>
      </c>
      <c r="T932" t="s">
        <v>2274</v>
      </c>
      <c r="U932" t="s">
        <v>2275</v>
      </c>
    </row>
    <row r="933" spans="1:21" x14ac:dyDescent="0.25">
      <c r="A933" t="s">
        <v>3316</v>
      </c>
      <c r="B933" t="s">
        <v>154</v>
      </c>
      <c r="C933" t="s">
        <v>353</v>
      </c>
      <c r="D933" t="s">
        <v>24</v>
      </c>
      <c r="E933" t="s">
        <v>1450</v>
      </c>
      <c r="F933" t="s">
        <v>655</v>
      </c>
      <c r="G933" t="s">
        <v>2271</v>
      </c>
      <c r="H933" s="20">
        <v>46250</v>
      </c>
      <c r="I933">
        <v>1800</v>
      </c>
      <c r="J933">
        <v>47</v>
      </c>
      <c r="K933">
        <v>25</v>
      </c>
      <c r="L933">
        <v>16</v>
      </c>
      <c r="P933" t="s">
        <v>2272</v>
      </c>
      <c r="R933" t="s">
        <v>2273</v>
      </c>
      <c r="S933">
        <v>4</v>
      </c>
      <c r="T933" t="s">
        <v>2274</v>
      </c>
      <c r="U933" t="s">
        <v>2275</v>
      </c>
    </row>
    <row r="934" spans="1:21" x14ac:dyDescent="0.25">
      <c r="A934" t="s">
        <v>3317</v>
      </c>
      <c r="B934" t="s">
        <v>154</v>
      </c>
      <c r="C934" t="s">
        <v>353</v>
      </c>
      <c r="D934" t="s">
        <v>24</v>
      </c>
      <c r="E934" t="s">
        <v>1451</v>
      </c>
      <c r="F934" t="s">
        <v>494</v>
      </c>
      <c r="G934" t="s">
        <v>2271</v>
      </c>
      <c r="H934" s="20">
        <v>46250</v>
      </c>
      <c r="I934">
        <v>1800</v>
      </c>
      <c r="J934">
        <v>47</v>
      </c>
      <c r="K934">
        <v>25</v>
      </c>
      <c r="L934">
        <v>16</v>
      </c>
      <c r="P934" t="s">
        <v>2272</v>
      </c>
      <c r="R934" t="s">
        <v>2273</v>
      </c>
      <c r="S934">
        <v>4</v>
      </c>
      <c r="T934" t="s">
        <v>2274</v>
      </c>
      <c r="U934" t="s">
        <v>2275</v>
      </c>
    </row>
    <row r="935" spans="1:21" x14ac:dyDescent="0.25">
      <c r="A935" t="s">
        <v>3318</v>
      </c>
      <c r="B935" t="s">
        <v>154</v>
      </c>
      <c r="C935" t="s">
        <v>353</v>
      </c>
      <c r="D935" t="s">
        <v>24</v>
      </c>
      <c r="E935" t="s">
        <v>1452</v>
      </c>
      <c r="F935" t="s">
        <v>1265</v>
      </c>
      <c r="G935" t="s">
        <v>2271</v>
      </c>
      <c r="H935" s="20">
        <v>46250</v>
      </c>
      <c r="I935">
        <v>1800</v>
      </c>
      <c r="J935">
        <v>47</v>
      </c>
      <c r="K935">
        <v>25</v>
      </c>
      <c r="L935">
        <v>16</v>
      </c>
      <c r="P935" t="s">
        <v>2272</v>
      </c>
      <c r="R935" t="s">
        <v>2273</v>
      </c>
      <c r="S935">
        <v>4</v>
      </c>
      <c r="T935" t="s">
        <v>2274</v>
      </c>
      <c r="U935" t="s">
        <v>2275</v>
      </c>
    </row>
    <row r="936" spans="1:21" x14ac:dyDescent="0.25">
      <c r="A936" t="s">
        <v>3319</v>
      </c>
      <c r="B936" t="s">
        <v>154</v>
      </c>
      <c r="C936" t="s">
        <v>353</v>
      </c>
      <c r="D936" t="s">
        <v>24</v>
      </c>
      <c r="E936" t="s">
        <v>1453</v>
      </c>
      <c r="F936" t="s">
        <v>1108</v>
      </c>
      <c r="G936" t="s">
        <v>2271</v>
      </c>
      <c r="H936" s="20">
        <v>46250</v>
      </c>
      <c r="I936">
        <v>1800</v>
      </c>
      <c r="J936">
        <v>47</v>
      </c>
      <c r="K936">
        <v>25</v>
      </c>
      <c r="L936">
        <v>16</v>
      </c>
      <c r="P936" t="s">
        <v>2272</v>
      </c>
      <c r="R936" t="s">
        <v>2273</v>
      </c>
      <c r="S936">
        <v>4</v>
      </c>
      <c r="T936" t="s">
        <v>2274</v>
      </c>
      <c r="U936" t="s">
        <v>2275</v>
      </c>
    </row>
    <row r="937" spans="1:21" x14ac:dyDescent="0.25">
      <c r="A937" t="s">
        <v>3320</v>
      </c>
      <c r="B937" t="s">
        <v>154</v>
      </c>
      <c r="C937" t="s">
        <v>353</v>
      </c>
      <c r="D937" t="s">
        <v>21</v>
      </c>
      <c r="E937" t="s">
        <v>1454</v>
      </c>
      <c r="F937" t="s">
        <v>1455</v>
      </c>
      <c r="G937" t="s">
        <v>2271</v>
      </c>
      <c r="H937" s="20">
        <v>46254</v>
      </c>
      <c r="I937">
        <v>1500</v>
      </c>
      <c r="J937">
        <v>57</v>
      </c>
      <c r="K937">
        <v>37</v>
      </c>
      <c r="L937">
        <v>17</v>
      </c>
      <c r="M937">
        <v>12</v>
      </c>
      <c r="P937" t="s">
        <v>2272</v>
      </c>
      <c r="R937" t="s">
        <v>2273</v>
      </c>
      <c r="S937">
        <v>11</v>
      </c>
      <c r="T937" t="s">
        <v>3010</v>
      </c>
      <c r="U937" t="s">
        <v>3011</v>
      </c>
    </row>
    <row r="938" spans="1:21" x14ac:dyDescent="0.25">
      <c r="A938" t="s">
        <v>3321</v>
      </c>
      <c r="B938" t="s">
        <v>154</v>
      </c>
      <c r="C938" t="s">
        <v>353</v>
      </c>
      <c r="D938" t="s">
        <v>21</v>
      </c>
      <c r="E938" t="s">
        <v>1456</v>
      </c>
      <c r="F938" t="s">
        <v>258</v>
      </c>
      <c r="G938" t="s">
        <v>2444</v>
      </c>
      <c r="H938" s="20">
        <v>46254</v>
      </c>
      <c r="I938">
        <v>1500</v>
      </c>
      <c r="J938">
        <v>57</v>
      </c>
      <c r="K938">
        <v>37</v>
      </c>
      <c r="L938">
        <v>21</v>
      </c>
      <c r="M938">
        <v>17</v>
      </c>
      <c r="P938" t="s">
        <v>2272</v>
      </c>
      <c r="Q938" t="s">
        <v>3322</v>
      </c>
      <c r="R938" t="s">
        <v>2446</v>
      </c>
      <c r="S938">
        <v>14</v>
      </c>
      <c r="T938" t="s">
        <v>3323</v>
      </c>
      <c r="U938" t="s">
        <v>3324</v>
      </c>
    </row>
    <row r="939" spans="1:21" x14ac:dyDescent="0.25">
      <c r="A939" t="s">
        <v>3325</v>
      </c>
      <c r="B939" t="s">
        <v>154</v>
      </c>
      <c r="C939" t="s">
        <v>353</v>
      </c>
      <c r="D939" t="s">
        <v>21</v>
      </c>
      <c r="E939" t="s">
        <v>1457</v>
      </c>
      <c r="F939" t="s">
        <v>285</v>
      </c>
      <c r="G939" t="s">
        <v>2271</v>
      </c>
      <c r="H939" s="20">
        <v>46254</v>
      </c>
      <c r="I939">
        <v>1500</v>
      </c>
      <c r="J939">
        <v>57</v>
      </c>
      <c r="K939">
        <v>37</v>
      </c>
      <c r="L939">
        <v>17</v>
      </c>
      <c r="M939">
        <v>12</v>
      </c>
      <c r="P939" t="s">
        <v>2272</v>
      </c>
      <c r="R939" t="s">
        <v>2273</v>
      </c>
      <c r="S939">
        <v>11</v>
      </c>
      <c r="T939" t="s">
        <v>3010</v>
      </c>
      <c r="U939" t="s">
        <v>3011</v>
      </c>
    </row>
    <row r="940" spans="1:21" x14ac:dyDescent="0.25">
      <c r="A940" t="s">
        <v>3326</v>
      </c>
      <c r="B940" t="s">
        <v>154</v>
      </c>
      <c r="C940" t="s">
        <v>353</v>
      </c>
      <c r="D940" t="s">
        <v>21</v>
      </c>
      <c r="E940" t="s">
        <v>1458</v>
      </c>
      <c r="F940" t="s">
        <v>476</v>
      </c>
      <c r="G940" t="s">
        <v>2271</v>
      </c>
      <c r="H940" s="20">
        <v>46254</v>
      </c>
      <c r="I940">
        <v>1500</v>
      </c>
      <c r="J940">
        <v>57</v>
      </c>
      <c r="K940">
        <v>37</v>
      </c>
      <c r="L940">
        <v>17</v>
      </c>
      <c r="M940">
        <v>12</v>
      </c>
      <c r="P940" t="s">
        <v>2272</v>
      </c>
      <c r="R940" t="s">
        <v>2273</v>
      </c>
      <c r="S940">
        <v>11</v>
      </c>
      <c r="T940" t="s">
        <v>3010</v>
      </c>
      <c r="U940" t="s">
        <v>3011</v>
      </c>
    </row>
    <row r="941" spans="1:21" x14ac:dyDescent="0.25">
      <c r="A941" t="s">
        <v>3327</v>
      </c>
      <c r="B941" t="s">
        <v>154</v>
      </c>
      <c r="C941" t="s">
        <v>353</v>
      </c>
      <c r="D941" t="s">
        <v>21</v>
      </c>
      <c r="E941" t="s">
        <v>1459</v>
      </c>
      <c r="F941" t="s">
        <v>309</v>
      </c>
      <c r="G941" t="s">
        <v>2271</v>
      </c>
      <c r="H941" s="20">
        <v>46254</v>
      </c>
      <c r="I941">
        <v>1500</v>
      </c>
      <c r="J941">
        <v>57</v>
      </c>
      <c r="K941">
        <v>37</v>
      </c>
      <c r="L941">
        <v>17</v>
      </c>
      <c r="M941">
        <v>12</v>
      </c>
      <c r="P941" t="s">
        <v>2272</v>
      </c>
      <c r="R941" t="s">
        <v>2273</v>
      </c>
      <c r="S941">
        <v>11</v>
      </c>
      <c r="T941" t="s">
        <v>3010</v>
      </c>
      <c r="U941" t="s">
        <v>3011</v>
      </c>
    </row>
    <row r="942" spans="1:21" x14ac:dyDescent="0.25">
      <c r="A942" t="s">
        <v>3328</v>
      </c>
      <c r="B942" t="s">
        <v>154</v>
      </c>
      <c r="C942" t="s">
        <v>353</v>
      </c>
      <c r="D942" t="s">
        <v>21</v>
      </c>
      <c r="E942" t="s">
        <v>1460</v>
      </c>
      <c r="F942" t="s">
        <v>400</v>
      </c>
      <c r="G942" t="s">
        <v>2271</v>
      </c>
      <c r="H942" s="20">
        <v>46254</v>
      </c>
      <c r="I942">
        <v>1500</v>
      </c>
      <c r="J942">
        <v>57</v>
      </c>
      <c r="K942">
        <v>37</v>
      </c>
      <c r="L942">
        <v>17</v>
      </c>
      <c r="M942">
        <v>12</v>
      </c>
      <c r="P942" t="s">
        <v>2272</v>
      </c>
      <c r="R942" t="s">
        <v>2273</v>
      </c>
      <c r="S942">
        <v>11</v>
      </c>
      <c r="T942" t="s">
        <v>3010</v>
      </c>
      <c r="U942" t="s">
        <v>3011</v>
      </c>
    </row>
    <row r="943" spans="1:21" x14ac:dyDescent="0.25">
      <c r="A943" t="s">
        <v>3329</v>
      </c>
      <c r="B943" t="s">
        <v>154</v>
      </c>
      <c r="C943" t="s">
        <v>353</v>
      </c>
      <c r="D943" t="s">
        <v>21</v>
      </c>
      <c r="E943" t="s">
        <v>1461</v>
      </c>
      <c r="F943" t="s">
        <v>317</v>
      </c>
      <c r="G943" t="s">
        <v>2271</v>
      </c>
      <c r="H943" s="20">
        <v>46254</v>
      </c>
      <c r="I943">
        <v>1500</v>
      </c>
      <c r="J943">
        <v>57</v>
      </c>
      <c r="K943">
        <v>37</v>
      </c>
      <c r="L943">
        <v>17</v>
      </c>
      <c r="M943">
        <v>12</v>
      </c>
      <c r="P943" t="s">
        <v>2272</v>
      </c>
      <c r="R943" t="s">
        <v>2273</v>
      </c>
      <c r="S943">
        <v>11</v>
      </c>
      <c r="T943" t="s">
        <v>3010</v>
      </c>
      <c r="U943" t="s">
        <v>3011</v>
      </c>
    </row>
    <row r="944" spans="1:21" x14ac:dyDescent="0.25">
      <c r="A944" t="s">
        <v>3330</v>
      </c>
      <c r="B944" t="s">
        <v>154</v>
      </c>
      <c r="C944" t="s">
        <v>353</v>
      </c>
      <c r="D944" t="s">
        <v>21</v>
      </c>
      <c r="E944" t="s">
        <v>1462</v>
      </c>
      <c r="F944" t="s">
        <v>272</v>
      </c>
      <c r="G944" t="s">
        <v>2271</v>
      </c>
      <c r="H944" s="20">
        <v>46254</v>
      </c>
      <c r="I944">
        <v>1500</v>
      </c>
      <c r="J944">
        <v>57</v>
      </c>
      <c r="K944">
        <v>37</v>
      </c>
      <c r="L944">
        <v>17</v>
      </c>
      <c r="M944">
        <v>12</v>
      </c>
      <c r="P944" t="s">
        <v>2272</v>
      </c>
      <c r="R944" t="s">
        <v>2273</v>
      </c>
      <c r="S944">
        <v>11</v>
      </c>
      <c r="T944" t="s">
        <v>3010</v>
      </c>
      <c r="U944" t="s">
        <v>3011</v>
      </c>
    </row>
    <row r="945" spans="1:21" x14ac:dyDescent="0.25">
      <c r="A945" t="s">
        <v>3331</v>
      </c>
      <c r="B945" t="s">
        <v>154</v>
      </c>
      <c r="C945" t="s">
        <v>353</v>
      </c>
      <c r="D945" t="s">
        <v>21</v>
      </c>
      <c r="E945" t="s">
        <v>1463</v>
      </c>
      <c r="F945" t="s">
        <v>1207</v>
      </c>
      <c r="G945" t="s">
        <v>2271</v>
      </c>
      <c r="H945" s="20">
        <v>46254</v>
      </c>
      <c r="I945">
        <v>1500</v>
      </c>
      <c r="J945">
        <v>57</v>
      </c>
      <c r="K945">
        <v>37</v>
      </c>
      <c r="L945">
        <v>17</v>
      </c>
      <c r="M945">
        <v>12</v>
      </c>
      <c r="P945" t="s">
        <v>2272</v>
      </c>
      <c r="R945" t="s">
        <v>2273</v>
      </c>
      <c r="S945">
        <v>11</v>
      </c>
      <c r="T945" t="s">
        <v>3010</v>
      </c>
      <c r="U945" t="s">
        <v>3011</v>
      </c>
    </row>
    <row r="946" spans="1:21" x14ac:dyDescent="0.25">
      <c r="A946" t="s">
        <v>3332</v>
      </c>
      <c r="B946" t="s">
        <v>154</v>
      </c>
      <c r="C946" t="s">
        <v>353</v>
      </c>
      <c r="D946" t="s">
        <v>21</v>
      </c>
      <c r="E946" t="s">
        <v>1464</v>
      </c>
      <c r="F946" t="s">
        <v>1121</v>
      </c>
      <c r="G946" t="s">
        <v>2271</v>
      </c>
      <c r="H946" s="20">
        <v>46254</v>
      </c>
      <c r="I946">
        <v>1500</v>
      </c>
      <c r="J946">
        <v>57</v>
      </c>
      <c r="K946">
        <v>37</v>
      </c>
      <c r="L946">
        <v>17</v>
      </c>
      <c r="M946">
        <v>12</v>
      </c>
      <c r="P946" t="s">
        <v>2272</v>
      </c>
      <c r="R946" t="s">
        <v>2273</v>
      </c>
      <c r="S946">
        <v>11</v>
      </c>
      <c r="T946" t="s">
        <v>3010</v>
      </c>
      <c r="U946" t="s">
        <v>3011</v>
      </c>
    </row>
    <row r="947" spans="1:21" x14ac:dyDescent="0.25">
      <c r="A947" t="s">
        <v>3333</v>
      </c>
      <c r="B947" t="s">
        <v>154</v>
      </c>
      <c r="C947" t="s">
        <v>353</v>
      </c>
      <c r="D947" t="s">
        <v>29</v>
      </c>
      <c r="E947" t="s">
        <v>1465</v>
      </c>
      <c r="F947" t="s">
        <v>1455</v>
      </c>
      <c r="H947" s="20"/>
      <c r="P947" t="s">
        <v>2291</v>
      </c>
      <c r="R947" t="s">
        <v>2292</v>
      </c>
    </row>
    <row r="948" spans="1:21" x14ac:dyDescent="0.25">
      <c r="A948" t="s">
        <v>3334</v>
      </c>
      <c r="B948" t="s">
        <v>154</v>
      </c>
      <c r="C948" t="s">
        <v>353</v>
      </c>
      <c r="D948" t="s">
        <v>29</v>
      </c>
      <c r="E948" t="s">
        <v>1466</v>
      </c>
      <c r="F948" t="s">
        <v>689</v>
      </c>
      <c r="H948" s="20"/>
      <c r="P948" t="s">
        <v>2291</v>
      </c>
      <c r="R948" t="s">
        <v>2292</v>
      </c>
    </row>
    <row r="949" spans="1:21" x14ac:dyDescent="0.25">
      <c r="A949" t="s">
        <v>3335</v>
      </c>
      <c r="B949" t="s">
        <v>154</v>
      </c>
      <c r="C949" t="s">
        <v>353</v>
      </c>
      <c r="D949" t="s">
        <v>26</v>
      </c>
      <c r="E949" t="s">
        <v>1467</v>
      </c>
      <c r="F949" t="s">
        <v>269</v>
      </c>
      <c r="H949" s="20"/>
      <c r="P949" t="s">
        <v>2291</v>
      </c>
      <c r="R949" t="s">
        <v>2292</v>
      </c>
    </row>
    <row r="950" spans="1:21" x14ac:dyDescent="0.25">
      <c r="A950" t="s">
        <v>3336</v>
      </c>
      <c r="B950" t="s">
        <v>154</v>
      </c>
      <c r="C950" t="s">
        <v>353</v>
      </c>
      <c r="D950" t="s">
        <v>26</v>
      </c>
      <c r="E950" t="s">
        <v>1468</v>
      </c>
      <c r="F950" t="s">
        <v>630</v>
      </c>
      <c r="H950" s="20"/>
      <c r="P950" t="s">
        <v>2291</v>
      </c>
      <c r="R950" t="s">
        <v>2292</v>
      </c>
    </row>
    <row r="951" spans="1:21" x14ac:dyDescent="0.25">
      <c r="A951" t="s">
        <v>3337</v>
      </c>
      <c r="B951" t="s">
        <v>154</v>
      </c>
      <c r="C951" t="s">
        <v>353</v>
      </c>
      <c r="D951" t="s">
        <v>26</v>
      </c>
      <c r="E951" t="s">
        <v>1469</v>
      </c>
      <c r="F951" t="s">
        <v>326</v>
      </c>
      <c r="H951" s="20"/>
      <c r="P951" t="s">
        <v>2291</v>
      </c>
      <c r="R951" t="s">
        <v>2292</v>
      </c>
    </row>
    <row r="952" spans="1:21" x14ac:dyDescent="0.25">
      <c r="A952" t="s">
        <v>3338</v>
      </c>
      <c r="B952" t="s">
        <v>154</v>
      </c>
      <c r="C952" t="s">
        <v>353</v>
      </c>
      <c r="D952" t="s">
        <v>26</v>
      </c>
      <c r="E952" t="s">
        <v>1470</v>
      </c>
      <c r="F952" t="s">
        <v>119</v>
      </c>
      <c r="H952" s="20"/>
      <c r="P952" t="s">
        <v>2291</v>
      </c>
      <c r="R952" t="s">
        <v>2292</v>
      </c>
    </row>
    <row r="953" spans="1:21" x14ac:dyDescent="0.25">
      <c r="A953" t="s">
        <v>3339</v>
      </c>
      <c r="B953" t="s">
        <v>154</v>
      </c>
      <c r="C953" t="s">
        <v>353</v>
      </c>
      <c r="D953" t="s">
        <v>26</v>
      </c>
      <c r="E953" t="s">
        <v>1471</v>
      </c>
      <c r="F953" t="s">
        <v>726</v>
      </c>
      <c r="H953" s="20"/>
      <c r="P953" t="s">
        <v>2291</v>
      </c>
      <c r="R953" t="s">
        <v>2292</v>
      </c>
    </row>
    <row r="954" spans="1:21" x14ac:dyDescent="0.25">
      <c r="A954" t="s">
        <v>3340</v>
      </c>
      <c r="B954" t="s">
        <v>154</v>
      </c>
      <c r="C954" t="s">
        <v>353</v>
      </c>
      <c r="D954" t="s">
        <v>26</v>
      </c>
      <c r="E954" t="s">
        <v>1472</v>
      </c>
      <c r="F954" t="s">
        <v>396</v>
      </c>
      <c r="H954" s="20"/>
      <c r="P954" t="s">
        <v>2291</v>
      </c>
      <c r="R954" t="s">
        <v>2292</v>
      </c>
    </row>
    <row r="955" spans="1:21" x14ac:dyDescent="0.25">
      <c r="A955" t="s">
        <v>3341</v>
      </c>
      <c r="B955" t="s">
        <v>154</v>
      </c>
      <c r="C955" t="s">
        <v>353</v>
      </c>
      <c r="D955" t="s">
        <v>26</v>
      </c>
      <c r="E955" t="s">
        <v>1473</v>
      </c>
      <c r="F955" t="s">
        <v>1474</v>
      </c>
      <c r="H955" s="20"/>
      <c r="P955" t="s">
        <v>2291</v>
      </c>
      <c r="R955" t="s">
        <v>2292</v>
      </c>
    </row>
    <row r="956" spans="1:21" x14ac:dyDescent="0.25">
      <c r="A956" t="s">
        <v>3342</v>
      </c>
      <c r="B956" t="s">
        <v>154</v>
      </c>
      <c r="C956" t="s">
        <v>353</v>
      </c>
      <c r="D956" t="s">
        <v>26</v>
      </c>
      <c r="E956" t="s">
        <v>1475</v>
      </c>
      <c r="F956" t="s">
        <v>256</v>
      </c>
      <c r="H956" s="20"/>
      <c r="P956" t="s">
        <v>2291</v>
      </c>
      <c r="R956" t="s">
        <v>2292</v>
      </c>
    </row>
    <row r="957" spans="1:21" x14ac:dyDescent="0.25">
      <c r="A957" t="s">
        <v>3343</v>
      </c>
      <c r="B957" t="s">
        <v>154</v>
      </c>
      <c r="C957" t="s">
        <v>353</v>
      </c>
      <c r="D957" t="s">
        <v>26</v>
      </c>
      <c r="E957" t="s">
        <v>1476</v>
      </c>
      <c r="F957" t="s">
        <v>855</v>
      </c>
      <c r="H957" s="20"/>
      <c r="P957" t="s">
        <v>2291</v>
      </c>
      <c r="R957" t="s">
        <v>2292</v>
      </c>
    </row>
    <row r="958" spans="1:21" x14ac:dyDescent="0.25">
      <c r="A958" t="s">
        <v>3344</v>
      </c>
      <c r="B958" t="s">
        <v>154</v>
      </c>
      <c r="C958" t="s">
        <v>541</v>
      </c>
      <c r="D958" t="s">
        <v>24</v>
      </c>
      <c r="E958" t="s">
        <v>1478</v>
      </c>
      <c r="F958" t="s">
        <v>515</v>
      </c>
      <c r="G958" t="s">
        <v>2271</v>
      </c>
      <c r="H958" s="20">
        <v>46250</v>
      </c>
      <c r="I958">
        <v>1800</v>
      </c>
      <c r="J958">
        <v>69</v>
      </c>
      <c r="K958">
        <v>59</v>
      </c>
      <c r="L958">
        <v>49</v>
      </c>
      <c r="M958">
        <v>37</v>
      </c>
      <c r="P958" t="s">
        <v>2272</v>
      </c>
      <c r="Q958" t="s">
        <v>3345</v>
      </c>
      <c r="R958" t="s">
        <v>2423</v>
      </c>
      <c r="S958">
        <v>4</v>
      </c>
      <c r="T958" t="s">
        <v>2274</v>
      </c>
      <c r="U958" t="s">
        <v>2275</v>
      </c>
    </row>
    <row r="959" spans="1:21" x14ac:dyDescent="0.25">
      <c r="A959" t="s">
        <v>3346</v>
      </c>
      <c r="B959" t="s">
        <v>154</v>
      </c>
      <c r="C959" t="s">
        <v>541</v>
      </c>
      <c r="D959" t="s">
        <v>24</v>
      </c>
      <c r="E959" t="s">
        <v>1479</v>
      </c>
      <c r="F959" t="s">
        <v>424</v>
      </c>
      <c r="G959" t="s">
        <v>2271</v>
      </c>
      <c r="H959" s="20">
        <v>46250</v>
      </c>
      <c r="I959">
        <v>1800</v>
      </c>
      <c r="J959">
        <v>69</v>
      </c>
      <c r="K959">
        <v>59</v>
      </c>
      <c r="L959">
        <v>49</v>
      </c>
      <c r="M959">
        <v>37</v>
      </c>
      <c r="P959" t="s">
        <v>2272</v>
      </c>
      <c r="Q959" t="s">
        <v>3345</v>
      </c>
      <c r="R959" t="s">
        <v>2423</v>
      </c>
      <c r="S959">
        <v>4</v>
      </c>
      <c r="T959" t="s">
        <v>2274</v>
      </c>
      <c r="U959" t="s">
        <v>2275</v>
      </c>
    </row>
    <row r="960" spans="1:21" x14ac:dyDescent="0.25">
      <c r="A960" t="s">
        <v>3347</v>
      </c>
      <c r="B960" t="s">
        <v>154</v>
      </c>
      <c r="C960" t="s">
        <v>541</v>
      </c>
      <c r="D960" t="s">
        <v>24</v>
      </c>
      <c r="E960" t="s">
        <v>1480</v>
      </c>
      <c r="F960" t="s">
        <v>1030</v>
      </c>
      <c r="G960" t="s">
        <v>2425</v>
      </c>
      <c r="H960" s="20">
        <v>46250</v>
      </c>
      <c r="I960">
        <v>1800</v>
      </c>
      <c r="J960">
        <v>65</v>
      </c>
      <c r="K960">
        <v>55</v>
      </c>
      <c r="L960">
        <v>30</v>
      </c>
      <c r="M960">
        <v>21</v>
      </c>
      <c r="P960" t="s">
        <v>2272</v>
      </c>
      <c r="Q960" t="s">
        <v>3064</v>
      </c>
      <c r="R960" t="s">
        <v>2423</v>
      </c>
      <c r="S960">
        <v>4</v>
      </c>
      <c r="T960" t="s">
        <v>2274</v>
      </c>
      <c r="U960" t="s">
        <v>2275</v>
      </c>
    </row>
    <row r="961" spans="1:21" x14ac:dyDescent="0.25">
      <c r="A961" t="s">
        <v>3348</v>
      </c>
      <c r="B961" t="s">
        <v>154</v>
      </c>
      <c r="C961" t="s">
        <v>541</v>
      </c>
      <c r="D961" t="s">
        <v>24</v>
      </c>
      <c r="E961" t="s">
        <v>227</v>
      </c>
      <c r="F961" t="s">
        <v>228</v>
      </c>
      <c r="G961" t="s">
        <v>2425</v>
      </c>
      <c r="H961" s="20">
        <v>46250</v>
      </c>
      <c r="I961">
        <v>1800</v>
      </c>
      <c r="J961">
        <v>65</v>
      </c>
      <c r="K961">
        <v>55</v>
      </c>
      <c r="L961">
        <v>30</v>
      </c>
      <c r="M961">
        <v>21</v>
      </c>
      <c r="P961" t="s">
        <v>2272</v>
      </c>
      <c r="Q961" t="s">
        <v>3064</v>
      </c>
      <c r="R961" t="s">
        <v>2423</v>
      </c>
      <c r="S961">
        <v>4</v>
      </c>
      <c r="T961" t="s">
        <v>2274</v>
      </c>
      <c r="U961" t="s">
        <v>2275</v>
      </c>
    </row>
    <row r="962" spans="1:21" x14ac:dyDescent="0.25">
      <c r="A962" t="s">
        <v>3349</v>
      </c>
      <c r="B962" t="s">
        <v>154</v>
      </c>
      <c r="C962" t="s">
        <v>541</v>
      </c>
      <c r="D962" t="s">
        <v>24</v>
      </c>
      <c r="E962" t="s">
        <v>1481</v>
      </c>
      <c r="F962" t="s">
        <v>388</v>
      </c>
      <c r="G962" t="s">
        <v>2425</v>
      </c>
      <c r="H962" s="20">
        <v>46250</v>
      </c>
      <c r="I962">
        <v>1800</v>
      </c>
      <c r="J962">
        <v>65</v>
      </c>
      <c r="K962">
        <v>55</v>
      </c>
      <c r="L962">
        <v>30</v>
      </c>
      <c r="M962">
        <v>21</v>
      </c>
      <c r="P962" t="s">
        <v>2272</v>
      </c>
      <c r="Q962" t="s">
        <v>3064</v>
      </c>
      <c r="R962" t="s">
        <v>2423</v>
      </c>
      <c r="S962">
        <v>4</v>
      </c>
      <c r="T962" t="s">
        <v>2274</v>
      </c>
      <c r="U962" t="s">
        <v>2275</v>
      </c>
    </row>
    <row r="963" spans="1:21" x14ac:dyDescent="0.25">
      <c r="A963" t="s">
        <v>3350</v>
      </c>
      <c r="B963" t="s">
        <v>154</v>
      </c>
      <c r="C963" t="s">
        <v>541</v>
      </c>
      <c r="D963" t="s">
        <v>24</v>
      </c>
      <c r="E963" t="s">
        <v>1482</v>
      </c>
      <c r="F963" t="s">
        <v>872</v>
      </c>
      <c r="G963" t="s">
        <v>2425</v>
      </c>
      <c r="H963" s="20">
        <v>46250</v>
      </c>
      <c r="I963">
        <v>1800</v>
      </c>
      <c r="J963">
        <v>65</v>
      </c>
      <c r="K963">
        <v>55</v>
      </c>
      <c r="L963">
        <v>30</v>
      </c>
      <c r="M963">
        <v>21</v>
      </c>
      <c r="P963" t="s">
        <v>2272</v>
      </c>
      <c r="Q963" t="s">
        <v>3064</v>
      </c>
      <c r="R963" t="s">
        <v>2423</v>
      </c>
      <c r="S963">
        <v>4</v>
      </c>
      <c r="T963" t="s">
        <v>2274</v>
      </c>
      <c r="U963" t="s">
        <v>2275</v>
      </c>
    </row>
    <row r="964" spans="1:21" x14ac:dyDescent="0.25">
      <c r="A964" t="s">
        <v>3351</v>
      </c>
      <c r="B964" t="s">
        <v>154</v>
      </c>
      <c r="C964" t="s">
        <v>541</v>
      </c>
      <c r="D964" t="s">
        <v>24</v>
      </c>
      <c r="E964" t="s">
        <v>1483</v>
      </c>
      <c r="F964" t="s">
        <v>466</v>
      </c>
      <c r="G964" t="s">
        <v>2425</v>
      </c>
      <c r="H964" s="20">
        <v>46250</v>
      </c>
      <c r="I964">
        <v>1800</v>
      </c>
      <c r="J964">
        <v>65</v>
      </c>
      <c r="K964">
        <v>55</v>
      </c>
      <c r="L964">
        <v>30</v>
      </c>
      <c r="M964">
        <v>21</v>
      </c>
      <c r="P964" t="s">
        <v>2272</v>
      </c>
      <c r="Q964" t="s">
        <v>3064</v>
      </c>
      <c r="R964" t="s">
        <v>2423</v>
      </c>
      <c r="S964">
        <v>4</v>
      </c>
      <c r="T964" t="s">
        <v>2274</v>
      </c>
      <c r="U964" t="s">
        <v>2275</v>
      </c>
    </row>
    <row r="965" spans="1:21" x14ac:dyDescent="0.25">
      <c r="A965" t="s">
        <v>3352</v>
      </c>
      <c r="B965" t="s">
        <v>154</v>
      </c>
      <c r="C965" t="s">
        <v>541</v>
      </c>
      <c r="D965" t="s">
        <v>24</v>
      </c>
      <c r="E965" t="s">
        <v>1484</v>
      </c>
      <c r="F965" t="s">
        <v>108</v>
      </c>
      <c r="G965" t="s">
        <v>2425</v>
      </c>
      <c r="H965" s="20">
        <v>46250</v>
      </c>
      <c r="I965">
        <v>1800</v>
      </c>
      <c r="J965">
        <v>65</v>
      </c>
      <c r="K965">
        <v>55</v>
      </c>
      <c r="L965">
        <v>30</v>
      </c>
      <c r="M965">
        <v>21</v>
      </c>
      <c r="P965" t="s">
        <v>2272</v>
      </c>
      <c r="Q965" t="s">
        <v>3064</v>
      </c>
      <c r="R965" t="s">
        <v>2423</v>
      </c>
      <c r="S965">
        <v>4</v>
      </c>
      <c r="T965" t="s">
        <v>2274</v>
      </c>
      <c r="U965" t="s">
        <v>2275</v>
      </c>
    </row>
    <row r="966" spans="1:21" x14ac:dyDescent="0.25">
      <c r="A966" t="s">
        <v>3353</v>
      </c>
      <c r="B966" t="s">
        <v>154</v>
      </c>
      <c r="C966" t="s">
        <v>541</v>
      </c>
      <c r="D966" t="s">
        <v>24</v>
      </c>
      <c r="E966" t="s">
        <v>1485</v>
      </c>
      <c r="F966" t="s">
        <v>392</v>
      </c>
      <c r="G966" t="s">
        <v>2425</v>
      </c>
      <c r="H966" s="20">
        <v>46250</v>
      </c>
      <c r="I966">
        <v>1800</v>
      </c>
      <c r="J966">
        <v>65</v>
      </c>
      <c r="K966">
        <v>55</v>
      </c>
      <c r="L966">
        <v>30</v>
      </c>
      <c r="M966">
        <v>21</v>
      </c>
      <c r="P966" t="s">
        <v>2272</v>
      </c>
      <c r="Q966" t="s">
        <v>3064</v>
      </c>
      <c r="R966" t="s">
        <v>2423</v>
      </c>
      <c r="S966">
        <v>4</v>
      </c>
      <c r="T966" t="s">
        <v>2274</v>
      </c>
      <c r="U966" t="s">
        <v>2275</v>
      </c>
    </row>
    <row r="967" spans="1:21" x14ac:dyDescent="0.25">
      <c r="A967" t="s">
        <v>3354</v>
      </c>
      <c r="B967" t="s">
        <v>154</v>
      </c>
      <c r="C967" t="s">
        <v>541</v>
      </c>
      <c r="D967" t="s">
        <v>24</v>
      </c>
      <c r="E967" t="s">
        <v>1486</v>
      </c>
      <c r="F967" t="s">
        <v>1265</v>
      </c>
      <c r="G967" t="s">
        <v>2425</v>
      </c>
      <c r="H967" s="20">
        <v>46250</v>
      </c>
      <c r="I967">
        <v>1800</v>
      </c>
      <c r="J967">
        <v>65</v>
      </c>
      <c r="K967">
        <v>55</v>
      </c>
      <c r="L967">
        <v>30</v>
      </c>
      <c r="M967">
        <v>21</v>
      </c>
      <c r="P967" t="s">
        <v>2272</v>
      </c>
      <c r="Q967" t="s">
        <v>3064</v>
      </c>
      <c r="R967" t="s">
        <v>2423</v>
      </c>
      <c r="S967">
        <v>4</v>
      </c>
      <c r="T967" t="s">
        <v>2274</v>
      </c>
      <c r="U967" t="s">
        <v>2275</v>
      </c>
    </row>
    <row r="968" spans="1:21" x14ac:dyDescent="0.25">
      <c r="A968" t="s">
        <v>3355</v>
      </c>
      <c r="B968" t="s">
        <v>154</v>
      </c>
      <c r="C968" t="s">
        <v>541</v>
      </c>
      <c r="D968" t="s">
        <v>26</v>
      </c>
      <c r="E968" t="s">
        <v>1487</v>
      </c>
      <c r="F968" t="s">
        <v>86</v>
      </c>
      <c r="H968" s="20"/>
      <c r="P968" t="s">
        <v>2291</v>
      </c>
      <c r="R968" t="s">
        <v>2292</v>
      </c>
    </row>
    <row r="969" spans="1:21" x14ac:dyDescent="0.25">
      <c r="A969" t="s">
        <v>3356</v>
      </c>
      <c r="B969" t="s">
        <v>154</v>
      </c>
      <c r="C969" t="s">
        <v>541</v>
      </c>
      <c r="D969" t="s">
        <v>21</v>
      </c>
      <c r="E969" t="s">
        <v>1488</v>
      </c>
      <c r="F969" t="s">
        <v>168</v>
      </c>
      <c r="G969" t="s">
        <v>2271</v>
      </c>
      <c r="H969" s="20">
        <v>46254</v>
      </c>
      <c r="I969">
        <v>1500</v>
      </c>
      <c r="J969">
        <v>73</v>
      </c>
      <c r="K969">
        <v>58</v>
      </c>
      <c r="L969">
        <v>25</v>
      </c>
      <c r="M969">
        <v>20</v>
      </c>
      <c r="P969" t="s">
        <v>2272</v>
      </c>
      <c r="R969" t="s">
        <v>2273</v>
      </c>
      <c r="S969">
        <v>5</v>
      </c>
      <c r="T969" t="s">
        <v>2319</v>
      </c>
      <c r="U969" t="s">
        <v>2320</v>
      </c>
    </row>
    <row r="970" spans="1:21" x14ac:dyDescent="0.25">
      <c r="A970" t="s">
        <v>3357</v>
      </c>
      <c r="B970" t="s">
        <v>154</v>
      </c>
      <c r="C970" t="s">
        <v>541</v>
      </c>
      <c r="D970" t="s">
        <v>21</v>
      </c>
      <c r="E970" t="s">
        <v>1489</v>
      </c>
      <c r="F970" t="s">
        <v>212</v>
      </c>
      <c r="G970" t="s">
        <v>2271</v>
      </c>
      <c r="H970" s="20">
        <v>46254</v>
      </c>
      <c r="I970">
        <v>1500</v>
      </c>
      <c r="J970">
        <v>73</v>
      </c>
      <c r="K970">
        <v>58</v>
      </c>
      <c r="L970">
        <v>25</v>
      </c>
      <c r="M970">
        <v>20</v>
      </c>
      <c r="P970" t="s">
        <v>2272</v>
      </c>
      <c r="R970" t="s">
        <v>2273</v>
      </c>
      <c r="S970">
        <v>5</v>
      </c>
      <c r="T970" t="s">
        <v>2319</v>
      </c>
      <c r="U970" t="s">
        <v>2320</v>
      </c>
    </row>
    <row r="971" spans="1:21" x14ac:dyDescent="0.25">
      <c r="A971" t="s">
        <v>3358</v>
      </c>
      <c r="B971" t="s">
        <v>154</v>
      </c>
      <c r="C971" t="s">
        <v>541</v>
      </c>
      <c r="D971" t="s">
        <v>21</v>
      </c>
      <c r="E971" t="s">
        <v>1490</v>
      </c>
      <c r="F971" t="s">
        <v>232</v>
      </c>
      <c r="G971" t="s">
        <v>2271</v>
      </c>
      <c r="H971" s="20">
        <v>46254</v>
      </c>
      <c r="I971">
        <v>1500</v>
      </c>
      <c r="J971">
        <v>73</v>
      </c>
      <c r="K971">
        <v>58</v>
      </c>
      <c r="L971">
        <v>25</v>
      </c>
      <c r="M971">
        <v>20</v>
      </c>
      <c r="P971" t="s">
        <v>2272</v>
      </c>
      <c r="R971" t="s">
        <v>2273</v>
      </c>
      <c r="S971">
        <v>5</v>
      </c>
      <c r="T971" t="s">
        <v>2319</v>
      </c>
      <c r="U971" t="s">
        <v>2320</v>
      </c>
    </row>
    <row r="972" spans="1:21" x14ac:dyDescent="0.25">
      <c r="A972" t="s">
        <v>3359</v>
      </c>
      <c r="B972" t="s">
        <v>154</v>
      </c>
      <c r="C972" t="s">
        <v>4</v>
      </c>
      <c r="D972" t="s">
        <v>24</v>
      </c>
      <c r="E972" t="s">
        <v>1492</v>
      </c>
      <c r="F972" t="s">
        <v>1129</v>
      </c>
      <c r="G972" t="s">
        <v>2271</v>
      </c>
      <c r="H972" s="20">
        <v>46250</v>
      </c>
      <c r="I972">
        <v>1800</v>
      </c>
      <c r="J972">
        <v>70</v>
      </c>
      <c r="K972">
        <v>59</v>
      </c>
      <c r="L972">
        <v>48</v>
      </c>
      <c r="P972" t="s">
        <v>2272</v>
      </c>
      <c r="Q972" t="s">
        <v>3345</v>
      </c>
      <c r="R972" t="s">
        <v>2423</v>
      </c>
      <c r="S972">
        <v>4</v>
      </c>
      <c r="T972" t="s">
        <v>2274</v>
      </c>
      <c r="U972" t="s">
        <v>2275</v>
      </c>
    </row>
    <row r="973" spans="1:21" x14ac:dyDescent="0.25">
      <c r="A973" t="s">
        <v>3360</v>
      </c>
      <c r="B973" t="s">
        <v>154</v>
      </c>
      <c r="C973" t="s">
        <v>4</v>
      </c>
      <c r="D973" t="s">
        <v>24</v>
      </c>
      <c r="E973" t="s">
        <v>1493</v>
      </c>
      <c r="F973" t="s">
        <v>386</v>
      </c>
      <c r="G973" t="s">
        <v>2271</v>
      </c>
      <c r="H973" s="20">
        <v>46250</v>
      </c>
      <c r="I973">
        <v>1800</v>
      </c>
      <c r="J973">
        <v>70</v>
      </c>
      <c r="K973">
        <v>59</v>
      </c>
      <c r="L973">
        <v>48</v>
      </c>
      <c r="P973" t="s">
        <v>2272</v>
      </c>
      <c r="Q973" t="s">
        <v>3345</v>
      </c>
      <c r="R973" t="s">
        <v>2423</v>
      </c>
      <c r="S973">
        <v>4</v>
      </c>
      <c r="T973" t="s">
        <v>2274</v>
      </c>
      <c r="U973" t="s">
        <v>2275</v>
      </c>
    </row>
    <row r="974" spans="1:21" x14ac:dyDescent="0.25">
      <c r="A974" t="s">
        <v>3361</v>
      </c>
      <c r="B974" t="s">
        <v>154</v>
      </c>
      <c r="C974" t="s">
        <v>4</v>
      </c>
      <c r="D974" t="s">
        <v>24</v>
      </c>
      <c r="E974" t="s">
        <v>1494</v>
      </c>
      <c r="F974" t="s">
        <v>985</v>
      </c>
      <c r="G974" t="s">
        <v>2271</v>
      </c>
      <c r="H974" s="20">
        <v>46250</v>
      </c>
      <c r="I974">
        <v>1800</v>
      </c>
      <c r="J974">
        <v>70</v>
      </c>
      <c r="K974">
        <v>59</v>
      </c>
      <c r="L974">
        <v>48</v>
      </c>
      <c r="P974" t="s">
        <v>2272</v>
      </c>
      <c r="Q974" t="s">
        <v>3345</v>
      </c>
      <c r="R974" t="s">
        <v>2423</v>
      </c>
      <c r="S974">
        <v>4</v>
      </c>
      <c r="T974" t="s">
        <v>2274</v>
      </c>
      <c r="U974" t="s">
        <v>2275</v>
      </c>
    </row>
    <row r="975" spans="1:21" x14ac:dyDescent="0.25">
      <c r="A975" t="s">
        <v>3362</v>
      </c>
      <c r="B975" t="s">
        <v>154</v>
      </c>
      <c r="C975" t="s">
        <v>4</v>
      </c>
      <c r="D975" t="s">
        <v>24</v>
      </c>
      <c r="E975" t="s">
        <v>1495</v>
      </c>
      <c r="F975" t="s">
        <v>94</v>
      </c>
      <c r="G975" t="s">
        <v>2271</v>
      </c>
      <c r="H975" s="20">
        <v>46250</v>
      </c>
      <c r="I975">
        <v>1800</v>
      </c>
      <c r="J975">
        <v>70</v>
      </c>
      <c r="K975">
        <v>59</v>
      </c>
      <c r="L975">
        <v>48</v>
      </c>
      <c r="P975" t="s">
        <v>2272</v>
      </c>
      <c r="Q975" t="s">
        <v>3345</v>
      </c>
      <c r="R975" t="s">
        <v>2423</v>
      </c>
      <c r="S975">
        <v>4</v>
      </c>
      <c r="T975" t="s">
        <v>2274</v>
      </c>
      <c r="U975" t="s">
        <v>2275</v>
      </c>
    </row>
    <row r="976" spans="1:21" x14ac:dyDescent="0.25">
      <c r="A976" t="s">
        <v>3363</v>
      </c>
      <c r="B976" t="s">
        <v>154</v>
      </c>
      <c r="C976" t="s">
        <v>4</v>
      </c>
      <c r="D976" t="s">
        <v>24</v>
      </c>
      <c r="E976" t="s">
        <v>1496</v>
      </c>
      <c r="F976" t="s">
        <v>1030</v>
      </c>
      <c r="G976" t="s">
        <v>2425</v>
      </c>
      <c r="H976" s="20">
        <v>46250</v>
      </c>
      <c r="I976">
        <v>1800</v>
      </c>
      <c r="J976">
        <v>55</v>
      </c>
      <c r="K976">
        <v>40</v>
      </c>
      <c r="L976">
        <v>30</v>
      </c>
      <c r="M976">
        <v>23</v>
      </c>
      <c r="P976" t="s">
        <v>2272</v>
      </c>
      <c r="Q976" t="s">
        <v>3064</v>
      </c>
      <c r="R976" t="s">
        <v>2423</v>
      </c>
      <c r="S976">
        <v>4</v>
      </c>
      <c r="T976" t="s">
        <v>2274</v>
      </c>
      <c r="U976" t="s">
        <v>2275</v>
      </c>
    </row>
    <row r="977" spans="1:21" x14ac:dyDescent="0.25">
      <c r="A977" t="s">
        <v>3364</v>
      </c>
      <c r="B977" t="s">
        <v>154</v>
      </c>
      <c r="C977" t="s">
        <v>4</v>
      </c>
      <c r="D977" t="s">
        <v>24</v>
      </c>
      <c r="E977" t="s">
        <v>1497</v>
      </c>
      <c r="F977" t="s">
        <v>484</v>
      </c>
      <c r="G977" t="s">
        <v>2425</v>
      </c>
      <c r="H977" s="20">
        <v>46250</v>
      </c>
      <c r="I977">
        <v>1800</v>
      </c>
      <c r="J977">
        <v>55</v>
      </c>
      <c r="K977">
        <v>40</v>
      </c>
      <c r="L977">
        <v>30</v>
      </c>
      <c r="M977">
        <v>23</v>
      </c>
      <c r="P977" t="s">
        <v>2272</v>
      </c>
      <c r="Q977" t="s">
        <v>3064</v>
      </c>
      <c r="R977" t="s">
        <v>2423</v>
      </c>
      <c r="S977">
        <v>4</v>
      </c>
      <c r="T977" t="s">
        <v>2274</v>
      </c>
      <c r="U977" t="s">
        <v>2275</v>
      </c>
    </row>
    <row r="978" spans="1:21" x14ac:dyDescent="0.25">
      <c r="A978" t="s">
        <v>3365</v>
      </c>
      <c r="B978" t="s">
        <v>154</v>
      </c>
      <c r="C978" t="s">
        <v>4</v>
      </c>
      <c r="D978" t="s">
        <v>24</v>
      </c>
      <c r="E978" t="s">
        <v>1498</v>
      </c>
      <c r="F978" t="s">
        <v>212</v>
      </c>
      <c r="G978" t="s">
        <v>2425</v>
      </c>
      <c r="H978" s="20">
        <v>46250</v>
      </c>
      <c r="I978">
        <v>1800</v>
      </c>
      <c r="J978">
        <v>55</v>
      </c>
      <c r="K978">
        <v>40</v>
      </c>
      <c r="L978">
        <v>30</v>
      </c>
      <c r="M978">
        <v>23</v>
      </c>
      <c r="P978" t="s">
        <v>2272</v>
      </c>
      <c r="Q978" t="s">
        <v>3064</v>
      </c>
      <c r="R978" t="s">
        <v>2423</v>
      </c>
      <c r="S978">
        <v>4</v>
      </c>
      <c r="T978" t="s">
        <v>2274</v>
      </c>
      <c r="U978" t="s">
        <v>2275</v>
      </c>
    </row>
    <row r="979" spans="1:21" x14ac:dyDescent="0.25">
      <c r="A979" t="s">
        <v>3366</v>
      </c>
      <c r="B979" t="s">
        <v>154</v>
      </c>
      <c r="C979" t="s">
        <v>4</v>
      </c>
      <c r="D979" t="s">
        <v>24</v>
      </c>
      <c r="E979" t="s">
        <v>1499</v>
      </c>
      <c r="F979" t="s">
        <v>170</v>
      </c>
      <c r="G979" t="s">
        <v>2425</v>
      </c>
      <c r="H979" s="20">
        <v>46250</v>
      </c>
      <c r="I979">
        <v>1800</v>
      </c>
      <c r="J979">
        <v>55</v>
      </c>
      <c r="K979">
        <v>40</v>
      </c>
      <c r="L979">
        <v>30</v>
      </c>
      <c r="M979">
        <v>23</v>
      </c>
      <c r="P979" t="s">
        <v>2272</v>
      </c>
      <c r="Q979" t="s">
        <v>3064</v>
      </c>
      <c r="R979" t="s">
        <v>2423</v>
      </c>
      <c r="S979">
        <v>4</v>
      </c>
      <c r="T979" t="s">
        <v>2274</v>
      </c>
      <c r="U979" t="s">
        <v>2275</v>
      </c>
    </row>
    <row r="980" spans="1:21" x14ac:dyDescent="0.25">
      <c r="A980" t="s">
        <v>3367</v>
      </c>
      <c r="B980" t="s">
        <v>154</v>
      </c>
      <c r="C980" t="s">
        <v>4</v>
      </c>
      <c r="D980" t="s">
        <v>24</v>
      </c>
      <c r="E980" t="s">
        <v>1500</v>
      </c>
      <c r="F980" t="s">
        <v>398</v>
      </c>
      <c r="G980" t="s">
        <v>2425</v>
      </c>
      <c r="H980" s="20">
        <v>46250</v>
      </c>
      <c r="I980">
        <v>1800</v>
      </c>
      <c r="J980">
        <v>55</v>
      </c>
      <c r="K980">
        <v>40</v>
      </c>
      <c r="L980">
        <v>30</v>
      </c>
      <c r="M980">
        <v>23</v>
      </c>
      <c r="P980" t="s">
        <v>2272</v>
      </c>
      <c r="Q980" t="s">
        <v>3064</v>
      </c>
      <c r="R980" t="s">
        <v>2423</v>
      </c>
      <c r="S980">
        <v>4</v>
      </c>
      <c r="T980" t="s">
        <v>2274</v>
      </c>
      <c r="U980" t="s">
        <v>2275</v>
      </c>
    </row>
    <row r="981" spans="1:21" x14ac:dyDescent="0.25">
      <c r="A981" t="s">
        <v>3368</v>
      </c>
      <c r="B981" t="s">
        <v>154</v>
      </c>
      <c r="C981" t="s">
        <v>4</v>
      </c>
      <c r="D981" t="s">
        <v>24</v>
      </c>
      <c r="E981" t="s">
        <v>1501</v>
      </c>
      <c r="F981" t="s">
        <v>364</v>
      </c>
      <c r="G981" t="s">
        <v>2425</v>
      </c>
      <c r="H981" s="20">
        <v>46250</v>
      </c>
      <c r="I981">
        <v>1800</v>
      </c>
      <c r="J981">
        <v>55</v>
      </c>
      <c r="K981">
        <v>40</v>
      </c>
      <c r="L981">
        <v>30</v>
      </c>
      <c r="M981">
        <v>23</v>
      </c>
      <c r="P981" t="s">
        <v>2272</v>
      </c>
      <c r="Q981" t="s">
        <v>3064</v>
      </c>
      <c r="R981" t="s">
        <v>2423</v>
      </c>
      <c r="S981">
        <v>4</v>
      </c>
      <c r="T981" t="s">
        <v>2274</v>
      </c>
      <c r="U981" t="s">
        <v>2275</v>
      </c>
    </row>
    <row r="982" spans="1:21" x14ac:dyDescent="0.25">
      <c r="A982" t="s">
        <v>3369</v>
      </c>
      <c r="B982" t="s">
        <v>154</v>
      </c>
      <c r="C982" t="s">
        <v>4</v>
      </c>
      <c r="D982" t="s">
        <v>24</v>
      </c>
      <c r="E982" t="s">
        <v>1502</v>
      </c>
      <c r="F982" t="s">
        <v>530</v>
      </c>
      <c r="G982" t="s">
        <v>2425</v>
      </c>
      <c r="H982" s="20">
        <v>46250</v>
      </c>
      <c r="I982">
        <v>1800</v>
      </c>
      <c r="J982">
        <v>55</v>
      </c>
      <c r="K982">
        <v>40</v>
      </c>
      <c r="L982">
        <v>30</v>
      </c>
      <c r="M982">
        <v>23</v>
      </c>
      <c r="P982" t="s">
        <v>2272</v>
      </c>
      <c r="Q982" t="s">
        <v>3064</v>
      </c>
      <c r="R982" t="s">
        <v>2423</v>
      </c>
      <c r="S982">
        <v>4</v>
      </c>
      <c r="T982" t="s">
        <v>2274</v>
      </c>
      <c r="U982" t="s">
        <v>2275</v>
      </c>
    </row>
    <row r="983" spans="1:21" x14ac:dyDescent="0.25">
      <c r="A983" t="s">
        <v>3370</v>
      </c>
      <c r="B983" t="s">
        <v>154</v>
      </c>
      <c r="C983" t="s">
        <v>4</v>
      </c>
      <c r="D983" t="s">
        <v>24</v>
      </c>
      <c r="E983" t="s">
        <v>1503</v>
      </c>
      <c r="F983" t="s">
        <v>435</v>
      </c>
      <c r="G983" t="s">
        <v>2425</v>
      </c>
      <c r="H983" s="20">
        <v>46250</v>
      </c>
      <c r="I983">
        <v>1800</v>
      </c>
      <c r="J983">
        <v>55</v>
      </c>
      <c r="K983">
        <v>40</v>
      </c>
      <c r="L983">
        <v>30</v>
      </c>
      <c r="M983">
        <v>23</v>
      </c>
      <c r="P983" t="s">
        <v>2272</v>
      </c>
      <c r="Q983" t="s">
        <v>3064</v>
      </c>
      <c r="R983" t="s">
        <v>2423</v>
      </c>
      <c r="S983">
        <v>4</v>
      </c>
      <c r="T983" t="s">
        <v>2274</v>
      </c>
      <c r="U983" t="s">
        <v>2275</v>
      </c>
    </row>
    <row r="984" spans="1:21" x14ac:dyDescent="0.25">
      <c r="A984" t="s">
        <v>3371</v>
      </c>
      <c r="B984" t="s">
        <v>154</v>
      </c>
      <c r="C984" t="s">
        <v>4</v>
      </c>
      <c r="D984" t="s">
        <v>24</v>
      </c>
      <c r="E984" t="s">
        <v>1504</v>
      </c>
      <c r="F984" t="s">
        <v>62</v>
      </c>
      <c r="G984" t="s">
        <v>2425</v>
      </c>
      <c r="H984" s="20">
        <v>46250</v>
      </c>
      <c r="I984">
        <v>1800</v>
      </c>
      <c r="J984">
        <v>55</v>
      </c>
      <c r="K984">
        <v>40</v>
      </c>
      <c r="L984">
        <v>30</v>
      </c>
      <c r="M984">
        <v>23</v>
      </c>
      <c r="P984" t="s">
        <v>2272</v>
      </c>
      <c r="Q984" t="s">
        <v>3064</v>
      </c>
      <c r="R984" t="s">
        <v>2423</v>
      </c>
      <c r="S984">
        <v>4</v>
      </c>
      <c r="T984" t="s">
        <v>2274</v>
      </c>
      <c r="U984" t="s">
        <v>2275</v>
      </c>
    </row>
    <row r="985" spans="1:21" x14ac:dyDescent="0.25">
      <c r="A985" t="s">
        <v>3372</v>
      </c>
      <c r="B985" t="s">
        <v>154</v>
      </c>
      <c r="C985" t="s">
        <v>4</v>
      </c>
      <c r="D985" t="s">
        <v>24</v>
      </c>
      <c r="E985" t="s">
        <v>1505</v>
      </c>
      <c r="F985" t="s">
        <v>359</v>
      </c>
      <c r="G985" t="s">
        <v>2425</v>
      </c>
      <c r="H985" s="20">
        <v>46250</v>
      </c>
      <c r="I985">
        <v>1800</v>
      </c>
      <c r="J985">
        <v>55</v>
      </c>
      <c r="K985">
        <v>40</v>
      </c>
      <c r="L985">
        <v>30</v>
      </c>
      <c r="M985">
        <v>23</v>
      </c>
      <c r="P985" t="s">
        <v>2272</v>
      </c>
      <c r="Q985" t="s">
        <v>3064</v>
      </c>
      <c r="R985" t="s">
        <v>2423</v>
      </c>
      <c r="S985">
        <v>4</v>
      </c>
      <c r="T985" t="s">
        <v>2274</v>
      </c>
      <c r="U985" t="s">
        <v>2275</v>
      </c>
    </row>
    <row r="986" spans="1:21" x14ac:dyDescent="0.25">
      <c r="A986" t="s">
        <v>3373</v>
      </c>
      <c r="B986" t="s">
        <v>154</v>
      </c>
      <c r="C986" t="s">
        <v>4</v>
      </c>
      <c r="D986" t="s">
        <v>24</v>
      </c>
      <c r="E986" t="s">
        <v>1506</v>
      </c>
      <c r="F986" t="s">
        <v>1212</v>
      </c>
      <c r="G986" t="s">
        <v>2425</v>
      </c>
      <c r="H986" s="20">
        <v>46250</v>
      </c>
      <c r="I986">
        <v>1800</v>
      </c>
      <c r="J986">
        <v>55</v>
      </c>
      <c r="K986">
        <v>40</v>
      </c>
      <c r="L986">
        <v>30</v>
      </c>
      <c r="M986">
        <v>23</v>
      </c>
      <c r="P986" t="s">
        <v>2272</v>
      </c>
      <c r="Q986" t="s">
        <v>3064</v>
      </c>
      <c r="R986" t="s">
        <v>2423</v>
      </c>
      <c r="S986">
        <v>4</v>
      </c>
      <c r="T986" t="s">
        <v>2274</v>
      </c>
      <c r="U986" t="s">
        <v>2275</v>
      </c>
    </row>
    <row r="987" spans="1:21" x14ac:dyDescent="0.25">
      <c r="A987" t="s">
        <v>3374</v>
      </c>
      <c r="B987" t="s">
        <v>154</v>
      </c>
      <c r="C987" t="s">
        <v>4</v>
      </c>
      <c r="D987" t="s">
        <v>24</v>
      </c>
      <c r="E987" t="s">
        <v>1507</v>
      </c>
      <c r="F987" t="s">
        <v>1108</v>
      </c>
      <c r="G987" t="s">
        <v>2425</v>
      </c>
      <c r="H987" s="20">
        <v>46250</v>
      </c>
      <c r="I987">
        <v>1800</v>
      </c>
      <c r="J987">
        <v>55</v>
      </c>
      <c r="K987">
        <v>40</v>
      </c>
      <c r="L987">
        <v>30</v>
      </c>
      <c r="M987">
        <v>23</v>
      </c>
      <c r="P987" t="s">
        <v>2272</v>
      </c>
      <c r="Q987" t="s">
        <v>3064</v>
      </c>
      <c r="R987" t="s">
        <v>2423</v>
      </c>
      <c r="S987">
        <v>4</v>
      </c>
      <c r="T987" t="s">
        <v>2274</v>
      </c>
      <c r="U987" t="s">
        <v>2275</v>
      </c>
    </row>
    <row r="988" spans="1:21" x14ac:dyDescent="0.25">
      <c r="A988" t="s">
        <v>3375</v>
      </c>
      <c r="B988" t="s">
        <v>154</v>
      </c>
      <c r="C988" t="s">
        <v>4</v>
      </c>
      <c r="D988" t="s">
        <v>21</v>
      </c>
      <c r="E988" t="s">
        <v>1508</v>
      </c>
      <c r="F988" t="s">
        <v>1509</v>
      </c>
      <c r="G988" t="s">
        <v>2271</v>
      </c>
      <c r="H988" s="20">
        <v>46254</v>
      </c>
      <c r="I988">
        <v>1500</v>
      </c>
      <c r="J988">
        <v>68</v>
      </c>
      <c r="K988">
        <v>45</v>
      </c>
      <c r="L988">
        <v>27</v>
      </c>
      <c r="P988" t="s">
        <v>2272</v>
      </c>
      <c r="R988" t="s">
        <v>2273</v>
      </c>
      <c r="S988">
        <v>5</v>
      </c>
      <c r="T988" t="s">
        <v>2319</v>
      </c>
      <c r="U988" t="s">
        <v>2320</v>
      </c>
    </row>
    <row r="989" spans="1:21" x14ac:dyDescent="0.25">
      <c r="A989" t="s">
        <v>3376</v>
      </c>
      <c r="B989" t="s">
        <v>154</v>
      </c>
      <c r="C989" t="s">
        <v>4</v>
      </c>
      <c r="D989" t="s">
        <v>21</v>
      </c>
      <c r="E989" t="s">
        <v>1510</v>
      </c>
      <c r="F989" t="s">
        <v>1511</v>
      </c>
      <c r="G989" t="s">
        <v>2271</v>
      </c>
      <c r="H989" s="20">
        <v>46254</v>
      </c>
      <c r="I989">
        <v>1500</v>
      </c>
      <c r="J989">
        <v>68</v>
      </c>
      <c r="K989">
        <v>45</v>
      </c>
      <c r="L989">
        <v>27</v>
      </c>
      <c r="P989" t="s">
        <v>2272</v>
      </c>
      <c r="R989" t="s">
        <v>2273</v>
      </c>
      <c r="S989">
        <v>5</v>
      </c>
      <c r="T989" t="s">
        <v>2319</v>
      </c>
      <c r="U989" t="s">
        <v>2320</v>
      </c>
    </row>
    <row r="990" spans="1:21" x14ac:dyDescent="0.25">
      <c r="A990" t="s">
        <v>3377</v>
      </c>
      <c r="B990" t="s">
        <v>154</v>
      </c>
      <c r="C990" t="s">
        <v>4</v>
      </c>
      <c r="D990" t="s">
        <v>21</v>
      </c>
      <c r="E990" t="s">
        <v>1512</v>
      </c>
      <c r="F990" t="s">
        <v>199</v>
      </c>
      <c r="G990" t="s">
        <v>2271</v>
      </c>
      <c r="H990" s="20">
        <v>46254</v>
      </c>
      <c r="I990">
        <v>1500</v>
      </c>
      <c r="J990">
        <v>68</v>
      </c>
      <c r="K990">
        <v>45</v>
      </c>
      <c r="L990">
        <v>27</v>
      </c>
      <c r="P990" t="s">
        <v>2272</v>
      </c>
      <c r="R990" t="s">
        <v>2273</v>
      </c>
      <c r="S990">
        <v>5</v>
      </c>
      <c r="T990" t="s">
        <v>2319</v>
      </c>
      <c r="U990" t="s">
        <v>2320</v>
      </c>
    </row>
    <row r="991" spans="1:21" x14ac:dyDescent="0.25">
      <c r="A991" t="s">
        <v>3378</v>
      </c>
      <c r="B991" t="s">
        <v>154</v>
      </c>
      <c r="C991" t="s">
        <v>4</v>
      </c>
      <c r="D991" t="s">
        <v>21</v>
      </c>
      <c r="E991" t="s">
        <v>1513</v>
      </c>
      <c r="F991" t="s">
        <v>746</v>
      </c>
      <c r="G991" t="s">
        <v>2444</v>
      </c>
      <c r="H991" s="20">
        <v>46254</v>
      </c>
      <c r="I991">
        <v>1500</v>
      </c>
      <c r="J991">
        <v>85</v>
      </c>
      <c r="K991">
        <v>70</v>
      </c>
      <c r="L991">
        <v>47</v>
      </c>
      <c r="P991" t="s">
        <v>2272</v>
      </c>
      <c r="Q991" t="s">
        <v>3379</v>
      </c>
      <c r="R991" t="s">
        <v>2446</v>
      </c>
      <c r="S991">
        <v>5</v>
      </c>
      <c r="T991" t="s">
        <v>2319</v>
      </c>
      <c r="U991" t="s">
        <v>2320</v>
      </c>
    </row>
    <row r="992" spans="1:21" x14ac:dyDescent="0.25">
      <c r="A992" t="s">
        <v>3380</v>
      </c>
      <c r="B992" t="s">
        <v>154</v>
      </c>
      <c r="C992" t="s">
        <v>4</v>
      </c>
      <c r="D992" t="s">
        <v>21</v>
      </c>
      <c r="E992" t="s">
        <v>1514</v>
      </c>
      <c r="F992" t="s">
        <v>985</v>
      </c>
      <c r="G992" t="s">
        <v>2444</v>
      </c>
      <c r="H992" s="20">
        <v>46254</v>
      </c>
      <c r="I992">
        <v>1500</v>
      </c>
      <c r="J992">
        <v>85</v>
      </c>
      <c r="K992">
        <v>70</v>
      </c>
      <c r="L992">
        <v>47</v>
      </c>
      <c r="P992" t="s">
        <v>2272</v>
      </c>
      <c r="Q992" t="s">
        <v>3379</v>
      </c>
      <c r="R992" t="s">
        <v>2446</v>
      </c>
      <c r="S992">
        <v>5</v>
      </c>
      <c r="T992" t="s">
        <v>2319</v>
      </c>
      <c r="U992" t="s">
        <v>2320</v>
      </c>
    </row>
    <row r="993" spans="1:21" x14ac:dyDescent="0.25">
      <c r="A993" t="s">
        <v>3381</v>
      </c>
      <c r="B993" t="s">
        <v>154</v>
      </c>
      <c r="C993" t="s">
        <v>4</v>
      </c>
      <c r="D993" t="s">
        <v>21</v>
      </c>
      <c r="E993" t="s">
        <v>1515</v>
      </c>
      <c r="F993" t="s">
        <v>131</v>
      </c>
      <c r="G993" t="s">
        <v>2271</v>
      </c>
      <c r="H993" s="20">
        <v>46254</v>
      </c>
      <c r="I993">
        <v>1500</v>
      </c>
      <c r="J993">
        <v>68</v>
      </c>
      <c r="K993">
        <v>45</v>
      </c>
      <c r="L993">
        <v>27</v>
      </c>
      <c r="P993" t="s">
        <v>2272</v>
      </c>
      <c r="R993" t="s">
        <v>2273</v>
      </c>
      <c r="S993">
        <v>5</v>
      </c>
      <c r="T993" t="s">
        <v>2319</v>
      </c>
      <c r="U993" t="s">
        <v>2320</v>
      </c>
    </row>
    <row r="994" spans="1:21" x14ac:dyDescent="0.25">
      <c r="A994" t="s">
        <v>3382</v>
      </c>
      <c r="B994" t="s">
        <v>154</v>
      </c>
      <c r="C994" t="s">
        <v>4</v>
      </c>
      <c r="D994" t="s">
        <v>21</v>
      </c>
      <c r="E994" t="s">
        <v>1516</v>
      </c>
      <c r="F994" t="s">
        <v>832</v>
      </c>
      <c r="G994" t="s">
        <v>2271</v>
      </c>
      <c r="H994" s="20">
        <v>46254</v>
      </c>
      <c r="I994">
        <v>1500</v>
      </c>
      <c r="J994">
        <v>68</v>
      </c>
      <c r="K994">
        <v>45</v>
      </c>
      <c r="L994">
        <v>27</v>
      </c>
      <c r="P994" t="s">
        <v>2272</v>
      </c>
      <c r="R994" t="s">
        <v>2273</v>
      </c>
      <c r="S994">
        <v>5</v>
      </c>
      <c r="T994" t="s">
        <v>2319</v>
      </c>
      <c r="U994" t="s">
        <v>2320</v>
      </c>
    </row>
    <row r="995" spans="1:21" x14ac:dyDescent="0.25">
      <c r="A995" t="s">
        <v>3383</v>
      </c>
      <c r="B995" t="s">
        <v>154</v>
      </c>
      <c r="C995" t="s">
        <v>4</v>
      </c>
      <c r="D995" t="s">
        <v>21</v>
      </c>
      <c r="E995" t="s">
        <v>1517</v>
      </c>
      <c r="F995" t="s">
        <v>411</v>
      </c>
      <c r="G995" t="s">
        <v>2271</v>
      </c>
      <c r="H995" s="20">
        <v>46254</v>
      </c>
      <c r="I995">
        <v>1500</v>
      </c>
      <c r="J995">
        <v>68</v>
      </c>
      <c r="K995">
        <v>45</v>
      </c>
      <c r="L995">
        <v>27</v>
      </c>
      <c r="P995" t="s">
        <v>2272</v>
      </c>
      <c r="R995" t="s">
        <v>2273</v>
      </c>
      <c r="S995">
        <v>5</v>
      </c>
      <c r="T995" t="s">
        <v>2319</v>
      </c>
      <c r="U995" t="s">
        <v>2320</v>
      </c>
    </row>
    <row r="996" spans="1:21" x14ac:dyDescent="0.25">
      <c r="A996" t="s">
        <v>3384</v>
      </c>
      <c r="B996" t="s">
        <v>154</v>
      </c>
      <c r="C996" t="s">
        <v>4</v>
      </c>
      <c r="D996" t="s">
        <v>21</v>
      </c>
      <c r="E996" t="s">
        <v>1518</v>
      </c>
      <c r="F996" t="s">
        <v>411</v>
      </c>
      <c r="G996" t="s">
        <v>2271</v>
      </c>
      <c r="H996" s="20">
        <v>46254</v>
      </c>
      <c r="I996">
        <v>1500</v>
      </c>
      <c r="J996">
        <v>68</v>
      </c>
      <c r="K996">
        <v>45</v>
      </c>
      <c r="L996">
        <v>27</v>
      </c>
      <c r="P996" t="s">
        <v>2272</v>
      </c>
      <c r="R996" t="s">
        <v>2273</v>
      </c>
      <c r="S996">
        <v>5</v>
      </c>
      <c r="T996" t="s">
        <v>2319</v>
      </c>
      <c r="U996" t="s">
        <v>2320</v>
      </c>
    </row>
    <row r="997" spans="1:21" x14ac:dyDescent="0.25">
      <c r="A997" t="s">
        <v>3385</v>
      </c>
      <c r="B997" t="s">
        <v>154</v>
      </c>
      <c r="C997" t="s">
        <v>4</v>
      </c>
      <c r="D997" t="s">
        <v>21</v>
      </c>
      <c r="E997" t="s">
        <v>1519</v>
      </c>
      <c r="F997" t="s">
        <v>801</v>
      </c>
      <c r="G997" t="s">
        <v>2271</v>
      </c>
      <c r="H997" s="20">
        <v>46254</v>
      </c>
      <c r="I997">
        <v>1500</v>
      </c>
      <c r="J997">
        <v>68</v>
      </c>
      <c r="K997">
        <v>45</v>
      </c>
      <c r="L997">
        <v>27</v>
      </c>
      <c r="P997" t="s">
        <v>2272</v>
      </c>
      <c r="R997" t="s">
        <v>2273</v>
      </c>
      <c r="S997">
        <v>5</v>
      </c>
      <c r="T997" t="s">
        <v>2319</v>
      </c>
      <c r="U997" t="s">
        <v>2320</v>
      </c>
    </row>
    <row r="998" spans="1:21" x14ac:dyDescent="0.25">
      <c r="A998" t="s">
        <v>3386</v>
      </c>
      <c r="B998" t="s">
        <v>154</v>
      </c>
      <c r="C998" t="s">
        <v>4</v>
      </c>
      <c r="D998" t="s">
        <v>21</v>
      </c>
      <c r="E998" t="s">
        <v>1520</v>
      </c>
      <c r="F998" t="s">
        <v>711</v>
      </c>
      <c r="G998" t="s">
        <v>2271</v>
      </c>
      <c r="H998" s="20">
        <v>46254</v>
      </c>
      <c r="I998">
        <v>1500</v>
      </c>
      <c r="J998">
        <v>68</v>
      </c>
      <c r="K998">
        <v>45</v>
      </c>
      <c r="L998">
        <v>27</v>
      </c>
      <c r="P998" t="s">
        <v>2272</v>
      </c>
      <c r="R998" t="s">
        <v>2273</v>
      </c>
      <c r="S998">
        <v>5</v>
      </c>
      <c r="T998" t="s">
        <v>2319</v>
      </c>
      <c r="U998" t="s">
        <v>2320</v>
      </c>
    </row>
    <row r="999" spans="1:21" x14ac:dyDescent="0.25">
      <c r="A999" t="s">
        <v>3387</v>
      </c>
      <c r="B999" t="s">
        <v>154</v>
      </c>
      <c r="C999" t="s">
        <v>4</v>
      </c>
      <c r="D999" t="s">
        <v>21</v>
      </c>
      <c r="E999" t="s">
        <v>1521</v>
      </c>
      <c r="F999" t="s">
        <v>364</v>
      </c>
      <c r="G999" t="s">
        <v>2271</v>
      </c>
      <c r="H999" s="20">
        <v>46254</v>
      </c>
      <c r="I999">
        <v>1500</v>
      </c>
      <c r="J999">
        <v>68</v>
      </c>
      <c r="K999">
        <v>45</v>
      </c>
      <c r="L999">
        <v>27</v>
      </c>
      <c r="P999" t="s">
        <v>2272</v>
      </c>
      <c r="R999" t="s">
        <v>2273</v>
      </c>
      <c r="S999">
        <v>5</v>
      </c>
      <c r="T999" t="s">
        <v>2319</v>
      </c>
      <c r="U999" t="s">
        <v>2320</v>
      </c>
    </row>
    <row r="1000" spans="1:21" x14ac:dyDescent="0.25">
      <c r="A1000" t="s">
        <v>3388</v>
      </c>
      <c r="B1000" t="s">
        <v>154</v>
      </c>
      <c r="C1000" t="s">
        <v>4</v>
      </c>
      <c r="D1000" t="s">
        <v>21</v>
      </c>
      <c r="E1000" t="s">
        <v>1522</v>
      </c>
      <c r="F1000" t="s">
        <v>413</v>
      </c>
      <c r="G1000" t="s">
        <v>2271</v>
      </c>
      <c r="H1000" s="20">
        <v>46254</v>
      </c>
      <c r="I1000">
        <v>1500</v>
      </c>
      <c r="J1000">
        <v>68</v>
      </c>
      <c r="K1000">
        <v>45</v>
      </c>
      <c r="L1000">
        <v>27</v>
      </c>
      <c r="P1000" t="s">
        <v>2272</v>
      </c>
      <c r="R1000" t="s">
        <v>2273</v>
      </c>
      <c r="S1000">
        <v>5</v>
      </c>
      <c r="T1000" t="s">
        <v>2319</v>
      </c>
      <c r="U1000" t="s">
        <v>2320</v>
      </c>
    </row>
    <row r="1001" spans="1:21" x14ac:dyDescent="0.25">
      <c r="A1001" t="s">
        <v>3389</v>
      </c>
      <c r="B1001" t="s">
        <v>154</v>
      </c>
      <c r="C1001" t="s">
        <v>4</v>
      </c>
      <c r="D1001" t="s">
        <v>21</v>
      </c>
      <c r="E1001" t="s">
        <v>1523</v>
      </c>
      <c r="F1001" t="s">
        <v>221</v>
      </c>
      <c r="G1001" t="s">
        <v>2271</v>
      </c>
      <c r="H1001" s="20">
        <v>46254</v>
      </c>
      <c r="I1001">
        <v>1500</v>
      </c>
      <c r="J1001">
        <v>68</v>
      </c>
      <c r="K1001">
        <v>45</v>
      </c>
      <c r="L1001">
        <v>27</v>
      </c>
      <c r="P1001" t="s">
        <v>2272</v>
      </c>
      <c r="R1001" t="s">
        <v>2273</v>
      </c>
      <c r="S1001">
        <v>5</v>
      </c>
      <c r="T1001" t="s">
        <v>2319</v>
      </c>
      <c r="U1001" t="s">
        <v>2320</v>
      </c>
    </row>
    <row r="1002" spans="1:21" x14ac:dyDescent="0.25">
      <c r="A1002" t="s">
        <v>3390</v>
      </c>
      <c r="B1002" t="s">
        <v>154</v>
      </c>
      <c r="C1002" t="s">
        <v>4</v>
      </c>
      <c r="D1002" t="s">
        <v>21</v>
      </c>
      <c r="E1002" t="s">
        <v>1524</v>
      </c>
      <c r="F1002" t="s">
        <v>674</v>
      </c>
      <c r="G1002" t="s">
        <v>2271</v>
      </c>
      <c r="H1002" s="20">
        <v>46254</v>
      </c>
      <c r="I1002">
        <v>1500</v>
      </c>
      <c r="J1002">
        <v>68</v>
      </c>
      <c r="K1002">
        <v>45</v>
      </c>
      <c r="L1002">
        <v>27</v>
      </c>
      <c r="P1002" t="s">
        <v>2272</v>
      </c>
      <c r="R1002" t="s">
        <v>2273</v>
      </c>
      <c r="S1002">
        <v>5</v>
      </c>
      <c r="T1002" t="s">
        <v>2319</v>
      </c>
      <c r="U1002" t="s">
        <v>2320</v>
      </c>
    </row>
    <row r="1003" spans="1:21" x14ac:dyDescent="0.25">
      <c r="A1003" t="s">
        <v>3391</v>
      </c>
      <c r="B1003" t="s">
        <v>154</v>
      </c>
      <c r="C1003" t="s">
        <v>4</v>
      </c>
      <c r="D1003" t="s">
        <v>21</v>
      </c>
      <c r="E1003" t="s">
        <v>1525</v>
      </c>
      <c r="F1003" t="s">
        <v>295</v>
      </c>
      <c r="G1003" t="s">
        <v>2271</v>
      </c>
      <c r="H1003" s="20">
        <v>46254</v>
      </c>
      <c r="I1003">
        <v>1500</v>
      </c>
      <c r="J1003">
        <v>68</v>
      </c>
      <c r="K1003">
        <v>45</v>
      </c>
      <c r="L1003">
        <v>27</v>
      </c>
      <c r="P1003" t="s">
        <v>2272</v>
      </c>
      <c r="R1003" t="s">
        <v>2273</v>
      </c>
      <c r="S1003">
        <v>5</v>
      </c>
      <c r="T1003" t="s">
        <v>2319</v>
      </c>
      <c r="U1003" t="s">
        <v>2320</v>
      </c>
    </row>
    <row r="1004" spans="1:21" x14ac:dyDescent="0.25">
      <c r="A1004" t="s">
        <v>3392</v>
      </c>
      <c r="B1004" t="s">
        <v>154</v>
      </c>
      <c r="C1004" t="s">
        <v>4</v>
      </c>
      <c r="D1004" t="s">
        <v>21</v>
      </c>
      <c r="E1004" t="s">
        <v>1526</v>
      </c>
      <c r="F1004" t="s">
        <v>295</v>
      </c>
      <c r="G1004" t="s">
        <v>2271</v>
      </c>
      <c r="H1004" s="20">
        <v>46254</v>
      </c>
      <c r="I1004">
        <v>1500</v>
      </c>
      <c r="J1004">
        <v>68</v>
      </c>
      <c r="K1004">
        <v>45</v>
      </c>
      <c r="L1004">
        <v>27</v>
      </c>
      <c r="P1004" t="s">
        <v>2272</v>
      </c>
      <c r="R1004" t="s">
        <v>2273</v>
      </c>
      <c r="S1004">
        <v>5</v>
      </c>
      <c r="T1004" t="s">
        <v>2319</v>
      </c>
      <c r="U1004" t="s">
        <v>2320</v>
      </c>
    </row>
    <row r="1005" spans="1:21" x14ac:dyDescent="0.25">
      <c r="A1005" t="s">
        <v>3393</v>
      </c>
      <c r="B1005" t="s">
        <v>154</v>
      </c>
      <c r="C1005" t="s">
        <v>4</v>
      </c>
      <c r="D1005" t="s">
        <v>21</v>
      </c>
      <c r="E1005" t="s">
        <v>1527</v>
      </c>
      <c r="F1005" t="s">
        <v>1021</v>
      </c>
      <c r="G1005" t="s">
        <v>2271</v>
      </c>
      <c r="H1005" s="20">
        <v>46254</v>
      </c>
      <c r="I1005">
        <v>1500</v>
      </c>
      <c r="J1005">
        <v>68</v>
      </c>
      <c r="K1005">
        <v>45</v>
      </c>
      <c r="L1005">
        <v>27</v>
      </c>
      <c r="P1005" t="s">
        <v>2272</v>
      </c>
      <c r="R1005" t="s">
        <v>2273</v>
      </c>
      <c r="S1005">
        <v>5</v>
      </c>
      <c r="T1005" t="s">
        <v>2319</v>
      </c>
      <c r="U1005" t="s">
        <v>2320</v>
      </c>
    </row>
    <row r="1006" spans="1:21" x14ac:dyDescent="0.25">
      <c r="A1006" t="s">
        <v>3394</v>
      </c>
      <c r="B1006" t="s">
        <v>154</v>
      </c>
      <c r="C1006" t="s">
        <v>4</v>
      </c>
      <c r="D1006" t="s">
        <v>21</v>
      </c>
      <c r="E1006" t="s">
        <v>1528</v>
      </c>
      <c r="F1006" t="s">
        <v>1376</v>
      </c>
      <c r="G1006" t="s">
        <v>2271</v>
      </c>
      <c r="H1006" s="20">
        <v>46254</v>
      </c>
      <c r="I1006">
        <v>1500</v>
      </c>
      <c r="J1006">
        <v>68</v>
      </c>
      <c r="K1006">
        <v>45</v>
      </c>
      <c r="L1006">
        <v>27</v>
      </c>
      <c r="P1006" t="s">
        <v>2272</v>
      </c>
      <c r="R1006" t="s">
        <v>2273</v>
      </c>
      <c r="S1006">
        <v>5</v>
      </c>
      <c r="T1006" t="s">
        <v>2319</v>
      </c>
      <c r="U1006" t="s">
        <v>2320</v>
      </c>
    </row>
    <row r="1007" spans="1:21" x14ac:dyDescent="0.25">
      <c r="A1007" t="s">
        <v>3395</v>
      </c>
      <c r="B1007" t="s">
        <v>154</v>
      </c>
      <c r="C1007" t="s">
        <v>4</v>
      </c>
      <c r="D1007" t="s">
        <v>21</v>
      </c>
      <c r="E1007" t="s">
        <v>1529</v>
      </c>
      <c r="F1007" t="s">
        <v>1108</v>
      </c>
      <c r="G1007" t="s">
        <v>2271</v>
      </c>
      <c r="H1007" s="20">
        <v>46254</v>
      </c>
      <c r="I1007">
        <v>1500</v>
      </c>
      <c r="J1007">
        <v>68</v>
      </c>
      <c r="K1007">
        <v>45</v>
      </c>
      <c r="L1007">
        <v>27</v>
      </c>
      <c r="P1007" t="s">
        <v>2272</v>
      </c>
      <c r="R1007" t="s">
        <v>2273</v>
      </c>
      <c r="S1007">
        <v>5</v>
      </c>
      <c r="T1007" t="s">
        <v>2319</v>
      </c>
      <c r="U1007" t="s">
        <v>2320</v>
      </c>
    </row>
    <row r="1008" spans="1:21" x14ac:dyDescent="0.25">
      <c r="A1008" t="s">
        <v>3396</v>
      </c>
      <c r="B1008" t="s">
        <v>154</v>
      </c>
      <c r="C1008" t="s">
        <v>4</v>
      </c>
      <c r="D1008" t="s">
        <v>26</v>
      </c>
      <c r="E1008" t="s">
        <v>1530</v>
      </c>
      <c r="F1008" t="s">
        <v>1531</v>
      </c>
      <c r="H1008" s="20"/>
      <c r="P1008" t="s">
        <v>2291</v>
      </c>
      <c r="R1008" t="s">
        <v>2292</v>
      </c>
    </row>
    <row r="1009" spans="1:21" x14ac:dyDescent="0.25">
      <c r="A1009" t="s">
        <v>3397</v>
      </c>
      <c r="B1009" t="s">
        <v>154</v>
      </c>
      <c r="C1009" t="s">
        <v>4</v>
      </c>
      <c r="D1009" t="s">
        <v>26</v>
      </c>
      <c r="E1009" t="s">
        <v>1532</v>
      </c>
      <c r="F1009" t="s">
        <v>395</v>
      </c>
      <c r="H1009" s="20"/>
      <c r="P1009" t="s">
        <v>2291</v>
      </c>
      <c r="R1009" t="s">
        <v>2292</v>
      </c>
    </row>
    <row r="1010" spans="1:21" x14ac:dyDescent="0.25">
      <c r="A1010" t="s">
        <v>3398</v>
      </c>
      <c r="B1010" t="s">
        <v>154</v>
      </c>
      <c r="C1010" t="s">
        <v>4</v>
      </c>
      <c r="D1010" t="s">
        <v>26</v>
      </c>
      <c r="E1010" t="s">
        <v>1533</v>
      </c>
      <c r="F1010" t="s">
        <v>66</v>
      </c>
      <c r="H1010" s="20"/>
      <c r="P1010" t="s">
        <v>2291</v>
      </c>
      <c r="R1010" t="s">
        <v>2292</v>
      </c>
    </row>
    <row r="1011" spans="1:21" x14ac:dyDescent="0.25">
      <c r="A1011" t="s">
        <v>3399</v>
      </c>
      <c r="B1011" t="s">
        <v>154</v>
      </c>
      <c r="C1011" t="s">
        <v>4</v>
      </c>
      <c r="D1011" t="s">
        <v>26</v>
      </c>
      <c r="E1011" t="s">
        <v>1534</v>
      </c>
      <c r="F1011" t="s">
        <v>170</v>
      </c>
      <c r="H1011" s="20"/>
      <c r="P1011" t="s">
        <v>2291</v>
      </c>
      <c r="R1011" t="s">
        <v>2292</v>
      </c>
    </row>
    <row r="1012" spans="1:21" x14ac:dyDescent="0.25">
      <c r="A1012" t="s">
        <v>3400</v>
      </c>
      <c r="B1012" t="s">
        <v>154</v>
      </c>
      <c r="C1012" t="s">
        <v>4</v>
      </c>
      <c r="D1012" t="s">
        <v>26</v>
      </c>
      <c r="E1012" t="s">
        <v>1535</v>
      </c>
      <c r="F1012" t="s">
        <v>188</v>
      </c>
      <c r="H1012" s="20"/>
      <c r="P1012" t="s">
        <v>2291</v>
      </c>
      <c r="R1012" t="s">
        <v>2292</v>
      </c>
    </row>
    <row r="1013" spans="1:21" x14ac:dyDescent="0.25">
      <c r="A1013" t="s">
        <v>3401</v>
      </c>
      <c r="B1013" t="s">
        <v>154</v>
      </c>
      <c r="C1013" t="s">
        <v>4</v>
      </c>
      <c r="D1013" t="s">
        <v>26</v>
      </c>
      <c r="E1013" t="s">
        <v>1536</v>
      </c>
      <c r="F1013" t="s">
        <v>419</v>
      </c>
      <c r="H1013" s="20"/>
      <c r="P1013" t="s">
        <v>2291</v>
      </c>
      <c r="R1013" t="s">
        <v>2292</v>
      </c>
    </row>
    <row r="1014" spans="1:21" x14ac:dyDescent="0.25">
      <c r="A1014" t="s">
        <v>3402</v>
      </c>
      <c r="B1014" t="s">
        <v>154</v>
      </c>
      <c r="C1014" t="s">
        <v>4</v>
      </c>
      <c r="D1014" t="s">
        <v>21</v>
      </c>
      <c r="E1014" t="s">
        <v>1537</v>
      </c>
      <c r="F1014" t="s">
        <v>395</v>
      </c>
      <c r="G1014" t="s">
        <v>2271</v>
      </c>
      <c r="H1014" s="20">
        <v>46254</v>
      </c>
      <c r="I1014">
        <v>1500</v>
      </c>
      <c r="J1014">
        <v>68</v>
      </c>
      <c r="K1014">
        <v>45</v>
      </c>
      <c r="L1014">
        <v>27</v>
      </c>
      <c r="P1014" t="s">
        <v>2272</v>
      </c>
      <c r="R1014" t="s">
        <v>2273</v>
      </c>
      <c r="S1014">
        <v>5</v>
      </c>
      <c r="T1014" t="s">
        <v>2319</v>
      </c>
      <c r="U1014" t="s">
        <v>2320</v>
      </c>
    </row>
    <row r="1015" spans="1:21" x14ac:dyDescent="0.25">
      <c r="A1015" t="s">
        <v>3403</v>
      </c>
      <c r="B1015" t="s">
        <v>154</v>
      </c>
      <c r="C1015" t="s">
        <v>4</v>
      </c>
      <c r="D1015" t="s">
        <v>21</v>
      </c>
      <c r="E1015" t="s">
        <v>1538</v>
      </c>
      <c r="F1015" t="s">
        <v>1332</v>
      </c>
      <c r="G1015" t="s">
        <v>2271</v>
      </c>
      <c r="H1015" s="20">
        <v>46254</v>
      </c>
      <c r="I1015">
        <v>1500</v>
      </c>
      <c r="J1015">
        <v>68</v>
      </c>
      <c r="K1015">
        <v>45</v>
      </c>
      <c r="L1015">
        <v>27</v>
      </c>
      <c r="P1015" t="s">
        <v>2272</v>
      </c>
      <c r="R1015" t="s">
        <v>2273</v>
      </c>
      <c r="S1015">
        <v>5</v>
      </c>
      <c r="T1015" t="s">
        <v>2319</v>
      </c>
      <c r="U1015" t="s">
        <v>2320</v>
      </c>
    </row>
    <row r="1016" spans="1:21" x14ac:dyDescent="0.25">
      <c r="A1016" t="s">
        <v>3404</v>
      </c>
      <c r="B1016" t="s">
        <v>154</v>
      </c>
      <c r="C1016" t="s">
        <v>904</v>
      </c>
      <c r="D1016" t="s">
        <v>24</v>
      </c>
      <c r="E1016" t="s">
        <v>1540</v>
      </c>
      <c r="F1016" t="s">
        <v>1197</v>
      </c>
      <c r="G1016" t="s">
        <v>2271</v>
      </c>
      <c r="H1016" s="20">
        <v>46250</v>
      </c>
      <c r="I1016">
        <v>1800</v>
      </c>
      <c r="J1016">
        <v>45</v>
      </c>
      <c r="K1016">
        <v>36</v>
      </c>
      <c r="L1016">
        <v>25</v>
      </c>
      <c r="M1016">
        <v>13</v>
      </c>
      <c r="P1016" t="s">
        <v>2272</v>
      </c>
      <c r="R1016" t="s">
        <v>2273</v>
      </c>
      <c r="S1016">
        <v>4</v>
      </c>
      <c r="T1016" t="s">
        <v>2274</v>
      </c>
      <c r="U1016" t="s">
        <v>2275</v>
      </c>
    </row>
    <row r="1017" spans="1:21" x14ac:dyDescent="0.25">
      <c r="A1017" t="s">
        <v>3405</v>
      </c>
      <c r="B1017" t="s">
        <v>154</v>
      </c>
      <c r="C1017" t="s">
        <v>904</v>
      </c>
      <c r="D1017" t="s">
        <v>24</v>
      </c>
      <c r="E1017" t="s">
        <v>1541</v>
      </c>
      <c r="F1017" t="s">
        <v>94</v>
      </c>
      <c r="G1017" t="s">
        <v>2271</v>
      </c>
      <c r="H1017" s="20">
        <v>46250</v>
      </c>
      <c r="I1017">
        <v>1800</v>
      </c>
      <c r="J1017">
        <v>45</v>
      </c>
      <c r="K1017">
        <v>36</v>
      </c>
      <c r="L1017">
        <v>25</v>
      </c>
      <c r="M1017">
        <v>13</v>
      </c>
      <c r="P1017" t="s">
        <v>2272</v>
      </c>
      <c r="R1017" t="s">
        <v>2273</v>
      </c>
      <c r="S1017">
        <v>4</v>
      </c>
      <c r="T1017" t="s">
        <v>2274</v>
      </c>
      <c r="U1017" t="s">
        <v>2275</v>
      </c>
    </row>
    <row r="1018" spans="1:21" x14ac:dyDescent="0.25">
      <c r="A1018" t="s">
        <v>3406</v>
      </c>
      <c r="B1018" t="s">
        <v>154</v>
      </c>
      <c r="C1018" t="s">
        <v>904</v>
      </c>
      <c r="D1018" t="s">
        <v>24</v>
      </c>
      <c r="E1018" t="s">
        <v>1542</v>
      </c>
      <c r="F1018" t="s">
        <v>476</v>
      </c>
      <c r="G1018" t="s">
        <v>2271</v>
      </c>
      <c r="H1018" s="20">
        <v>46250</v>
      </c>
      <c r="I1018">
        <v>1800</v>
      </c>
      <c r="J1018">
        <v>45</v>
      </c>
      <c r="K1018">
        <v>36</v>
      </c>
      <c r="L1018">
        <v>25</v>
      </c>
      <c r="M1018">
        <v>13</v>
      </c>
      <c r="P1018" t="s">
        <v>2272</v>
      </c>
      <c r="R1018" t="s">
        <v>2273</v>
      </c>
      <c r="S1018">
        <v>4</v>
      </c>
      <c r="T1018" t="s">
        <v>2274</v>
      </c>
      <c r="U1018" t="s">
        <v>2275</v>
      </c>
    </row>
    <row r="1019" spans="1:21" x14ac:dyDescent="0.25">
      <c r="A1019" t="s">
        <v>3407</v>
      </c>
      <c r="B1019" t="s">
        <v>154</v>
      </c>
      <c r="C1019" t="s">
        <v>904</v>
      </c>
      <c r="D1019" t="s">
        <v>24</v>
      </c>
      <c r="E1019" t="s">
        <v>1543</v>
      </c>
      <c r="F1019" t="s">
        <v>836</v>
      </c>
      <c r="G1019" t="s">
        <v>2271</v>
      </c>
      <c r="H1019" s="20">
        <v>46250</v>
      </c>
      <c r="I1019">
        <v>1800</v>
      </c>
      <c r="J1019">
        <v>45</v>
      </c>
      <c r="K1019">
        <v>36</v>
      </c>
      <c r="L1019">
        <v>25</v>
      </c>
      <c r="M1019">
        <v>13</v>
      </c>
      <c r="P1019" t="s">
        <v>2272</v>
      </c>
      <c r="R1019" t="s">
        <v>2273</v>
      </c>
      <c r="S1019">
        <v>4</v>
      </c>
      <c r="T1019" t="s">
        <v>2274</v>
      </c>
      <c r="U1019" t="s">
        <v>2275</v>
      </c>
    </row>
    <row r="1020" spans="1:21" x14ac:dyDescent="0.25">
      <c r="A1020" t="s">
        <v>3408</v>
      </c>
      <c r="B1020" t="s">
        <v>154</v>
      </c>
      <c r="C1020" t="s">
        <v>904</v>
      </c>
      <c r="D1020" t="s">
        <v>24</v>
      </c>
      <c r="E1020" t="s">
        <v>1544</v>
      </c>
      <c r="F1020" t="s">
        <v>682</v>
      </c>
      <c r="G1020" t="s">
        <v>2271</v>
      </c>
      <c r="H1020" s="20">
        <v>46250</v>
      </c>
      <c r="I1020">
        <v>1800</v>
      </c>
      <c r="J1020">
        <v>45</v>
      </c>
      <c r="K1020">
        <v>36</v>
      </c>
      <c r="L1020">
        <v>25</v>
      </c>
      <c r="M1020">
        <v>13</v>
      </c>
      <c r="P1020" t="s">
        <v>2272</v>
      </c>
      <c r="R1020" t="s">
        <v>2273</v>
      </c>
      <c r="S1020">
        <v>4</v>
      </c>
      <c r="T1020" t="s">
        <v>2274</v>
      </c>
      <c r="U1020" t="s">
        <v>2275</v>
      </c>
    </row>
    <row r="1021" spans="1:21" x14ac:dyDescent="0.25">
      <c r="A1021" t="s">
        <v>3409</v>
      </c>
      <c r="B1021" t="s">
        <v>154</v>
      </c>
      <c r="C1021" t="s">
        <v>904</v>
      </c>
      <c r="D1021" t="s">
        <v>24</v>
      </c>
      <c r="E1021" t="s">
        <v>1545</v>
      </c>
      <c r="F1021" t="s">
        <v>1546</v>
      </c>
      <c r="G1021" t="s">
        <v>2271</v>
      </c>
      <c r="H1021" s="20">
        <v>46250</v>
      </c>
      <c r="I1021">
        <v>1800</v>
      </c>
      <c r="J1021">
        <v>45</v>
      </c>
      <c r="K1021">
        <v>36</v>
      </c>
      <c r="L1021">
        <v>25</v>
      </c>
      <c r="M1021">
        <v>13</v>
      </c>
      <c r="P1021" t="s">
        <v>2272</v>
      </c>
      <c r="R1021" t="s">
        <v>2273</v>
      </c>
      <c r="S1021">
        <v>4</v>
      </c>
      <c r="T1021" t="s">
        <v>2274</v>
      </c>
      <c r="U1021" t="s">
        <v>2275</v>
      </c>
    </row>
    <row r="1022" spans="1:21" x14ac:dyDescent="0.25">
      <c r="A1022" t="s">
        <v>3410</v>
      </c>
      <c r="B1022" t="s">
        <v>154</v>
      </c>
      <c r="C1022" t="s">
        <v>904</v>
      </c>
      <c r="D1022" t="s">
        <v>24</v>
      </c>
      <c r="E1022" t="s">
        <v>1547</v>
      </c>
      <c r="F1022" t="s">
        <v>413</v>
      </c>
      <c r="G1022" t="s">
        <v>2271</v>
      </c>
      <c r="H1022" s="20">
        <v>46250</v>
      </c>
      <c r="I1022">
        <v>1800</v>
      </c>
      <c r="J1022">
        <v>45</v>
      </c>
      <c r="K1022">
        <v>36</v>
      </c>
      <c r="L1022">
        <v>25</v>
      </c>
      <c r="M1022">
        <v>13</v>
      </c>
      <c r="P1022" t="s">
        <v>2272</v>
      </c>
      <c r="R1022" t="s">
        <v>2273</v>
      </c>
      <c r="S1022">
        <v>4</v>
      </c>
      <c r="T1022" t="s">
        <v>2274</v>
      </c>
      <c r="U1022" t="s">
        <v>2275</v>
      </c>
    </row>
    <row r="1023" spans="1:21" x14ac:dyDescent="0.25">
      <c r="A1023" t="s">
        <v>3411</v>
      </c>
      <c r="B1023" t="s">
        <v>154</v>
      </c>
      <c r="C1023" t="s">
        <v>904</v>
      </c>
      <c r="D1023" t="s">
        <v>24</v>
      </c>
      <c r="E1023" t="s">
        <v>1548</v>
      </c>
      <c r="F1023" t="s">
        <v>419</v>
      </c>
      <c r="G1023" t="s">
        <v>2271</v>
      </c>
      <c r="H1023" s="20">
        <v>46250</v>
      </c>
      <c r="I1023">
        <v>1800</v>
      </c>
      <c r="J1023">
        <v>45</v>
      </c>
      <c r="K1023">
        <v>36</v>
      </c>
      <c r="L1023">
        <v>25</v>
      </c>
      <c r="M1023">
        <v>13</v>
      </c>
      <c r="P1023" t="s">
        <v>2272</v>
      </c>
      <c r="R1023" t="s">
        <v>2273</v>
      </c>
      <c r="S1023">
        <v>4</v>
      </c>
      <c r="T1023" t="s">
        <v>2274</v>
      </c>
      <c r="U1023" t="s">
        <v>2275</v>
      </c>
    </row>
    <row r="1024" spans="1:21" x14ac:dyDescent="0.25">
      <c r="A1024" t="s">
        <v>3412</v>
      </c>
      <c r="B1024" t="s">
        <v>154</v>
      </c>
      <c r="C1024" t="s">
        <v>904</v>
      </c>
      <c r="D1024" t="s">
        <v>24</v>
      </c>
      <c r="E1024" t="s">
        <v>1549</v>
      </c>
      <c r="F1024" t="s">
        <v>742</v>
      </c>
      <c r="G1024" t="s">
        <v>2271</v>
      </c>
      <c r="H1024" s="20">
        <v>46250</v>
      </c>
      <c r="I1024">
        <v>1800</v>
      </c>
      <c r="J1024">
        <v>45</v>
      </c>
      <c r="K1024">
        <v>36</v>
      </c>
      <c r="L1024">
        <v>25</v>
      </c>
      <c r="M1024">
        <v>13</v>
      </c>
      <c r="P1024" t="s">
        <v>2272</v>
      </c>
      <c r="R1024" t="s">
        <v>2273</v>
      </c>
      <c r="S1024">
        <v>4</v>
      </c>
      <c r="T1024" t="s">
        <v>2274</v>
      </c>
      <c r="U1024" t="s">
        <v>2275</v>
      </c>
    </row>
    <row r="1025" spans="1:21" x14ac:dyDescent="0.25">
      <c r="A1025" t="s">
        <v>3413</v>
      </c>
      <c r="B1025" t="s">
        <v>154</v>
      </c>
      <c r="C1025" t="s">
        <v>904</v>
      </c>
      <c r="D1025" t="s">
        <v>24</v>
      </c>
      <c r="E1025" t="s">
        <v>1550</v>
      </c>
      <c r="F1025" t="s">
        <v>1207</v>
      </c>
      <c r="G1025" t="s">
        <v>2271</v>
      </c>
      <c r="H1025" s="20">
        <v>46250</v>
      </c>
      <c r="I1025">
        <v>1800</v>
      </c>
      <c r="J1025">
        <v>45</v>
      </c>
      <c r="K1025">
        <v>36</v>
      </c>
      <c r="L1025">
        <v>25</v>
      </c>
      <c r="M1025">
        <v>13</v>
      </c>
      <c r="P1025" t="s">
        <v>2272</v>
      </c>
      <c r="R1025" t="s">
        <v>2273</v>
      </c>
      <c r="S1025">
        <v>4</v>
      </c>
      <c r="T1025" t="s">
        <v>2274</v>
      </c>
      <c r="U1025" t="s">
        <v>2275</v>
      </c>
    </row>
    <row r="1026" spans="1:21" x14ac:dyDescent="0.25">
      <c r="A1026" t="s">
        <v>3414</v>
      </c>
      <c r="B1026" t="s">
        <v>154</v>
      </c>
      <c r="C1026" t="s">
        <v>904</v>
      </c>
      <c r="D1026" t="s">
        <v>21</v>
      </c>
      <c r="E1026" t="s">
        <v>1551</v>
      </c>
      <c r="F1026" t="s">
        <v>746</v>
      </c>
      <c r="G1026" t="s">
        <v>2271</v>
      </c>
      <c r="H1026" s="20">
        <v>46254</v>
      </c>
      <c r="I1026">
        <v>1500</v>
      </c>
      <c r="J1026">
        <v>46</v>
      </c>
      <c r="K1026">
        <v>29</v>
      </c>
      <c r="L1026">
        <v>10</v>
      </c>
      <c r="P1026" t="s">
        <v>2272</v>
      </c>
      <c r="R1026" t="s">
        <v>2273</v>
      </c>
      <c r="S1026">
        <v>5</v>
      </c>
      <c r="T1026" t="s">
        <v>2319</v>
      </c>
      <c r="U1026" t="s">
        <v>2320</v>
      </c>
    </row>
    <row r="1027" spans="1:21" x14ac:dyDescent="0.25">
      <c r="A1027" t="s">
        <v>3415</v>
      </c>
      <c r="B1027" t="s">
        <v>154</v>
      </c>
      <c r="C1027" t="s">
        <v>904</v>
      </c>
      <c r="D1027" t="s">
        <v>21</v>
      </c>
      <c r="E1027" t="s">
        <v>1552</v>
      </c>
      <c r="F1027" t="s">
        <v>1405</v>
      </c>
      <c r="G1027" t="s">
        <v>2271</v>
      </c>
      <c r="H1027" s="20">
        <v>46254</v>
      </c>
      <c r="I1027">
        <v>1500</v>
      </c>
      <c r="J1027">
        <v>46</v>
      </c>
      <c r="K1027">
        <v>29</v>
      </c>
      <c r="L1027">
        <v>10</v>
      </c>
      <c r="P1027" t="s">
        <v>2272</v>
      </c>
      <c r="R1027" t="s">
        <v>2273</v>
      </c>
      <c r="S1027">
        <v>5</v>
      </c>
      <c r="T1027" t="s">
        <v>2319</v>
      </c>
      <c r="U1027" t="s">
        <v>2320</v>
      </c>
    </row>
    <row r="1028" spans="1:21" x14ac:dyDescent="0.25">
      <c r="A1028" t="s">
        <v>3416</v>
      </c>
      <c r="B1028" t="s">
        <v>154</v>
      </c>
      <c r="C1028" t="s">
        <v>904</v>
      </c>
      <c r="D1028" t="s">
        <v>21</v>
      </c>
      <c r="E1028" t="s">
        <v>1553</v>
      </c>
      <c r="F1028" t="s">
        <v>56</v>
      </c>
      <c r="G1028" t="s">
        <v>2271</v>
      </c>
      <c r="H1028" s="20">
        <v>46254</v>
      </c>
      <c r="I1028">
        <v>1500</v>
      </c>
      <c r="J1028">
        <v>46</v>
      </c>
      <c r="K1028">
        <v>29</v>
      </c>
      <c r="L1028">
        <v>10</v>
      </c>
      <c r="P1028" t="s">
        <v>2272</v>
      </c>
      <c r="R1028" t="s">
        <v>2273</v>
      </c>
      <c r="S1028">
        <v>5</v>
      </c>
      <c r="T1028" t="s">
        <v>2319</v>
      </c>
      <c r="U1028" t="s">
        <v>2320</v>
      </c>
    </row>
    <row r="1029" spans="1:21" x14ac:dyDescent="0.25">
      <c r="A1029" t="s">
        <v>3417</v>
      </c>
      <c r="B1029" t="s">
        <v>154</v>
      </c>
      <c r="C1029" t="s">
        <v>904</v>
      </c>
      <c r="D1029" t="s">
        <v>21</v>
      </c>
      <c r="E1029" t="s">
        <v>1553</v>
      </c>
      <c r="F1029" t="s">
        <v>711</v>
      </c>
      <c r="G1029" t="s">
        <v>2271</v>
      </c>
      <c r="H1029" s="20">
        <v>46254</v>
      </c>
      <c r="I1029">
        <v>1500</v>
      </c>
      <c r="J1029">
        <v>46</v>
      </c>
      <c r="K1029">
        <v>29</v>
      </c>
      <c r="L1029">
        <v>10</v>
      </c>
      <c r="P1029" t="s">
        <v>2272</v>
      </c>
      <c r="R1029" t="s">
        <v>2273</v>
      </c>
      <c r="S1029">
        <v>5</v>
      </c>
      <c r="T1029" t="s">
        <v>2319</v>
      </c>
      <c r="U1029" t="s">
        <v>2320</v>
      </c>
    </row>
    <row r="1030" spans="1:21" x14ac:dyDescent="0.25">
      <c r="A1030" t="s">
        <v>3418</v>
      </c>
      <c r="B1030" t="s">
        <v>154</v>
      </c>
      <c r="C1030" t="s">
        <v>904</v>
      </c>
      <c r="D1030" t="s">
        <v>21</v>
      </c>
      <c r="E1030" t="s">
        <v>987</v>
      </c>
      <c r="F1030" t="s">
        <v>376</v>
      </c>
      <c r="G1030" t="s">
        <v>2271</v>
      </c>
      <c r="H1030" s="20">
        <v>46254</v>
      </c>
      <c r="I1030">
        <v>1500</v>
      </c>
      <c r="J1030">
        <v>46</v>
      </c>
      <c r="K1030">
        <v>29</v>
      </c>
      <c r="L1030">
        <v>10</v>
      </c>
      <c r="P1030" t="s">
        <v>2272</v>
      </c>
      <c r="R1030" t="s">
        <v>2273</v>
      </c>
      <c r="S1030">
        <v>5</v>
      </c>
      <c r="T1030" t="s">
        <v>2319</v>
      </c>
      <c r="U1030" t="s">
        <v>2320</v>
      </c>
    </row>
    <row r="1031" spans="1:21" x14ac:dyDescent="0.25">
      <c r="A1031" t="s">
        <v>3419</v>
      </c>
      <c r="B1031" t="s">
        <v>154</v>
      </c>
      <c r="C1031" t="s">
        <v>904</v>
      </c>
      <c r="D1031" t="s">
        <v>21</v>
      </c>
      <c r="E1031" t="s">
        <v>1554</v>
      </c>
      <c r="F1031" t="s">
        <v>188</v>
      </c>
      <c r="G1031" t="s">
        <v>2271</v>
      </c>
      <c r="H1031" s="20">
        <v>46254</v>
      </c>
      <c r="I1031">
        <v>1500</v>
      </c>
      <c r="J1031">
        <v>46</v>
      </c>
      <c r="K1031">
        <v>29</v>
      </c>
      <c r="L1031">
        <v>10</v>
      </c>
      <c r="P1031" t="s">
        <v>2272</v>
      </c>
      <c r="R1031" t="s">
        <v>2273</v>
      </c>
      <c r="S1031">
        <v>5</v>
      </c>
      <c r="T1031" t="s">
        <v>2319</v>
      </c>
      <c r="U1031" t="s">
        <v>2320</v>
      </c>
    </row>
    <row r="1032" spans="1:21" x14ac:dyDescent="0.25">
      <c r="A1032" t="s">
        <v>3420</v>
      </c>
      <c r="B1032" t="s">
        <v>154</v>
      </c>
      <c r="C1032" t="s">
        <v>904</v>
      </c>
      <c r="D1032" t="s">
        <v>21</v>
      </c>
      <c r="E1032" t="s">
        <v>1555</v>
      </c>
      <c r="F1032" t="s">
        <v>184</v>
      </c>
      <c r="G1032" t="s">
        <v>2271</v>
      </c>
      <c r="H1032" s="20">
        <v>46254</v>
      </c>
      <c r="I1032">
        <v>1500</v>
      </c>
      <c r="J1032">
        <v>46</v>
      </c>
      <c r="K1032">
        <v>29</v>
      </c>
      <c r="L1032">
        <v>10</v>
      </c>
      <c r="P1032" t="s">
        <v>2272</v>
      </c>
      <c r="R1032" t="s">
        <v>2273</v>
      </c>
      <c r="S1032">
        <v>5</v>
      </c>
      <c r="T1032" t="s">
        <v>2319</v>
      </c>
      <c r="U1032" t="s">
        <v>2320</v>
      </c>
    </row>
    <row r="1033" spans="1:21" x14ac:dyDescent="0.25">
      <c r="A1033" t="s">
        <v>3421</v>
      </c>
      <c r="B1033" t="s">
        <v>154</v>
      </c>
      <c r="C1033" t="s">
        <v>1004</v>
      </c>
      <c r="D1033" t="s">
        <v>24</v>
      </c>
      <c r="E1033" t="s">
        <v>1557</v>
      </c>
      <c r="F1033" t="s">
        <v>488</v>
      </c>
      <c r="G1033" t="s">
        <v>2271</v>
      </c>
      <c r="H1033" s="20">
        <v>46250</v>
      </c>
      <c r="I1033">
        <v>1800</v>
      </c>
      <c r="J1033">
        <v>40</v>
      </c>
      <c r="K1033">
        <v>32</v>
      </c>
      <c r="L1033">
        <v>28</v>
      </c>
      <c r="M1033">
        <v>13</v>
      </c>
      <c r="P1033" t="s">
        <v>2272</v>
      </c>
      <c r="R1033" t="s">
        <v>2273</v>
      </c>
      <c r="S1033">
        <v>4</v>
      </c>
      <c r="T1033" t="s">
        <v>2274</v>
      </c>
      <c r="U1033" t="s">
        <v>2275</v>
      </c>
    </row>
    <row r="1034" spans="1:21" x14ac:dyDescent="0.25">
      <c r="A1034" t="s">
        <v>3422</v>
      </c>
      <c r="B1034" t="s">
        <v>154</v>
      </c>
      <c r="C1034" t="s">
        <v>1004</v>
      </c>
      <c r="D1034" t="s">
        <v>24</v>
      </c>
      <c r="E1034" t="s">
        <v>1558</v>
      </c>
      <c r="F1034" t="s">
        <v>484</v>
      </c>
      <c r="G1034" t="s">
        <v>2271</v>
      </c>
      <c r="H1034" s="20">
        <v>46250</v>
      </c>
      <c r="I1034">
        <v>1800</v>
      </c>
      <c r="J1034">
        <v>40</v>
      </c>
      <c r="K1034">
        <v>32</v>
      </c>
      <c r="L1034">
        <v>28</v>
      </c>
      <c r="M1034">
        <v>13</v>
      </c>
      <c r="P1034" t="s">
        <v>2272</v>
      </c>
      <c r="R1034" t="s">
        <v>2273</v>
      </c>
      <c r="S1034">
        <v>4</v>
      </c>
      <c r="T1034" t="s">
        <v>2274</v>
      </c>
      <c r="U1034" t="s">
        <v>2275</v>
      </c>
    </row>
    <row r="1035" spans="1:21" x14ac:dyDescent="0.25">
      <c r="A1035" t="s">
        <v>3423</v>
      </c>
      <c r="B1035" t="s">
        <v>154</v>
      </c>
      <c r="C1035" t="s">
        <v>1004</v>
      </c>
      <c r="D1035" t="s">
        <v>24</v>
      </c>
      <c r="E1035" t="s">
        <v>1558</v>
      </c>
      <c r="F1035" t="s">
        <v>443</v>
      </c>
      <c r="G1035" t="s">
        <v>2271</v>
      </c>
      <c r="H1035" s="20">
        <v>46250</v>
      </c>
      <c r="I1035">
        <v>1800</v>
      </c>
      <c r="J1035">
        <v>40</v>
      </c>
      <c r="K1035">
        <v>32</v>
      </c>
      <c r="L1035">
        <v>28</v>
      </c>
      <c r="M1035">
        <v>13</v>
      </c>
      <c r="P1035" t="s">
        <v>2272</v>
      </c>
      <c r="R1035" t="s">
        <v>2273</v>
      </c>
      <c r="S1035">
        <v>4</v>
      </c>
      <c r="T1035" t="s">
        <v>2274</v>
      </c>
      <c r="U1035" t="s">
        <v>2275</v>
      </c>
    </row>
    <row r="1036" spans="1:21" x14ac:dyDescent="0.25">
      <c r="A1036" t="s">
        <v>3424</v>
      </c>
      <c r="B1036" t="s">
        <v>154</v>
      </c>
      <c r="C1036" t="s">
        <v>1004</v>
      </c>
      <c r="D1036" t="s">
        <v>24</v>
      </c>
      <c r="E1036" t="s">
        <v>1559</v>
      </c>
      <c r="F1036" t="s">
        <v>368</v>
      </c>
      <c r="G1036" t="s">
        <v>2271</v>
      </c>
      <c r="H1036" s="20">
        <v>46250</v>
      </c>
      <c r="I1036">
        <v>1800</v>
      </c>
      <c r="J1036">
        <v>40</v>
      </c>
      <c r="K1036">
        <v>32</v>
      </c>
      <c r="L1036">
        <v>28</v>
      </c>
      <c r="M1036">
        <v>13</v>
      </c>
      <c r="P1036" t="s">
        <v>2272</v>
      </c>
      <c r="R1036" t="s">
        <v>2273</v>
      </c>
      <c r="S1036">
        <v>4</v>
      </c>
      <c r="T1036" t="s">
        <v>2274</v>
      </c>
      <c r="U1036" t="s">
        <v>2275</v>
      </c>
    </row>
    <row r="1037" spans="1:21" x14ac:dyDescent="0.25">
      <c r="A1037" t="s">
        <v>3425</v>
      </c>
      <c r="B1037" t="s">
        <v>154</v>
      </c>
      <c r="C1037" t="s">
        <v>1004</v>
      </c>
      <c r="D1037" t="s">
        <v>24</v>
      </c>
      <c r="E1037" t="s">
        <v>1559</v>
      </c>
      <c r="F1037" t="s">
        <v>1560</v>
      </c>
      <c r="G1037" t="s">
        <v>2271</v>
      </c>
      <c r="H1037" s="20">
        <v>46250</v>
      </c>
      <c r="I1037">
        <v>1800</v>
      </c>
      <c r="J1037">
        <v>40</v>
      </c>
      <c r="K1037">
        <v>32</v>
      </c>
      <c r="L1037">
        <v>28</v>
      </c>
      <c r="M1037">
        <v>13</v>
      </c>
      <c r="P1037" t="s">
        <v>2272</v>
      </c>
      <c r="R1037" t="s">
        <v>2273</v>
      </c>
      <c r="S1037">
        <v>4</v>
      </c>
      <c r="T1037" t="s">
        <v>2274</v>
      </c>
      <c r="U1037" t="s">
        <v>2275</v>
      </c>
    </row>
    <row r="1038" spans="1:21" x14ac:dyDescent="0.25">
      <c r="A1038" t="s">
        <v>3426</v>
      </c>
      <c r="B1038" t="s">
        <v>154</v>
      </c>
      <c r="C1038" t="s">
        <v>1004</v>
      </c>
      <c r="D1038" t="s">
        <v>24</v>
      </c>
      <c r="E1038" t="s">
        <v>1561</v>
      </c>
      <c r="F1038" t="s">
        <v>165</v>
      </c>
      <c r="G1038" t="s">
        <v>2271</v>
      </c>
      <c r="H1038" s="20">
        <v>46250</v>
      </c>
      <c r="I1038">
        <v>1800</v>
      </c>
      <c r="J1038">
        <v>40</v>
      </c>
      <c r="K1038">
        <v>32</v>
      </c>
      <c r="L1038">
        <v>28</v>
      </c>
      <c r="M1038">
        <v>13</v>
      </c>
      <c r="P1038" t="s">
        <v>2272</v>
      </c>
      <c r="R1038" t="s">
        <v>2273</v>
      </c>
      <c r="S1038">
        <v>4</v>
      </c>
      <c r="T1038" t="s">
        <v>2274</v>
      </c>
      <c r="U1038" t="s">
        <v>2275</v>
      </c>
    </row>
    <row r="1039" spans="1:21" x14ac:dyDescent="0.25">
      <c r="A1039" t="s">
        <v>3427</v>
      </c>
      <c r="B1039" t="s">
        <v>154</v>
      </c>
      <c r="C1039" t="s">
        <v>1004</v>
      </c>
      <c r="D1039" t="s">
        <v>24</v>
      </c>
      <c r="E1039" t="s">
        <v>1562</v>
      </c>
      <c r="F1039" t="s">
        <v>242</v>
      </c>
      <c r="G1039" t="s">
        <v>2271</v>
      </c>
      <c r="H1039" s="20">
        <v>46250</v>
      </c>
      <c r="I1039">
        <v>1800</v>
      </c>
      <c r="J1039">
        <v>40</v>
      </c>
      <c r="K1039">
        <v>32</v>
      </c>
      <c r="L1039">
        <v>28</v>
      </c>
      <c r="M1039">
        <v>13</v>
      </c>
      <c r="P1039" t="s">
        <v>2272</v>
      </c>
      <c r="R1039" t="s">
        <v>2273</v>
      </c>
      <c r="S1039">
        <v>4</v>
      </c>
      <c r="T1039" t="s">
        <v>2274</v>
      </c>
      <c r="U1039" t="s">
        <v>2275</v>
      </c>
    </row>
    <row r="1040" spans="1:21" x14ac:dyDescent="0.25">
      <c r="A1040" t="s">
        <v>3428</v>
      </c>
      <c r="B1040" t="s">
        <v>154</v>
      </c>
      <c r="C1040" t="s">
        <v>1004</v>
      </c>
      <c r="D1040" t="s">
        <v>24</v>
      </c>
      <c r="E1040" t="s">
        <v>1563</v>
      </c>
      <c r="F1040" t="s">
        <v>435</v>
      </c>
      <c r="G1040" t="s">
        <v>2271</v>
      </c>
      <c r="H1040" s="20">
        <v>46250</v>
      </c>
      <c r="I1040">
        <v>1800</v>
      </c>
      <c r="J1040">
        <v>40</v>
      </c>
      <c r="K1040">
        <v>32</v>
      </c>
      <c r="L1040">
        <v>28</v>
      </c>
      <c r="M1040">
        <v>13</v>
      </c>
      <c r="P1040" t="s">
        <v>2272</v>
      </c>
      <c r="R1040" t="s">
        <v>2273</v>
      </c>
      <c r="S1040">
        <v>4</v>
      </c>
      <c r="T1040" t="s">
        <v>2274</v>
      </c>
      <c r="U1040" t="s">
        <v>2275</v>
      </c>
    </row>
    <row r="1041" spans="1:21" x14ac:dyDescent="0.25">
      <c r="A1041" t="s">
        <v>3429</v>
      </c>
      <c r="B1041" t="s">
        <v>154</v>
      </c>
      <c r="C1041" t="s">
        <v>1004</v>
      </c>
      <c r="D1041" t="s">
        <v>24</v>
      </c>
      <c r="E1041" t="s">
        <v>1564</v>
      </c>
      <c r="F1041" t="s">
        <v>62</v>
      </c>
      <c r="G1041" t="s">
        <v>2271</v>
      </c>
      <c r="H1041" s="20">
        <v>46250</v>
      </c>
      <c r="I1041">
        <v>1800</v>
      </c>
      <c r="J1041">
        <v>40</v>
      </c>
      <c r="K1041">
        <v>32</v>
      </c>
      <c r="L1041">
        <v>28</v>
      </c>
      <c r="M1041">
        <v>13</v>
      </c>
      <c r="P1041" t="s">
        <v>2272</v>
      </c>
      <c r="R1041" t="s">
        <v>2273</v>
      </c>
      <c r="S1041">
        <v>4</v>
      </c>
      <c r="T1041" t="s">
        <v>2274</v>
      </c>
      <c r="U1041" t="s">
        <v>2275</v>
      </c>
    </row>
    <row r="1042" spans="1:21" x14ac:dyDescent="0.25">
      <c r="A1042" t="s">
        <v>3430</v>
      </c>
      <c r="B1042" t="s">
        <v>154</v>
      </c>
      <c r="C1042" t="s">
        <v>1004</v>
      </c>
      <c r="D1042" t="s">
        <v>24</v>
      </c>
      <c r="E1042" t="s">
        <v>1565</v>
      </c>
      <c r="F1042" t="s">
        <v>392</v>
      </c>
      <c r="G1042" t="s">
        <v>2271</v>
      </c>
      <c r="H1042" s="20">
        <v>46250</v>
      </c>
      <c r="I1042">
        <v>1800</v>
      </c>
      <c r="J1042">
        <v>40</v>
      </c>
      <c r="K1042">
        <v>32</v>
      </c>
      <c r="L1042">
        <v>28</v>
      </c>
      <c r="M1042">
        <v>13</v>
      </c>
      <c r="P1042" t="s">
        <v>2272</v>
      </c>
      <c r="R1042" t="s">
        <v>2273</v>
      </c>
      <c r="S1042">
        <v>4</v>
      </c>
      <c r="T1042" t="s">
        <v>2274</v>
      </c>
      <c r="U1042" t="s">
        <v>2275</v>
      </c>
    </row>
    <row r="1043" spans="1:21" x14ac:dyDescent="0.25">
      <c r="A1043" t="s">
        <v>3431</v>
      </c>
      <c r="B1043" t="s">
        <v>154</v>
      </c>
      <c r="C1043" t="s">
        <v>1004</v>
      </c>
      <c r="D1043" t="s">
        <v>24</v>
      </c>
      <c r="E1043" t="s">
        <v>1566</v>
      </c>
      <c r="F1043" t="s">
        <v>974</v>
      </c>
      <c r="G1043" t="s">
        <v>2271</v>
      </c>
      <c r="H1043" s="20">
        <v>46250</v>
      </c>
      <c r="I1043">
        <v>1800</v>
      </c>
      <c r="J1043">
        <v>40</v>
      </c>
      <c r="K1043">
        <v>32</v>
      </c>
      <c r="L1043">
        <v>28</v>
      </c>
      <c r="M1043">
        <v>13</v>
      </c>
      <c r="P1043" t="s">
        <v>2272</v>
      </c>
      <c r="R1043" t="s">
        <v>2273</v>
      </c>
      <c r="S1043">
        <v>4</v>
      </c>
      <c r="T1043" t="s">
        <v>2274</v>
      </c>
      <c r="U1043" t="s">
        <v>2275</v>
      </c>
    </row>
    <row r="1044" spans="1:21" x14ac:dyDescent="0.25">
      <c r="A1044" t="s">
        <v>3432</v>
      </c>
      <c r="B1044" t="s">
        <v>154</v>
      </c>
      <c r="C1044" t="s">
        <v>1004</v>
      </c>
      <c r="D1044" t="s">
        <v>21</v>
      </c>
      <c r="E1044" t="s">
        <v>1567</v>
      </c>
      <c r="F1044" t="s">
        <v>168</v>
      </c>
      <c r="G1044" t="s">
        <v>2271</v>
      </c>
      <c r="H1044" s="20">
        <v>46254</v>
      </c>
      <c r="I1044">
        <v>1500</v>
      </c>
      <c r="J1044">
        <v>46</v>
      </c>
      <c r="K1044">
        <v>23</v>
      </c>
      <c r="L1044">
        <v>10</v>
      </c>
      <c r="P1044" t="s">
        <v>2272</v>
      </c>
      <c r="R1044" t="s">
        <v>2273</v>
      </c>
      <c r="S1044">
        <v>5</v>
      </c>
      <c r="T1044" t="s">
        <v>2319</v>
      </c>
      <c r="U1044" t="s">
        <v>2320</v>
      </c>
    </row>
    <row r="1045" spans="1:21" x14ac:dyDescent="0.25">
      <c r="A1045" t="s">
        <v>3433</v>
      </c>
      <c r="B1045" t="s">
        <v>154</v>
      </c>
      <c r="C1045" t="s">
        <v>1004</v>
      </c>
      <c r="D1045" t="s">
        <v>21</v>
      </c>
      <c r="E1045" t="s">
        <v>1568</v>
      </c>
      <c r="F1045" t="s">
        <v>376</v>
      </c>
      <c r="G1045" t="s">
        <v>2271</v>
      </c>
      <c r="H1045" s="20">
        <v>46254</v>
      </c>
      <c r="I1045">
        <v>1500</v>
      </c>
      <c r="J1045">
        <v>46</v>
      </c>
      <c r="K1045">
        <v>23</v>
      </c>
      <c r="L1045">
        <v>10</v>
      </c>
      <c r="P1045" t="s">
        <v>2272</v>
      </c>
      <c r="R1045" t="s">
        <v>2273</v>
      </c>
      <c r="S1045">
        <v>5</v>
      </c>
      <c r="T1045" t="s">
        <v>2319</v>
      </c>
      <c r="U1045" t="s">
        <v>2320</v>
      </c>
    </row>
    <row r="1046" spans="1:21" x14ac:dyDescent="0.25">
      <c r="A1046" t="s">
        <v>3434</v>
      </c>
      <c r="B1046" t="s">
        <v>154</v>
      </c>
      <c r="C1046" t="s">
        <v>1004</v>
      </c>
      <c r="D1046" t="s">
        <v>21</v>
      </c>
      <c r="E1046" t="s">
        <v>1569</v>
      </c>
      <c r="F1046" t="s">
        <v>147</v>
      </c>
      <c r="G1046" t="s">
        <v>2271</v>
      </c>
      <c r="H1046" s="20">
        <v>46254</v>
      </c>
      <c r="I1046">
        <v>1500</v>
      </c>
      <c r="J1046">
        <v>46</v>
      </c>
      <c r="K1046">
        <v>23</v>
      </c>
      <c r="L1046">
        <v>10</v>
      </c>
      <c r="P1046" t="s">
        <v>2272</v>
      </c>
      <c r="R1046" t="s">
        <v>2273</v>
      </c>
      <c r="S1046">
        <v>5</v>
      </c>
      <c r="T1046" t="s">
        <v>2319</v>
      </c>
      <c r="U1046" t="s">
        <v>2320</v>
      </c>
    </row>
    <row r="1047" spans="1:21" x14ac:dyDescent="0.25">
      <c r="A1047" t="s">
        <v>3435</v>
      </c>
      <c r="B1047" t="s">
        <v>154</v>
      </c>
      <c r="C1047" t="s">
        <v>1004</v>
      </c>
      <c r="D1047" t="s">
        <v>21</v>
      </c>
      <c r="E1047" t="s">
        <v>1570</v>
      </c>
      <c r="F1047" t="s">
        <v>693</v>
      </c>
      <c r="G1047" t="s">
        <v>2271</v>
      </c>
      <c r="H1047" s="20">
        <v>46254</v>
      </c>
      <c r="I1047">
        <v>1500</v>
      </c>
      <c r="J1047">
        <v>46</v>
      </c>
      <c r="K1047">
        <v>23</v>
      </c>
      <c r="L1047">
        <v>10</v>
      </c>
      <c r="P1047" t="s">
        <v>2272</v>
      </c>
      <c r="R1047" t="s">
        <v>2273</v>
      </c>
      <c r="S1047">
        <v>5</v>
      </c>
      <c r="T1047" t="s">
        <v>2319</v>
      </c>
      <c r="U1047" t="s">
        <v>2320</v>
      </c>
    </row>
    <row r="1048" spans="1:21" x14ac:dyDescent="0.25">
      <c r="A1048" t="s">
        <v>3436</v>
      </c>
      <c r="B1048" t="s">
        <v>154</v>
      </c>
      <c r="C1048" t="s">
        <v>1004</v>
      </c>
      <c r="D1048" t="s">
        <v>21</v>
      </c>
      <c r="E1048" t="s">
        <v>1571</v>
      </c>
      <c r="F1048" t="s">
        <v>402</v>
      </c>
      <c r="G1048" t="s">
        <v>2271</v>
      </c>
      <c r="H1048" s="20">
        <v>46254</v>
      </c>
      <c r="I1048">
        <v>1500</v>
      </c>
      <c r="J1048">
        <v>46</v>
      </c>
      <c r="K1048">
        <v>23</v>
      </c>
      <c r="L1048">
        <v>10</v>
      </c>
      <c r="P1048" t="s">
        <v>2272</v>
      </c>
      <c r="R1048" t="s">
        <v>2273</v>
      </c>
      <c r="S1048">
        <v>5</v>
      </c>
      <c r="T1048" t="s">
        <v>2319</v>
      </c>
      <c r="U1048" t="s">
        <v>2320</v>
      </c>
    </row>
    <row r="1049" spans="1:21" x14ac:dyDescent="0.25">
      <c r="A1049" t="s">
        <v>3437</v>
      </c>
      <c r="B1049" t="s">
        <v>154</v>
      </c>
      <c r="C1049" t="s">
        <v>1079</v>
      </c>
      <c r="D1049" t="s">
        <v>24</v>
      </c>
      <c r="E1049" t="s">
        <v>1573</v>
      </c>
      <c r="F1049" t="s">
        <v>1574</v>
      </c>
      <c r="G1049" t="s">
        <v>2271</v>
      </c>
      <c r="H1049" s="20">
        <v>46250</v>
      </c>
      <c r="I1049">
        <v>1800</v>
      </c>
      <c r="J1049">
        <v>53</v>
      </c>
      <c r="K1049">
        <v>44</v>
      </c>
      <c r="L1049">
        <v>34</v>
      </c>
      <c r="M1049">
        <v>27</v>
      </c>
      <c r="P1049" t="s">
        <v>2272</v>
      </c>
      <c r="R1049" t="s">
        <v>2273</v>
      </c>
      <c r="S1049">
        <v>4</v>
      </c>
      <c r="T1049" t="s">
        <v>2274</v>
      </c>
      <c r="U1049" t="s">
        <v>2275</v>
      </c>
    </row>
    <row r="1050" spans="1:21" x14ac:dyDescent="0.25">
      <c r="A1050" t="s">
        <v>3438</v>
      </c>
      <c r="B1050" t="s">
        <v>154</v>
      </c>
      <c r="C1050" t="s">
        <v>1079</v>
      </c>
      <c r="D1050" t="s">
        <v>24</v>
      </c>
      <c r="E1050" t="s">
        <v>1575</v>
      </c>
      <c r="F1050" t="s">
        <v>1220</v>
      </c>
      <c r="G1050" t="s">
        <v>2271</v>
      </c>
      <c r="H1050" s="20">
        <v>46250</v>
      </c>
      <c r="I1050">
        <v>1800</v>
      </c>
      <c r="J1050">
        <v>53</v>
      </c>
      <c r="K1050">
        <v>44</v>
      </c>
      <c r="L1050">
        <v>34</v>
      </c>
      <c r="M1050">
        <v>27</v>
      </c>
      <c r="P1050" t="s">
        <v>2272</v>
      </c>
      <c r="R1050" t="s">
        <v>2273</v>
      </c>
      <c r="S1050">
        <v>4</v>
      </c>
      <c r="T1050" t="s">
        <v>2274</v>
      </c>
      <c r="U1050" t="s">
        <v>2275</v>
      </c>
    </row>
    <row r="1051" spans="1:21" x14ac:dyDescent="0.25">
      <c r="A1051" t="s">
        <v>3439</v>
      </c>
      <c r="B1051" t="s">
        <v>154</v>
      </c>
      <c r="C1051" t="s">
        <v>1079</v>
      </c>
      <c r="D1051" t="s">
        <v>24</v>
      </c>
      <c r="E1051" t="s">
        <v>1576</v>
      </c>
      <c r="F1051" t="s">
        <v>480</v>
      </c>
      <c r="G1051" t="s">
        <v>2271</v>
      </c>
      <c r="H1051" s="20">
        <v>46250</v>
      </c>
      <c r="I1051">
        <v>1800</v>
      </c>
      <c r="J1051">
        <v>53</v>
      </c>
      <c r="K1051">
        <v>44</v>
      </c>
      <c r="L1051">
        <v>34</v>
      </c>
      <c r="M1051">
        <v>27</v>
      </c>
      <c r="P1051" t="s">
        <v>2272</v>
      </c>
      <c r="R1051" t="s">
        <v>2273</v>
      </c>
      <c r="S1051">
        <v>4</v>
      </c>
      <c r="T1051" t="s">
        <v>2274</v>
      </c>
      <c r="U1051" t="s">
        <v>2275</v>
      </c>
    </row>
    <row r="1052" spans="1:21" x14ac:dyDescent="0.25">
      <c r="A1052" t="s">
        <v>3440</v>
      </c>
      <c r="B1052" t="s">
        <v>154</v>
      </c>
      <c r="C1052" t="s">
        <v>1079</v>
      </c>
      <c r="D1052" t="s">
        <v>24</v>
      </c>
      <c r="E1052" t="s">
        <v>287</v>
      </c>
      <c r="F1052" t="s">
        <v>159</v>
      </c>
      <c r="G1052" t="s">
        <v>2271</v>
      </c>
      <c r="H1052" s="20">
        <v>46250</v>
      </c>
      <c r="I1052">
        <v>1800</v>
      </c>
      <c r="J1052">
        <v>53</v>
      </c>
      <c r="K1052">
        <v>44</v>
      </c>
      <c r="L1052">
        <v>34</v>
      </c>
      <c r="M1052">
        <v>27</v>
      </c>
      <c r="P1052" t="s">
        <v>2272</v>
      </c>
      <c r="R1052" t="s">
        <v>2273</v>
      </c>
      <c r="S1052">
        <v>4</v>
      </c>
      <c r="T1052" t="s">
        <v>2274</v>
      </c>
      <c r="U1052" t="s">
        <v>2275</v>
      </c>
    </row>
    <row r="1053" spans="1:21" x14ac:dyDescent="0.25">
      <c r="A1053" t="s">
        <v>3441</v>
      </c>
      <c r="B1053" t="s">
        <v>154</v>
      </c>
      <c r="C1053" t="s">
        <v>1079</v>
      </c>
      <c r="D1053" t="s">
        <v>24</v>
      </c>
      <c r="E1053" t="s">
        <v>1577</v>
      </c>
      <c r="F1053" t="s">
        <v>147</v>
      </c>
      <c r="G1053" t="s">
        <v>2271</v>
      </c>
      <c r="H1053" s="20">
        <v>46250</v>
      </c>
      <c r="I1053">
        <v>1800</v>
      </c>
      <c r="J1053">
        <v>53</v>
      </c>
      <c r="K1053">
        <v>44</v>
      </c>
      <c r="L1053">
        <v>34</v>
      </c>
      <c r="M1053">
        <v>27</v>
      </c>
      <c r="P1053" t="s">
        <v>2272</v>
      </c>
      <c r="R1053" t="s">
        <v>2273</v>
      </c>
      <c r="S1053">
        <v>4</v>
      </c>
      <c r="T1053" t="s">
        <v>2274</v>
      </c>
      <c r="U1053" t="s">
        <v>2275</v>
      </c>
    </row>
    <row r="1054" spans="1:21" x14ac:dyDescent="0.25">
      <c r="A1054" t="s">
        <v>3442</v>
      </c>
      <c r="B1054" t="s">
        <v>154</v>
      </c>
      <c r="C1054" t="s">
        <v>1079</v>
      </c>
      <c r="D1054" t="s">
        <v>24</v>
      </c>
      <c r="E1054" t="s">
        <v>1578</v>
      </c>
      <c r="F1054" t="s">
        <v>390</v>
      </c>
      <c r="G1054" t="s">
        <v>2271</v>
      </c>
      <c r="H1054" s="20">
        <v>46250</v>
      </c>
      <c r="I1054">
        <v>1800</v>
      </c>
      <c r="J1054">
        <v>53</v>
      </c>
      <c r="K1054">
        <v>44</v>
      </c>
      <c r="L1054">
        <v>34</v>
      </c>
      <c r="M1054">
        <v>27</v>
      </c>
      <c r="P1054" t="s">
        <v>2272</v>
      </c>
      <c r="R1054" t="s">
        <v>2273</v>
      </c>
      <c r="S1054">
        <v>4</v>
      </c>
      <c r="T1054" t="s">
        <v>2274</v>
      </c>
      <c r="U1054" t="s">
        <v>2275</v>
      </c>
    </row>
    <row r="1055" spans="1:21" x14ac:dyDescent="0.25">
      <c r="A1055" t="s">
        <v>3443</v>
      </c>
      <c r="B1055" t="s">
        <v>154</v>
      </c>
      <c r="C1055" t="s">
        <v>1079</v>
      </c>
      <c r="D1055" t="s">
        <v>24</v>
      </c>
      <c r="E1055" t="s">
        <v>1579</v>
      </c>
      <c r="F1055" t="s">
        <v>729</v>
      </c>
      <c r="G1055" t="s">
        <v>2271</v>
      </c>
      <c r="H1055" s="20">
        <v>46250</v>
      </c>
      <c r="I1055">
        <v>1800</v>
      </c>
      <c r="J1055">
        <v>53</v>
      </c>
      <c r="K1055">
        <v>44</v>
      </c>
      <c r="L1055">
        <v>34</v>
      </c>
      <c r="M1055">
        <v>27</v>
      </c>
      <c r="P1055" t="s">
        <v>2272</v>
      </c>
      <c r="R1055" t="s">
        <v>2273</v>
      </c>
      <c r="S1055">
        <v>4</v>
      </c>
      <c r="T1055" t="s">
        <v>2274</v>
      </c>
      <c r="U1055" t="s">
        <v>2275</v>
      </c>
    </row>
    <row r="1056" spans="1:21" x14ac:dyDescent="0.25">
      <c r="A1056" t="s">
        <v>3444</v>
      </c>
      <c r="B1056" t="s">
        <v>154</v>
      </c>
      <c r="C1056" t="s">
        <v>1079</v>
      </c>
      <c r="D1056" t="s">
        <v>24</v>
      </c>
      <c r="E1056" t="s">
        <v>1580</v>
      </c>
      <c r="F1056" t="s">
        <v>478</v>
      </c>
      <c r="G1056" t="s">
        <v>2271</v>
      </c>
      <c r="H1056" s="20">
        <v>46250</v>
      </c>
      <c r="I1056">
        <v>1800</v>
      </c>
      <c r="J1056">
        <v>53</v>
      </c>
      <c r="K1056">
        <v>44</v>
      </c>
      <c r="L1056">
        <v>34</v>
      </c>
      <c r="M1056">
        <v>27</v>
      </c>
      <c r="P1056" t="s">
        <v>2272</v>
      </c>
      <c r="R1056" t="s">
        <v>2273</v>
      </c>
      <c r="S1056">
        <v>4</v>
      </c>
      <c r="T1056" t="s">
        <v>2274</v>
      </c>
      <c r="U1056" t="s">
        <v>2275</v>
      </c>
    </row>
    <row r="1057" spans="1:21" x14ac:dyDescent="0.25">
      <c r="A1057" t="s">
        <v>3445</v>
      </c>
      <c r="B1057" t="s">
        <v>154</v>
      </c>
      <c r="C1057" t="s">
        <v>1079</v>
      </c>
      <c r="D1057" t="s">
        <v>24</v>
      </c>
      <c r="E1057" t="s">
        <v>1581</v>
      </c>
      <c r="F1057" t="s">
        <v>462</v>
      </c>
      <c r="G1057" t="s">
        <v>2271</v>
      </c>
      <c r="H1057" s="20">
        <v>46250</v>
      </c>
      <c r="I1057">
        <v>1800</v>
      </c>
      <c r="J1057">
        <v>53</v>
      </c>
      <c r="K1057">
        <v>44</v>
      </c>
      <c r="L1057">
        <v>34</v>
      </c>
      <c r="M1057">
        <v>27</v>
      </c>
      <c r="P1057" t="s">
        <v>2272</v>
      </c>
      <c r="R1057" t="s">
        <v>2273</v>
      </c>
      <c r="S1057">
        <v>4</v>
      </c>
      <c r="T1057" t="s">
        <v>2274</v>
      </c>
      <c r="U1057" t="s">
        <v>2275</v>
      </c>
    </row>
    <row r="1058" spans="1:21" x14ac:dyDescent="0.25">
      <c r="A1058" t="s">
        <v>3446</v>
      </c>
      <c r="B1058" t="s">
        <v>154</v>
      </c>
      <c r="C1058" t="s">
        <v>1079</v>
      </c>
      <c r="D1058" t="s">
        <v>24</v>
      </c>
      <c r="E1058" t="s">
        <v>1582</v>
      </c>
      <c r="F1058" t="s">
        <v>359</v>
      </c>
      <c r="G1058" t="s">
        <v>2271</v>
      </c>
      <c r="H1058" s="20">
        <v>46250</v>
      </c>
      <c r="I1058">
        <v>1800</v>
      </c>
      <c r="J1058">
        <v>53</v>
      </c>
      <c r="K1058">
        <v>44</v>
      </c>
      <c r="L1058">
        <v>34</v>
      </c>
      <c r="M1058">
        <v>27</v>
      </c>
      <c r="P1058" t="s">
        <v>2272</v>
      </c>
      <c r="R1058" t="s">
        <v>2273</v>
      </c>
      <c r="S1058">
        <v>4</v>
      </c>
      <c r="T1058" t="s">
        <v>2274</v>
      </c>
      <c r="U1058" t="s">
        <v>2275</v>
      </c>
    </row>
    <row r="1059" spans="1:21" x14ac:dyDescent="0.25">
      <c r="A1059" t="s">
        <v>3447</v>
      </c>
      <c r="B1059" t="s">
        <v>154</v>
      </c>
      <c r="C1059" t="s">
        <v>1079</v>
      </c>
      <c r="D1059" t="s">
        <v>24</v>
      </c>
      <c r="E1059" t="s">
        <v>1583</v>
      </c>
      <c r="F1059" t="s">
        <v>1021</v>
      </c>
      <c r="G1059" t="s">
        <v>2271</v>
      </c>
      <c r="H1059" s="20">
        <v>46250</v>
      </c>
      <c r="I1059">
        <v>1800</v>
      </c>
      <c r="J1059">
        <v>53</v>
      </c>
      <c r="K1059">
        <v>44</v>
      </c>
      <c r="L1059">
        <v>34</v>
      </c>
      <c r="M1059">
        <v>27</v>
      </c>
      <c r="P1059" t="s">
        <v>2272</v>
      </c>
      <c r="R1059" t="s">
        <v>2273</v>
      </c>
      <c r="S1059">
        <v>4</v>
      </c>
      <c r="T1059" t="s">
        <v>2274</v>
      </c>
      <c r="U1059" t="s">
        <v>2275</v>
      </c>
    </row>
    <row r="1060" spans="1:21" x14ac:dyDescent="0.25">
      <c r="A1060" t="s">
        <v>3448</v>
      </c>
      <c r="B1060" t="s">
        <v>154</v>
      </c>
      <c r="C1060" t="s">
        <v>1079</v>
      </c>
      <c r="D1060" t="s">
        <v>24</v>
      </c>
      <c r="E1060" t="s">
        <v>1584</v>
      </c>
      <c r="F1060" t="s">
        <v>1585</v>
      </c>
      <c r="G1060" t="s">
        <v>2271</v>
      </c>
      <c r="H1060" s="20">
        <v>46250</v>
      </c>
      <c r="I1060">
        <v>1800</v>
      </c>
      <c r="J1060">
        <v>53</v>
      </c>
      <c r="K1060">
        <v>44</v>
      </c>
      <c r="L1060">
        <v>34</v>
      </c>
      <c r="M1060">
        <v>27</v>
      </c>
      <c r="P1060" t="s">
        <v>2272</v>
      </c>
      <c r="R1060" t="s">
        <v>2273</v>
      </c>
      <c r="S1060">
        <v>4</v>
      </c>
      <c r="T1060" t="s">
        <v>2274</v>
      </c>
      <c r="U1060" t="s">
        <v>2275</v>
      </c>
    </row>
    <row r="1061" spans="1:21" x14ac:dyDescent="0.25">
      <c r="A1061" t="s">
        <v>3449</v>
      </c>
      <c r="B1061" t="s">
        <v>154</v>
      </c>
      <c r="C1061" t="s">
        <v>1079</v>
      </c>
      <c r="D1061" t="s">
        <v>26</v>
      </c>
      <c r="E1061" t="s">
        <v>1586</v>
      </c>
      <c r="F1061" t="s">
        <v>637</v>
      </c>
      <c r="H1061" s="20"/>
      <c r="P1061" t="s">
        <v>2291</v>
      </c>
      <c r="R1061" t="s">
        <v>2292</v>
      </c>
    </row>
    <row r="1062" spans="1:21" x14ac:dyDescent="0.25">
      <c r="A1062" t="s">
        <v>3450</v>
      </c>
      <c r="B1062" t="s">
        <v>154</v>
      </c>
      <c r="C1062" t="s">
        <v>1079</v>
      </c>
      <c r="D1062" t="s">
        <v>26</v>
      </c>
      <c r="E1062" t="s">
        <v>1587</v>
      </c>
      <c r="F1062" t="s">
        <v>424</v>
      </c>
      <c r="H1062" s="20"/>
      <c r="P1062" t="s">
        <v>2291</v>
      </c>
      <c r="R1062" t="s">
        <v>2292</v>
      </c>
    </row>
    <row r="1063" spans="1:21" x14ac:dyDescent="0.25">
      <c r="A1063" t="s">
        <v>3451</v>
      </c>
      <c r="B1063" t="s">
        <v>154</v>
      </c>
      <c r="C1063" t="s">
        <v>1079</v>
      </c>
      <c r="D1063" t="s">
        <v>26</v>
      </c>
      <c r="E1063" t="s">
        <v>1588</v>
      </c>
      <c r="F1063" t="s">
        <v>430</v>
      </c>
      <c r="H1063" s="20"/>
      <c r="P1063" t="s">
        <v>2291</v>
      </c>
      <c r="R1063" t="s">
        <v>2292</v>
      </c>
    </row>
    <row r="1064" spans="1:21" x14ac:dyDescent="0.25">
      <c r="A1064" t="s">
        <v>3452</v>
      </c>
      <c r="B1064" t="s">
        <v>154</v>
      </c>
      <c r="C1064" t="s">
        <v>1079</v>
      </c>
      <c r="D1064" t="s">
        <v>26</v>
      </c>
      <c r="E1064" t="s">
        <v>1589</v>
      </c>
      <c r="F1064" t="s">
        <v>678</v>
      </c>
      <c r="H1064" s="20"/>
      <c r="P1064" t="s">
        <v>2291</v>
      </c>
      <c r="R1064" t="s">
        <v>2292</v>
      </c>
    </row>
    <row r="1065" spans="1:21" x14ac:dyDescent="0.25">
      <c r="A1065" t="s">
        <v>3453</v>
      </c>
      <c r="B1065" t="s">
        <v>154</v>
      </c>
      <c r="C1065" t="s">
        <v>1079</v>
      </c>
      <c r="D1065" t="s">
        <v>26</v>
      </c>
      <c r="E1065" t="s">
        <v>1589</v>
      </c>
      <c r="F1065" t="s">
        <v>931</v>
      </c>
      <c r="H1065" s="20"/>
      <c r="P1065" t="s">
        <v>2291</v>
      </c>
      <c r="R1065" t="s">
        <v>2292</v>
      </c>
    </row>
    <row r="1066" spans="1:21" x14ac:dyDescent="0.25">
      <c r="A1066" t="s">
        <v>3454</v>
      </c>
      <c r="B1066" t="s">
        <v>154</v>
      </c>
      <c r="C1066" t="s">
        <v>1079</v>
      </c>
      <c r="D1066" t="s">
        <v>26</v>
      </c>
      <c r="E1066" t="s">
        <v>1590</v>
      </c>
      <c r="F1066" t="s">
        <v>1474</v>
      </c>
      <c r="H1066" s="20"/>
      <c r="P1066" t="s">
        <v>2291</v>
      </c>
      <c r="R1066" t="s">
        <v>2292</v>
      </c>
    </row>
    <row r="1067" spans="1:21" x14ac:dyDescent="0.25">
      <c r="A1067" t="s">
        <v>3455</v>
      </c>
      <c r="B1067" t="s">
        <v>154</v>
      </c>
      <c r="C1067" t="s">
        <v>1079</v>
      </c>
      <c r="D1067" t="s">
        <v>26</v>
      </c>
      <c r="E1067" t="s">
        <v>1591</v>
      </c>
      <c r="F1067" t="s">
        <v>161</v>
      </c>
      <c r="H1067" s="20"/>
      <c r="P1067" t="s">
        <v>2291</v>
      </c>
      <c r="R1067" t="s">
        <v>2292</v>
      </c>
    </row>
    <row r="1068" spans="1:21" x14ac:dyDescent="0.25">
      <c r="A1068" t="s">
        <v>3456</v>
      </c>
      <c r="B1068" t="s">
        <v>154</v>
      </c>
      <c r="C1068" t="s">
        <v>1079</v>
      </c>
      <c r="D1068" t="s">
        <v>21</v>
      </c>
      <c r="E1068" t="s">
        <v>1592</v>
      </c>
      <c r="F1068" t="s">
        <v>1085</v>
      </c>
      <c r="G1068" t="s">
        <v>2271</v>
      </c>
      <c r="H1068" s="20">
        <v>46254</v>
      </c>
      <c r="I1068">
        <v>1500</v>
      </c>
      <c r="J1068">
        <v>48</v>
      </c>
      <c r="K1068">
        <v>40</v>
      </c>
      <c r="L1068">
        <v>20</v>
      </c>
      <c r="M1068">
        <v>17</v>
      </c>
      <c r="P1068" t="s">
        <v>2272</v>
      </c>
      <c r="R1068" t="s">
        <v>2273</v>
      </c>
      <c r="S1068">
        <v>5</v>
      </c>
      <c r="T1068" t="s">
        <v>2319</v>
      </c>
      <c r="U1068" t="s">
        <v>2320</v>
      </c>
    </row>
    <row r="1069" spans="1:21" x14ac:dyDescent="0.25">
      <c r="A1069" t="s">
        <v>3457</v>
      </c>
      <c r="B1069" t="s">
        <v>154</v>
      </c>
      <c r="C1069" t="s">
        <v>1079</v>
      </c>
      <c r="D1069" t="s">
        <v>21</v>
      </c>
      <c r="E1069" t="s">
        <v>1593</v>
      </c>
      <c r="F1069" t="s">
        <v>368</v>
      </c>
      <c r="G1069" t="s">
        <v>2271</v>
      </c>
      <c r="H1069" s="20">
        <v>46254</v>
      </c>
      <c r="I1069">
        <v>1500</v>
      </c>
      <c r="J1069">
        <v>48</v>
      </c>
      <c r="K1069">
        <v>40</v>
      </c>
      <c r="L1069">
        <v>20</v>
      </c>
      <c r="M1069">
        <v>17</v>
      </c>
      <c r="P1069" t="s">
        <v>2272</v>
      </c>
      <c r="R1069" t="s">
        <v>2273</v>
      </c>
      <c r="S1069">
        <v>5</v>
      </c>
      <c r="T1069" t="s">
        <v>2319</v>
      </c>
      <c r="U1069" t="s">
        <v>2320</v>
      </c>
    </row>
    <row r="1070" spans="1:21" x14ac:dyDescent="0.25">
      <c r="A1070" t="s">
        <v>3458</v>
      </c>
      <c r="B1070" t="s">
        <v>154</v>
      </c>
      <c r="C1070" t="s">
        <v>1079</v>
      </c>
      <c r="D1070" t="s">
        <v>21</v>
      </c>
      <c r="E1070" t="s">
        <v>1594</v>
      </c>
      <c r="F1070" t="s">
        <v>981</v>
      </c>
      <c r="G1070" t="s">
        <v>2271</v>
      </c>
      <c r="H1070" s="20">
        <v>46254</v>
      </c>
      <c r="I1070">
        <v>1500</v>
      </c>
      <c r="J1070">
        <v>48</v>
      </c>
      <c r="K1070">
        <v>40</v>
      </c>
      <c r="L1070">
        <v>20</v>
      </c>
      <c r="M1070">
        <v>17</v>
      </c>
      <c r="P1070" t="s">
        <v>2272</v>
      </c>
      <c r="R1070" t="s">
        <v>2273</v>
      </c>
      <c r="S1070">
        <v>5</v>
      </c>
      <c r="T1070" t="s">
        <v>2319</v>
      </c>
      <c r="U1070" t="s">
        <v>2320</v>
      </c>
    </row>
    <row r="1071" spans="1:21" x14ac:dyDescent="0.25">
      <c r="A1071" t="s">
        <v>3459</v>
      </c>
      <c r="B1071" t="s">
        <v>154</v>
      </c>
      <c r="C1071" t="s">
        <v>1079</v>
      </c>
      <c r="D1071" t="s">
        <v>21</v>
      </c>
      <c r="E1071" t="s">
        <v>1594</v>
      </c>
      <c r="F1071" t="s">
        <v>426</v>
      </c>
      <c r="G1071" t="s">
        <v>2271</v>
      </c>
      <c r="H1071" s="20">
        <v>46254</v>
      </c>
      <c r="I1071">
        <v>1500</v>
      </c>
      <c r="J1071">
        <v>48</v>
      </c>
      <c r="K1071">
        <v>40</v>
      </c>
      <c r="L1071">
        <v>20</v>
      </c>
      <c r="M1071">
        <v>17</v>
      </c>
      <c r="P1071" t="s">
        <v>2272</v>
      </c>
      <c r="R1071" t="s">
        <v>2273</v>
      </c>
      <c r="S1071">
        <v>5</v>
      </c>
      <c r="T1071" t="s">
        <v>2319</v>
      </c>
      <c r="U1071" t="s">
        <v>2320</v>
      </c>
    </row>
    <row r="1072" spans="1:21" x14ac:dyDescent="0.25">
      <c r="A1072" t="s">
        <v>3460</v>
      </c>
      <c r="B1072" t="s">
        <v>154</v>
      </c>
      <c r="C1072" t="s">
        <v>1079</v>
      </c>
      <c r="D1072" t="s">
        <v>21</v>
      </c>
      <c r="E1072" t="s">
        <v>1595</v>
      </c>
      <c r="F1072" t="s">
        <v>974</v>
      </c>
      <c r="G1072" t="s">
        <v>2271</v>
      </c>
      <c r="H1072" s="20">
        <v>46254</v>
      </c>
      <c r="I1072">
        <v>1500</v>
      </c>
      <c r="J1072">
        <v>48</v>
      </c>
      <c r="K1072">
        <v>40</v>
      </c>
      <c r="L1072">
        <v>20</v>
      </c>
      <c r="M1072">
        <v>17</v>
      </c>
      <c r="P1072" t="s">
        <v>2272</v>
      </c>
      <c r="R1072" t="s">
        <v>2273</v>
      </c>
      <c r="S1072">
        <v>5</v>
      </c>
      <c r="T1072" t="s">
        <v>2319</v>
      </c>
      <c r="U1072" t="s">
        <v>2320</v>
      </c>
    </row>
    <row r="1073" spans="1:21" x14ac:dyDescent="0.25">
      <c r="A1073" t="s">
        <v>3461</v>
      </c>
      <c r="B1073" t="s">
        <v>541</v>
      </c>
      <c r="C1073" t="s">
        <v>2</v>
      </c>
      <c r="D1073" t="s">
        <v>24</v>
      </c>
      <c r="E1073" t="s">
        <v>1597</v>
      </c>
      <c r="F1073" t="s">
        <v>746</v>
      </c>
      <c r="G1073" t="s">
        <v>2271</v>
      </c>
      <c r="H1073" s="20">
        <v>46250</v>
      </c>
      <c r="I1073">
        <v>1800</v>
      </c>
      <c r="J1073">
        <v>60</v>
      </c>
      <c r="K1073">
        <v>35</v>
      </c>
      <c r="L1073">
        <v>30</v>
      </c>
      <c r="P1073" t="s">
        <v>2272</v>
      </c>
      <c r="Q1073" t="s">
        <v>3462</v>
      </c>
      <c r="R1073" t="s">
        <v>2423</v>
      </c>
      <c r="S1073">
        <v>4</v>
      </c>
      <c r="T1073" t="s">
        <v>2274</v>
      </c>
      <c r="U1073" t="s">
        <v>2275</v>
      </c>
    </row>
    <row r="1074" spans="1:21" x14ac:dyDescent="0.25">
      <c r="A1074" t="s">
        <v>3463</v>
      </c>
      <c r="B1074" t="s">
        <v>541</v>
      </c>
      <c r="C1074" t="s">
        <v>2</v>
      </c>
      <c r="D1074" t="s">
        <v>24</v>
      </c>
      <c r="E1074" t="s">
        <v>1598</v>
      </c>
      <c r="F1074" t="s">
        <v>931</v>
      </c>
      <c r="G1074" t="s">
        <v>2425</v>
      </c>
      <c r="H1074" s="20">
        <v>46250</v>
      </c>
      <c r="I1074">
        <v>1800</v>
      </c>
      <c r="J1074">
        <v>60</v>
      </c>
      <c r="K1074">
        <v>35</v>
      </c>
      <c r="L1074">
        <v>25</v>
      </c>
      <c r="P1074" t="s">
        <v>2272</v>
      </c>
      <c r="Q1074" t="s">
        <v>3464</v>
      </c>
      <c r="R1074" t="s">
        <v>2423</v>
      </c>
      <c r="S1074">
        <v>4</v>
      </c>
      <c r="T1074" t="s">
        <v>2274</v>
      </c>
      <c r="U1074" t="s">
        <v>2275</v>
      </c>
    </row>
    <row r="1075" spans="1:21" x14ac:dyDescent="0.25">
      <c r="A1075" t="s">
        <v>3465</v>
      </c>
      <c r="B1075" t="s">
        <v>541</v>
      </c>
      <c r="C1075" t="s">
        <v>2</v>
      </c>
      <c r="D1075" t="s">
        <v>24</v>
      </c>
      <c r="E1075" t="s">
        <v>1598</v>
      </c>
      <c r="F1075" t="s">
        <v>204</v>
      </c>
      <c r="G1075" t="s">
        <v>2425</v>
      </c>
      <c r="H1075" s="20">
        <v>46250</v>
      </c>
      <c r="I1075">
        <v>1800</v>
      </c>
      <c r="J1075">
        <v>60</v>
      </c>
      <c r="K1075">
        <v>35</v>
      </c>
      <c r="L1075">
        <v>25</v>
      </c>
      <c r="P1075" t="s">
        <v>2272</v>
      </c>
      <c r="Q1075" t="s">
        <v>3464</v>
      </c>
      <c r="R1075" t="s">
        <v>2423</v>
      </c>
      <c r="S1075">
        <v>4</v>
      </c>
      <c r="T1075" t="s">
        <v>2274</v>
      </c>
      <c r="U1075" t="s">
        <v>2275</v>
      </c>
    </row>
    <row r="1076" spans="1:21" x14ac:dyDescent="0.25">
      <c r="A1076" t="s">
        <v>3466</v>
      </c>
      <c r="B1076" t="s">
        <v>541</v>
      </c>
      <c r="C1076" t="s">
        <v>2</v>
      </c>
      <c r="D1076" t="s">
        <v>24</v>
      </c>
      <c r="E1076" t="s">
        <v>1599</v>
      </c>
      <c r="F1076" t="s">
        <v>580</v>
      </c>
      <c r="G1076" t="s">
        <v>2425</v>
      </c>
      <c r="H1076" s="20">
        <v>46250</v>
      </c>
      <c r="I1076">
        <v>1800</v>
      </c>
      <c r="J1076">
        <v>60</v>
      </c>
      <c r="K1076">
        <v>35</v>
      </c>
      <c r="L1076">
        <v>25</v>
      </c>
      <c r="P1076" t="s">
        <v>2272</v>
      </c>
      <c r="Q1076" t="s">
        <v>3464</v>
      </c>
      <c r="R1076" t="s">
        <v>2423</v>
      </c>
      <c r="S1076">
        <v>4</v>
      </c>
      <c r="T1076" t="s">
        <v>2274</v>
      </c>
      <c r="U1076" t="s">
        <v>2275</v>
      </c>
    </row>
    <row r="1077" spans="1:21" x14ac:dyDescent="0.25">
      <c r="A1077" t="s">
        <v>3467</v>
      </c>
      <c r="B1077" t="s">
        <v>541</v>
      </c>
      <c r="C1077" t="s">
        <v>154</v>
      </c>
      <c r="D1077" t="s">
        <v>24</v>
      </c>
      <c r="E1077" t="s">
        <v>1601</v>
      </c>
      <c r="F1077" t="s">
        <v>366</v>
      </c>
      <c r="G1077" t="s">
        <v>2271</v>
      </c>
      <c r="H1077" s="20">
        <v>46250</v>
      </c>
      <c r="I1077">
        <v>1800</v>
      </c>
      <c r="J1077">
        <v>56</v>
      </c>
      <c r="K1077">
        <v>45</v>
      </c>
      <c r="L1077">
        <v>30</v>
      </c>
      <c r="P1077" t="s">
        <v>2272</v>
      </c>
      <c r="Q1077" t="s">
        <v>3345</v>
      </c>
      <c r="R1077" t="s">
        <v>2423</v>
      </c>
      <c r="S1077">
        <v>4</v>
      </c>
      <c r="T1077" t="s">
        <v>2274</v>
      </c>
      <c r="U1077" t="s">
        <v>2275</v>
      </c>
    </row>
    <row r="1078" spans="1:21" x14ac:dyDescent="0.25">
      <c r="A1078" t="s">
        <v>3468</v>
      </c>
      <c r="B1078" t="s">
        <v>541</v>
      </c>
      <c r="C1078" t="s">
        <v>154</v>
      </c>
      <c r="D1078" t="s">
        <v>24</v>
      </c>
      <c r="E1078" t="s">
        <v>1602</v>
      </c>
      <c r="F1078" t="s">
        <v>240</v>
      </c>
      <c r="G1078" t="s">
        <v>2271</v>
      </c>
      <c r="H1078" s="20">
        <v>46250</v>
      </c>
      <c r="I1078">
        <v>1800</v>
      </c>
      <c r="J1078">
        <v>56</v>
      </c>
      <c r="K1078">
        <v>45</v>
      </c>
      <c r="L1078">
        <v>30</v>
      </c>
      <c r="P1078" t="s">
        <v>2272</v>
      </c>
      <c r="Q1078" t="s">
        <v>3345</v>
      </c>
      <c r="R1078" t="s">
        <v>2423</v>
      </c>
      <c r="S1078">
        <v>4</v>
      </c>
      <c r="T1078" t="s">
        <v>2274</v>
      </c>
      <c r="U1078" t="s">
        <v>2275</v>
      </c>
    </row>
    <row r="1079" spans="1:21" x14ac:dyDescent="0.25">
      <c r="A1079" t="s">
        <v>3469</v>
      </c>
      <c r="B1079" t="s">
        <v>541</v>
      </c>
      <c r="C1079" t="s">
        <v>154</v>
      </c>
      <c r="D1079" t="s">
        <v>24</v>
      </c>
      <c r="E1079" t="s">
        <v>1603</v>
      </c>
      <c r="F1079" t="s">
        <v>836</v>
      </c>
      <c r="G1079" t="s">
        <v>2425</v>
      </c>
      <c r="H1079" s="20">
        <v>46250</v>
      </c>
      <c r="I1079">
        <v>1800</v>
      </c>
      <c r="J1079">
        <v>56</v>
      </c>
      <c r="K1079">
        <v>45</v>
      </c>
      <c r="L1079">
        <v>30</v>
      </c>
      <c r="M1079">
        <v>17</v>
      </c>
      <c r="P1079" t="s">
        <v>2272</v>
      </c>
      <c r="Q1079" t="s">
        <v>3064</v>
      </c>
      <c r="R1079" t="s">
        <v>2423</v>
      </c>
      <c r="S1079">
        <v>4</v>
      </c>
      <c r="T1079" t="s">
        <v>2274</v>
      </c>
      <c r="U1079" t="s">
        <v>2275</v>
      </c>
    </row>
    <row r="1080" spans="1:21" x14ac:dyDescent="0.25">
      <c r="A1080" t="s">
        <v>3470</v>
      </c>
      <c r="B1080" t="s">
        <v>541</v>
      </c>
      <c r="C1080" t="s">
        <v>154</v>
      </c>
      <c r="D1080" t="s">
        <v>24</v>
      </c>
      <c r="E1080" t="s">
        <v>1604</v>
      </c>
      <c r="F1080" t="s">
        <v>235</v>
      </c>
      <c r="G1080" t="s">
        <v>2425</v>
      </c>
      <c r="H1080" s="20">
        <v>46250</v>
      </c>
      <c r="I1080">
        <v>1800</v>
      </c>
      <c r="J1080">
        <v>56</v>
      </c>
      <c r="K1080">
        <v>45</v>
      </c>
      <c r="L1080">
        <v>30</v>
      </c>
      <c r="M1080">
        <v>17</v>
      </c>
      <c r="P1080" t="s">
        <v>2272</v>
      </c>
      <c r="Q1080" t="s">
        <v>3064</v>
      </c>
      <c r="R1080" t="s">
        <v>2423</v>
      </c>
      <c r="S1080">
        <v>4</v>
      </c>
      <c r="T1080" t="s">
        <v>2274</v>
      </c>
      <c r="U1080" t="s">
        <v>2275</v>
      </c>
    </row>
    <row r="1081" spans="1:21" x14ac:dyDescent="0.25">
      <c r="A1081" t="s">
        <v>3471</v>
      </c>
      <c r="B1081" t="s">
        <v>541</v>
      </c>
      <c r="C1081" t="s">
        <v>154</v>
      </c>
      <c r="D1081" t="s">
        <v>24</v>
      </c>
      <c r="E1081" t="s">
        <v>1605</v>
      </c>
      <c r="F1081" t="s">
        <v>1606</v>
      </c>
      <c r="G1081" t="s">
        <v>2425</v>
      </c>
      <c r="H1081" s="20">
        <v>46250</v>
      </c>
      <c r="I1081">
        <v>1800</v>
      </c>
      <c r="J1081">
        <v>56</v>
      </c>
      <c r="K1081">
        <v>45</v>
      </c>
      <c r="L1081">
        <v>30</v>
      </c>
      <c r="M1081">
        <v>17</v>
      </c>
      <c r="P1081" t="s">
        <v>2272</v>
      </c>
      <c r="Q1081" t="s">
        <v>3064</v>
      </c>
      <c r="R1081" t="s">
        <v>2423</v>
      </c>
      <c r="S1081">
        <v>4</v>
      </c>
      <c r="T1081" t="s">
        <v>2274</v>
      </c>
      <c r="U1081" t="s">
        <v>2275</v>
      </c>
    </row>
    <row r="1082" spans="1:21" x14ac:dyDescent="0.25">
      <c r="A1082" t="s">
        <v>3472</v>
      </c>
      <c r="B1082" t="s">
        <v>541</v>
      </c>
      <c r="C1082" t="s">
        <v>154</v>
      </c>
      <c r="D1082" t="s">
        <v>24</v>
      </c>
      <c r="E1082" t="s">
        <v>1607</v>
      </c>
      <c r="F1082" t="s">
        <v>530</v>
      </c>
      <c r="G1082" t="s">
        <v>2425</v>
      </c>
      <c r="H1082" s="20">
        <v>46250</v>
      </c>
      <c r="I1082">
        <v>1800</v>
      </c>
      <c r="J1082">
        <v>56</v>
      </c>
      <c r="K1082">
        <v>45</v>
      </c>
      <c r="L1082">
        <v>30</v>
      </c>
      <c r="M1082">
        <v>17</v>
      </c>
      <c r="P1082" t="s">
        <v>2272</v>
      </c>
      <c r="Q1082" t="s">
        <v>3064</v>
      </c>
      <c r="R1082" t="s">
        <v>2423</v>
      </c>
      <c r="S1082">
        <v>4</v>
      </c>
      <c r="T1082" t="s">
        <v>2274</v>
      </c>
      <c r="U1082" t="s">
        <v>2275</v>
      </c>
    </row>
    <row r="1083" spans="1:21" x14ac:dyDescent="0.25">
      <c r="A1083" t="s">
        <v>3473</v>
      </c>
      <c r="B1083" t="s">
        <v>541</v>
      </c>
      <c r="C1083" t="s">
        <v>154</v>
      </c>
      <c r="D1083" t="s">
        <v>24</v>
      </c>
      <c r="E1083" t="s">
        <v>1608</v>
      </c>
      <c r="F1083" t="s">
        <v>317</v>
      </c>
      <c r="G1083" t="s">
        <v>2425</v>
      </c>
      <c r="H1083" s="20">
        <v>46250</v>
      </c>
      <c r="I1083">
        <v>1800</v>
      </c>
      <c r="J1083">
        <v>56</v>
      </c>
      <c r="K1083">
        <v>45</v>
      </c>
      <c r="L1083">
        <v>30</v>
      </c>
      <c r="M1083">
        <v>17</v>
      </c>
      <c r="P1083" t="s">
        <v>2272</v>
      </c>
      <c r="Q1083" t="s">
        <v>3064</v>
      </c>
      <c r="R1083" t="s">
        <v>2423</v>
      </c>
      <c r="S1083">
        <v>4</v>
      </c>
      <c r="T1083" t="s">
        <v>2274</v>
      </c>
      <c r="U1083" t="s">
        <v>2275</v>
      </c>
    </row>
    <row r="1084" spans="1:21" x14ac:dyDescent="0.25">
      <c r="A1084" t="s">
        <v>3474</v>
      </c>
      <c r="B1084" t="s">
        <v>541</v>
      </c>
      <c r="C1084" t="s">
        <v>154</v>
      </c>
      <c r="D1084" t="s">
        <v>24</v>
      </c>
      <c r="E1084" t="s">
        <v>1609</v>
      </c>
      <c r="F1084" t="s">
        <v>322</v>
      </c>
      <c r="G1084" t="s">
        <v>2425</v>
      </c>
      <c r="H1084" s="20">
        <v>46250</v>
      </c>
      <c r="I1084">
        <v>1800</v>
      </c>
      <c r="J1084">
        <v>56</v>
      </c>
      <c r="K1084">
        <v>45</v>
      </c>
      <c r="L1084">
        <v>30</v>
      </c>
      <c r="M1084">
        <v>17</v>
      </c>
      <c r="P1084" t="s">
        <v>2272</v>
      </c>
      <c r="Q1084" t="s">
        <v>3064</v>
      </c>
      <c r="R1084" t="s">
        <v>2423</v>
      </c>
      <c r="S1084">
        <v>4</v>
      </c>
      <c r="T1084" t="s">
        <v>2274</v>
      </c>
      <c r="U1084" t="s">
        <v>2275</v>
      </c>
    </row>
    <row r="1085" spans="1:21" x14ac:dyDescent="0.25">
      <c r="A1085" t="s">
        <v>3475</v>
      </c>
      <c r="B1085" t="s">
        <v>541</v>
      </c>
      <c r="C1085" t="s">
        <v>154</v>
      </c>
      <c r="D1085" t="s">
        <v>24</v>
      </c>
      <c r="E1085" t="s">
        <v>1610</v>
      </c>
      <c r="F1085" t="s">
        <v>1212</v>
      </c>
      <c r="G1085" t="s">
        <v>2425</v>
      </c>
      <c r="H1085" s="20">
        <v>46250</v>
      </c>
      <c r="I1085">
        <v>1800</v>
      </c>
      <c r="J1085">
        <v>56</v>
      </c>
      <c r="K1085">
        <v>45</v>
      </c>
      <c r="L1085">
        <v>30</v>
      </c>
      <c r="M1085">
        <v>17</v>
      </c>
      <c r="P1085" t="s">
        <v>2272</v>
      </c>
      <c r="Q1085" t="s">
        <v>3064</v>
      </c>
      <c r="R1085" t="s">
        <v>2423</v>
      </c>
      <c r="S1085">
        <v>4</v>
      </c>
      <c r="T1085" t="s">
        <v>2274</v>
      </c>
      <c r="U1085" t="s">
        <v>2275</v>
      </c>
    </row>
    <row r="1086" spans="1:21" x14ac:dyDescent="0.25">
      <c r="A1086" t="s">
        <v>3476</v>
      </c>
      <c r="B1086" t="s">
        <v>541</v>
      </c>
      <c r="C1086" t="s">
        <v>154</v>
      </c>
      <c r="D1086" t="s">
        <v>26</v>
      </c>
      <c r="E1086" t="s">
        <v>1611</v>
      </c>
      <c r="F1086" t="s">
        <v>392</v>
      </c>
      <c r="H1086" s="20"/>
      <c r="P1086" t="s">
        <v>2291</v>
      </c>
      <c r="R1086" t="s">
        <v>2292</v>
      </c>
    </row>
    <row r="1087" spans="1:21" x14ac:dyDescent="0.25">
      <c r="A1087" t="s">
        <v>3477</v>
      </c>
      <c r="B1087" t="s">
        <v>541</v>
      </c>
      <c r="C1087" t="s">
        <v>154</v>
      </c>
      <c r="D1087" t="s">
        <v>21</v>
      </c>
      <c r="E1087" t="s">
        <v>1612</v>
      </c>
      <c r="F1087" t="s">
        <v>78</v>
      </c>
      <c r="G1087" t="s">
        <v>2271</v>
      </c>
      <c r="H1087" s="20">
        <v>46254</v>
      </c>
      <c r="I1087">
        <v>1500</v>
      </c>
      <c r="J1087">
        <v>60</v>
      </c>
      <c r="K1087">
        <v>37</v>
      </c>
      <c r="L1087">
        <v>18</v>
      </c>
      <c r="M1087">
        <v>15</v>
      </c>
      <c r="P1087" t="s">
        <v>2272</v>
      </c>
      <c r="R1087" t="s">
        <v>2273</v>
      </c>
      <c r="S1087">
        <v>5</v>
      </c>
      <c r="T1087" t="s">
        <v>2319</v>
      </c>
      <c r="U1087" t="s">
        <v>2320</v>
      </c>
    </row>
    <row r="1088" spans="1:21" x14ac:dyDescent="0.25">
      <c r="A1088" t="s">
        <v>3478</v>
      </c>
      <c r="B1088" t="s">
        <v>541</v>
      </c>
      <c r="C1088" t="s">
        <v>154</v>
      </c>
      <c r="D1088" t="s">
        <v>21</v>
      </c>
      <c r="E1088" t="s">
        <v>243</v>
      </c>
      <c r="F1088" t="s">
        <v>180</v>
      </c>
      <c r="G1088" t="s">
        <v>2271</v>
      </c>
      <c r="H1088" s="20">
        <v>46254</v>
      </c>
      <c r="I1088">
        <v>1500</v>
      </c>
      <c r="J1088">
        <v>60</v>
      </c>
      <c r="K1088">
        <v>37</v>
      </c>
      <c r="L1088">
        <v>18</v>
      </c>
      <c r="M1088">
        <v>15</v>
      </c>
      <c r="P1088" t="s">
        <v>2272</v>
      </c>
      <c r="R1088" t="s">
        <v>2273</v>
      </c>
      <c r="S1088">
        <v>5</v>
      </c>
      <c r="T1088" t="s">
        <v>2319</v>
      </c>
      <c r="U1088" t="s">
        <v>2320</v>
      </c>
    </row>
    <row r="1089" spans="1:21" x14ac:dyDescent="0.25">
      <c r="A1089" t="s">
        <v>3479</v>
      </c>
      <c r="B1089" t="s">
        <v>541</v>
      </c>
      <c r="C1089" t="s">
        <v>154</v>
      </c>
      <c r="D1089" t="s">
        <v>21</v>
      </c>
      <c r="E1089" t="s">
        <v>1613</v>
      </c>
      <c r="F1089" t="s">
        <v>1265</v>
      </c>
      <c r="G1089" t="s">
        <v>2271</v>
      </c>
      <c r="H1089" s="20">
        <v>46254</v>
      </c>
      <c r="I1089">
        <v>1500</v>
      </c>
      <c r="J1089">
        <v>60</v>
      </c>
      <c r="K1089">
        <v>37</v>
      </c>
      <c r="L1089">
        <v>18</v>
      </c>
      <c r="M1089">
        <v>15</v>
      </c>
      <c r="P1089" t="s">
        <v>2272</v>
      </c>
      <c r="R1089" t="s">
        <v>2273</v>
      </c>
      <c r="S1089">
        <v>5</v>
      </c>
      <c r="T1089" t="s">
        <v>2319</v>
      </c>
      <c r="U1089" t="s">
        <v>2320</v>
      </c>
    </row>
    <row r="1090" spans="1:21" x14ac:dyDescent="0.25">
      <c r="A1090" t="s">
        <v>3480</v>
      </c>
      <c r="B1090" t="s">
        <v>541</v>
      </c>
      <c r="C1090" t="s">
        <v>4</v>
      </c>
      <c r="D1090" t="s">
        <v>24</v>
      </c>
      <c r="E1090" t="s">
        <v>1615</v>
      </c>
      <c r="F1090" t="s">
        <v>282</v>
      </c>
      <c r="G1090" t="s">
        <v>2271</v>
      </c>
      <c r="H1090" s="20">
        <v>46250</v>
      </c>
      <c r="I1090">
        <v>1800</v>
      </c>
      <c r="J1090">
        <v>86</v>
      </c>
      <c r="K1090">
        <v>66</v>
      </c>
      <c r="L1090">
        <v>55</v>
      </c>
      <c r="M1090">
        <v>50</v>
      </c>
      <c r="P1090" t="s">
        <v>2272</v>
      </c>
      <c r="Q1090" t="s">
        <v>3481</v>
      </c>
      <c r="R1090" t="s">
        <v>2423</v>
      </c>
      <c r="S1090">
        <v>4</v>
      </c>
      <c r="T1090" t="s">
        <v>2274</v>
      </c>
      <c r="U1090" t="s">
        <v>2275</v>
      </c>
    </row>
    <row r="1091" spans="1:21" x14ac:dyDescent="0.25">
      <c r="A1091" t="s">
        <v>3482</v>
      </c>
      <c r="B1091" t="s">
        <v>541</v>
      </c>
      <c r="C1091" t="s">
        <v>4</v>
      </c>
      <c r="D1091" t="s">
        <v>24</v>
      </c>
      <c r="E1091" t="s">
        <v>1616</v>
      </c>
      <c r="F1091" t="s">
        <v>985</v>
      </c>
      <c r="G1091" t="s">
        <v>2425</v>
      </c>
      <c r="H1091" s="20">
        <v>46250</v>
      </c>
      <c r="I1091">
        <v>1800</v>
      </c>
      <c r="J1091">
        <v>86</v>
      </c>
      <c r="K1091">
        <v>66</v>
      </c>
      <c r="L1091">
        <v>36</v>
      </c>
      <c r="M1091">
        <v>29</v>
      </c>
      <c r="N1091">
        <v>25</v>
      </c>
      <c r="P1091" t="s">
        <v>2272</v>
      </c>
      <c r="Q1091" t="s">
        <v>3483</v>
      </c>
      <c r="R1091" t="s">
        <v>2423</v>
      </c>
      <c r="S1091">
        <v>4</v>
      </c>
      <c r="T1091" t="s">
        <v>2274</v>
      </c>
      <c r="U1091" t="s">
        <v>2275</v>
      </c>
    </row>
    <row r="1092" spans="1:21" x14ac:dyDescent="0.25">
      <c r="A1092" t="s">
        <v>3484</v>
      </c>
      <c r="B1092" t="s">
        <v>541</v>
      </c>
      <c r="C1092" t="s">
        <v>4</v>
      </c>
      <c r="D1092" t="s">
        <v>24</v>
      </c>
      <c r="E1092" t="s">
        <v>1617</v>
      </c>
      <c r="F1092" t="s">
        <v>247</v>
      </c>
      <c r="G1092" t="s">
        <v>2425</v>
      </c>
      <c r="H1092" s="20">
        <v>46250</v>
      </c>
      <c r="I1092">
        <v>1800</v>
      </c>
      <c r="J1092">
        <v>86</v>
      </c>
      <c r="K1092">
        <v>66</v>
      </c>
      <c r="L1092">
        <v>36</v>
      </c>
      <c r="M1092">
        <v>29</v>
      </c>
      <c r="N1092">
        <v>25</v>
      </c>
      <c r="P1092" t="s">
        <v>2272</v>
      </c>
      <c r="Q1092" t="s">
        <v>3483</v>
      </c>
      <c r="R1092" t="s">
        <v>2423</v>
      </c>
      <c r="S1092">
        <v>4</v>
      </c>
      <c r="T1092" t="s">
        <v>2274</v>
      </c>
      <c r="U1092" t="s">
        <v>2275</v>
      </c>
    </row>
    <row r="1093" spans="1:21" x14ac:dyDescent="0.25">
      <c r="A1093" t="s">
        <v>3485</v>
      </c>
      <c r="B1093" t="s">
        <v>541</v>
      </c>
      <c r="C1093" t="s">
        <v>4</v>
      </c>
      <c r="D1093" t="s">
        <v>24</v>
      </c>
      <c r="E1093" t="s">
        <v>1618</v>
      </c>
      <c r="F1093" t="s">
        <v>836</v>
      </c>
      <c r="G1093" t="s">
        <v>2425</v>
      </c>
      <c r="H1093" s="20">
        <v>46250</v>
      </c>
      <c r="I1093">
        <v>1800</v>
      </c>
      <c r="J1093">
        <v>86</v>
      </c>
      <c r="K1093">
        <v>25</v>
      </c>
      <c r="L1093">
        <v>18</v>
      </c>
      <c r="P1093" t="s">
        <v>2272</v>
      </c>
      <c r="Q1093" t="s">
        <v>3486</v>
      </c>
      <c r="R1093" t="s">
        <v>2423</v>
      </c>
      <c r="S1093">
        <v>4</v>
      </c>
      <c r="T1093" t="s">
        <v>2274</v>
      </c>
      <c r="U1093" t="s">
        <v>2275</v>
      </c>
    </row>
    <row r="1094" spans="1:21" x14ac:dyDescent="0.25">
      <c r="A1094" t="s">
        <v>3487</v>
      </c>
      <c r="B1094" t="s">
        <v>541</v>
      </c>
      <c r="C1094" t="s">
        <v>4</v>
      </c>
      <c r="D1094" t="s">
        <v>24</v>
      </c>
      <c r="E1094" t="s">
        <v>1619</v>
      </c>
      <c r="F1094" t="s">
        <v>212</v>
      </c>
      <c r="G1094" t="s">
        <v>2425</v>
      </c>
      <c r="H1094" s="20">
        <v>46250</v>
      </c>
      <c r="I1094">
        <v>1800</v>
      </c>
      <c r="J1094">
        <v>86</v>
      </c>
      <c r="K1094">
        <v>25</v>
      </c>
      <c r="L1094">
        <v>18</v>
      </c>
      <c r="P1094" t="s">
        <v>2272</v>
      </c>
      <c r="Q1094" t="s">
        <v>3486</v>
      </c>
      <c r="R1094" t="s">
        <v>2423</v>
      </c>
      <c r="S1094">
        <v>4</v>
      </c>
      <c r="T1094" t="s">
        <v>2274</v>
      </c>
      <c r="U1094" t="s">
        <v>2275</v>
      </c>
    </row>
    <row r="1095" spans="1:21" x14ac:dyDescent="0.25">
      <c r="A1095" t="s">
        <v>3488</v>
      </c>
      <c r="B1095" t="s">
        <v>541</v>
      </c>
      <c r="C1095" t="s">
        <v>4</v>
      </c>
      <c r="D1095" t="s">
        <v>24</v>
      </c>
      <c r="E1095" t="s">
        <v>1620</v>
      </c>
      <c r="F1095" t="s">
        <v>801</v>
      </c>
      <c r="G1095" t="s">
        <v>2425</v>
      </c>
      <c r="H1095" s="20">
        <v>46250</v>
      </c>
      <c r="I1095">
        <v>1800</v>
      </c>
      <c r="J1095">
        <v>86</v>
      </c>
      <c r="K1095">
        <v>25</v>
      </c>
      <c r="L1095">
        <v>18</v>
      </c>
      <c r="P1095" t="s">
        <v>2272</v>
      </c>
      <c r="Q1095" t="s">
        <v>3486</v>
      </c>
      <c r="R1095" t="s">
        <v>2423</v>
      </c>
      <c r="S1095">
        <v>4</v>
      </c>
      <c r="T1095" t="s">
        <v>2274</v>
      </c>
      <c r="U1095" t="s">
        <v>2275</v>
      </c>
    </row>
    <row r="1096" spans="1:21" x14ac:dyDescent="0.25">
      <c r="A1096" t="s">
        <v>3489</v>
      </c>
      <c r="B1096" t="s">
        <v>541</v>
      </c>
      <c r="C1096" t="s">
        <v>4</v>
      </c>
      <c r="D1096" t="s">
        <v>24</v>
      </c>
      <c r="E1096" t="s">
        <v>1621</v>
      </c>
      <c r="F1096" t="s">
        <v>172</v>
      </c>
      <c r="G1096" t="s">
        <v>2425</v>
      </c>
      <c r="H1096" s="20">
        <v>46250</v>
      </c>
      <c r="I1096">
        <v>1800</v>
      </c>
      <c r="J1096">
        <v>86</v>
      </c>
      <c r="K1096">
        <v>25</v>
      </c>
      <c r="L1096">
        <v>18</v>
      </c>
      <c r="P1096" t="s">
        <v>2272</v>
      </c>
      <c r="Q1096" t="s">
        <v>3486</v>
      </c>
      <c r="R1096" t="s">
        <v>2423</v>
      </c>
      <c r="S1096">
        <v>4</v>
      </c>
      <c r="T1096" t="s">
        <v>2274</v>
      </c>
      <c r="U1096" t="s">
        <v>2275</v>
      </c>
    </row>
    <row r="1097" spans="1:21" x14ac:dyDescent="0.25">
      <c r="A1097" t="s">
        <v>3490</v>
      </c>
      <c r="B1097" t="s">
        <v>541</v>
      </c>
      <c r="C1097" t="s">
        <v>4</v>
      </c>
      <c r="D1097" t="s">
        <v>24</v>
      </c>
      <c r="E1097" t="s">
        <v>1622</v>
      </c>
      <c r="F1097" t="s">
        <v>846</v>
      </c>
      <c r="G1097" t="s">
        <v>2425</v>
      </c>
      <c r="H1097" s="20">
        <v>46250</v>
      </c>
      <c r="I1097">
        <v>1800</v>
      </c>
      <c r="J1097">
        <v>86</v>
      </c>
      <c r="K1097">
        <v>25</v>
      </c>
      <c r="L1097">
        <v>18</v>
      </c>
      <c r="P1097" t="s">
        <v>2272</v>
      </c>
      <c r="Q1097" t="s">
        <v>3486</v>
      </c>
      <c r="R1097" t="s">
        <v>2423</v>
      </c>
      <c r="S1097">
        <v>4</v>
      </c>
      <c r="T1097" t="s">
        <v>2274</v>
      </c>
      <c r="U1097" t="s">
        <v>2275</v>
      </c>
    </row>
    <row r="1098" spans="1:21" x14ac:dyDescent="0.25">
      <c r="A1098" t="s">
        <v>3491</v>
      </c>
      <c r="B1098" t="s">
        <v>541</v>
      </c>
      <c r="C1098" t="s">
        <v>4</v>
      </c>
      <c r="D1098" t="s">
        <v>24</v>
      </c>
      <c r="E1098" t="s">
        <v>1623</v>
      </c>
      <c r="F1098" t="s">
        <v>266</v>
      </c>
      <c r="G1098" t="s">
        <v>2425</v>
      </c>
      <c r="H1098" s="20">
        <v>46250</v>
      </c>
      <c r="I1098">
        <v>1800</v>
      </c>
      <c r="J1098">
        <v>86</v>
      </c>
      <c r="K1098">
        <v>25</v>
      </c>
      <c r="L1098">
        <v>18</v>
      </c>
      <c r="P1098" t="s">
        <v>2272</v>
      </c>
      <c r="Q1098" t="s">
        <v>3486</v>
      </c>
      <c r="R1098" t="s">
        <v>2423</v>
      </c>
      <c r="S1098">
        <v>4</v>
      </c>
      <c r="T1098" t="s">
        <v>2274</v>
      </c>
      <c r="U1098" t="s">
        <v>2275</v>
      </c>
    </row>
    <row r="1099" spans="1:21" x14ac:dyDescent="0.25">
      <c r="A1099" t="s">
        <v>3492</v>
      </c>
      <c r="B1099" t="s">
        <v>541</v>
      </c>
      <c r="C1099" t="s">
        <v>4</v>
      </c>
      <c r="D1099" t="s">
        <v>24</v>
      </c>
      <c r="E1099" t="s">
        <v>1624</v>
      </c>
      <c r="F1099" t="s">
        <v>184</v>
      </c>
      <c r="G1099" t="s">
        <v>2425</v>
      </c>
      <c r="H1099" s="20">
        <v>46250</v>
      </c>
      <c r="I1099">
        <v>1800</v>
      </c>
      <c r="J1099">
        <v>86</v>
      </c>
      <c r="K1099">
        <v>25</v>
      </c>
      <c r="L1099">
        <v>18</v>
      </c>
      <c r="P1099" t="s">
        <v>2272</v>
      </c>
      <c r="Q1099" t="s">
        <v>3486</v>
      </c>
      <c r="R1099" t="s">
        <v>2423</v>
      </c>
      <c r="S1099">
        <v>4</v>
      </c>
      <c r="T1099" t="s">
        <v>2274</v>
      </c>
      <c r="U1099" t="s">
        <v>2275</v>
      </c>
    </row>
    <row r="1100" spans="1:21" x14ac:dyDescent="0.25">
      <c r="A1100" t="s">
        <v>3493</v>
      </c>
      <c r="B1100" t="s">
        <v>541</v>
      </c>
      <c r="C1100" t="s">
        <v>4</v>
      </c>
      <c r="D1100" t="s">
        <v>24</v>
      </c>
      <c r="E1100" t="s">
        <v>1625</v>
      </c>
      <c r="F1100" t="s">
        <v>303</v>
      </c>
      <c r="G1100" t="s">
        <v>2425</v>
      </c>
      <c r="H1100" s="20">
        <v>46250</v>
      </c>
      <c r="I1100">
        <v>1800</v>
      </c>
      <c r="J1100">
        <v>86</v>
      </c>
      <c r="K1100">
        <v>25</v>
      </c>
      <c r="L1100">
        <v>18</v>
      </c>
      <c r="P1100" t="s">
        <v>2272</v>
      </c>
      <c r="Q1100" t="s">
        <v>3486</v>
      </c>
      <c r="R1100" t="s">
        <v>2423</v>
      </c>
      <c r="S1100">
        <v>4</v>
      </c>
      <c r="T1100" t="s">
        <v>2274</v>
      </c>
      <c r="U1100" t="s">
        <v>2275</v>
      </c>
    </row>
    <row r="1101" spans="1:21" x14ac:dyDescent="0.25">
      <c r="A1101" t="s">
        <v>3494</v>
      </c>
      <c r="B1101" t="s">
        <v>541</v>
      </c>
      <c r="C1101" t="s">
        <v>4</v>
      </c>
      <c r="D1101" t="s">
        <v>24</v>
      </c>
      <c r="E1101" t="s">
        <v>1626</v>
      </c>
      <c r="F1101" t="s">
        <v>1376</v>
      </c>
      <c r="G1101" t="s">
        <v>2425</v>
      </c>
      <c r="H1101" s="20">
        <v>46250</v>
      </c>
      <c r="I1101">
        <v>1800</v>
      </c>
      <c r="J1101">
        <v>86</v>
      </c>
      <c r="K1101">
        <v>25</v>
      </c>
      <c r="L1101">
        <v>18</v>
      </c>
      <c r="P1101" t="s">
        <v>2272</v>
      </c>
      <c r="Q1101" t="s">
        <v>3486</v>
      </c>
      <c r="R1101" t="s">
        <v>2423</v>
      </c>
      <c r="S1101">
        <v>4</v>
      </c>
      <c r="T1101" t="s">
        <v>2274</v>
      </c>
      <c r="U1101" t="s">
        <v>2275</v>
      </c>
    </row>
    <row r="1102" spans="1:21" x14ac:dyDescent="0.25">
      <c r="A1102" t="s">
        <v>3495</v>
      </c>
      <c r="B1102" t="s">
        <v>541</v>
      </c>
      <c r="C1102" t="s">
        <v>4</v>
      </c>
      <c r="D1102" t="s">
        <v>21</v>
      </c>
      <c r="E1102" t="s">
        <v>1627</v>
      </c>
      <c r="F1102" t="s">
        <v>985</v>
      </c>
      <c r="G1102" t="s">
        <v>2271</v>
      </c>
      <c r="H1102" s="20">
        <v>46254</v>
      </c>
      <c r="I1102">
        <v>1500</v>
      </c>
      <c r="J1102">
        <v>77</v>
      </c>
      <c r="K1102">
        <v>42</v>
      </c>
      <c r="L1102">
        <v>35</v>
      </c>
      <c r="M1102">
        <v>32</v>
      </c>
      <c r="P1102" t="s">
        <v>2272</v>
      </c>
      <c r="Q1102" t="s">
        <v>3496</v>
      </c>
      <c r="R1102" t="s">
        <v>2446</v>
      </c>
      <c r="S1102">
        <v>5</v>
      </c>
      <c r="T1102" t="s">
        <v>2319</v>
      </c>
      <c r="U1102" t="s">
        <v>2320</v>
      </c>
    </row>
    <row r="1103" spans="1:21" x14ac:dyDescent="0.25">
      <c r="A1103" t="s">
        <v>3497</v>
      </c>
      <c r="B1103" t="s">
        <v>541</v>
      </c>
      <c r="C1103" t="s">
        <v>4</v>
      </c>
      <c r="D1103" t="s">
        <v>21</v>
      </c>
      <c r="E1103" t="s">
        <v>1628</v>
      </c>
      <c r="F1103" t="s">
        <v>953</v>
      </c>
      <c r="G1103" t="s">
        <v>2271</v>
      </c>
      <c r="H1103" s="20">
        <v>46254</v>
      </c>
      <c r="I1103">
        <v>1500</v>
      </c>
      <c r="J1103">
        <v>77</v>
      </c>
      <c r="K1103">
        <v>42</v>
      </c>
      <c r="L1103">
        <v>25</v>
      </c>
      <c r="M1103">
        <v>22</v>
      </c>
      <c r="P1103" t="s">
        <v>2272</v>
      </c>
      <c r="R1103" t="s">
        <v>2273</v>
      </c>
      <c r="S1103">
        <v>5</v>
      </c>
      <c r="T1103" t="s">
        <v>2319</v>
      </c>
      <c r="U1103" t="s">
        <v>2320</v>
      </c>
    </row>
    <row r="1104" spans="1:21" x14ac:dyDescent="0.25">
      <c r="A1104" t="s">
        <v>3498</v>
      </c>
      <c r="B1104" t="s">
        <v>541</v>
      </c>
      <c r="C1104" t="s">
        <v>4</v>
      </c>
      <c r="D1104" t="s">
        <v>21</v>
      </c>
      <c r="E1104" t="s">
        <v>1629</v>
      </c>
      <c r="F1104" t="s">
        <v>1030</v>
      </c>
      <c r="G1104" t="s">
        <v>2271</v>
      </c>
      <c r="H1104" s="20">
        <v>46254</v>
      </c>
      <c r="I1104">
        <v>1500</v>
      </c>
      <c r="J1104">
        <v>77</v>
      </c>
      <c r="K1104">
        <v>42</v>
      </c>
      <c r="L1104">
        <v>25</v>
      </c>
      <c r="M1104">
        <v>22</v>
      </c>
      <c r="P1104" t="s">
        <v>2272</v>
      </c>
      <c r="R1104" t="s">
        <v>2273</v>
      </c>
      <c r="S1104">
        <v>5</v>
      </c>
      <c r="T1104" t="s">
        <v>2319</v>
      </c>
      <c r="U1104" t="s">
        <v>2320</v>
      </c>
    </row>
    <row r="1105" spans="1:21" x14ac:dyDescent="0.25">
      <c r="A1105" t="s">
        <v>3499</v>
      </c>
      <c r="B1105" t="s">
        <v>541</v>
      </c>
      <c r="C1105" t="s">
        <v>4</v>
      </c>
      <c r="D1105" t="s">
        <v>21</v>
      </c>
      <c r="E1105" t="s">
        <v>1630</v>
      </c>
      <c r="F1105" t="s">
        <v>309</v>
      </c>
      <c r="G1105" t="s">
        <v>2271</v>
      </c>
      <c r="H1105" s="20">
        <v>46254</v>
      </c>
      <c r="I1105">
        <v>1500</v>
      </c>
      <c r="J1105">
        <v>77</v>
      </c>
      <c r="K1105">
        <v>42</v>
      </c>
      <c r="L1105">
        <v>25</v>
      </c>
      <c r="M1105">
        <v>22</v>
      </c>
      <c r="P1105" t="s">
        <v>2272</v>
      </c>
      <c r="R1105" t="s">
        <v>2273</v>
      </c>
      <c r="S1105">
        <v>5</v>
      </c>
      <c r="T1105" t="s">
        <v>2319</v>
      </c>
      <c r="U1105" t="s">
        <v>2320</v>
      </c>
    </row>
    <row r="1106" spans="1:21" x14ac:dyDescent="0.25">
      <c r="A1106" t="s">
        <v>3500</v>
      </c>
      <c r="B1106" t="s">
        <v>541</v>
      </c>
      <c r="C1106" t="s">
        <v>4</v>
      </c>
      <c r="D1106" t="s">
        <v>21</v>
      </c>
      <c r="E1106" t="s">
        <v>1631</v>
      </c>
      <c r="F1106" t="s">
        <v>289</v>
      </c>
      <c r="G1106" t="s">
        <v>2271</v>
      </c>
      <c r="H1106" s="20">
        <v>46254</v>
      </c>
      <c r="I1106">
        <v>1500</v>
      </c>
      <c r="J1106">
        <v>77</v>
      </c>
      <c r="K1106">
        <v>42</v>
      </c>
      <c r="L1106">
        <v>25</v>
      </c>
      <c r="M1106">
        <v>22</v>
      </c>
      <c r="P1106" t="s">
        <v>2272</v>
      </c>
      <c r="R1106" t="s">
        <v>2273</v>
      </c>
      <c r="S1106">
        <v>5</v>
      </c>
      <c r="T1106" t="s">
        <v>2319</v>
      </c>
      <c r="U1106" t="s">
        <v>2320</v>
      </c>
    </row>
    <row r="1107" spans="1:21" x14ac:dyDescent="0.25">
      <c r="A1107" t="s">
        <v>3501</v>
      </c>
      <c r="B1107" t="s">
        <v>541</v>
      </c>
      <c r="C1107" t="s">
        <v>4</v>
      </c>
      <c r="D1107" t="s">
        <v>21</v>
      </c>
      <c r="E1107" t="s">
        <v>1632</v>
      </c>
      <c r="F1107" t="s">
        <v>513</v>
      </c>
      <c r="G1107" t="s">
        <v>2271</v>
      </c>
      <c r="H1107" s="20">
        <v>46254</v>
      </c>
      <c r="I1107">
        <v>1500</v>
      </c>
      <c r="J1107">
        <v>77</v>
      </c>
      <c r="K1107">
        <v>42</v>
      </c>
      <c r="L1107">
        <v>25</v>
      </c>
      <c r="M1107">
        <v>22</v>
      </c>
      <c r="P1107" t="s">
        <v>2272</v>
      </c>
      <c r="R1107" t="s">
        <v>2273</v>
      </c>
      <c r="S1107">
        <v>5</v>
      </c>
      <c r="T1107" t="s">
        <v>2319</v>
      </c>
      <c r="U1107" t="s">
        <v>2320</v>
      </c>
    </row>
    <row r="1108" spans="1:21" x14ac:dyDescent="0.25">
      <c r="A1108" t="s">
        <v>3502</v>
      </c>
      <c r="B1108" t="s">
        <v>541</v>
      </c>
      <c r="C1108" t="s">
        <v>4</v>
      </c>
      <c r="D1108" t="s">
        <v>21</v>
      </c>
      <c r="E1108" t="s">
        <v>1633</v>
      </c>
      <c r="F1108" t="s">
        <v>846</v>
      </c>
      <c r="G1108" t="s">
        <v>2271</v>
      </c>
      <c r="H1108" s="20">
        <v>46254</v>
      </c>
      <c r="I1108">
        <v>1500</v>
      </c>
      <c r="J1108">
        <v>77</v>
      </c>
      <c r="K1108">
        <v>42</v>
      </c>
      <c r="L1108">
        <v>25</v>
      </c>
      <c r="M1108">
        <v>22</v>
      </c>
      <c r="P1108" t="s">
        <v>2272</v>
      </c>
      <c r="R1108" t="s">
        <v>2273</v>
      </c>
      <c r="S1108">
        <v>5</v>
      </c>
      <c r="T1108" t="s">
        <v>2319</v>
      </c>
      <c r="U1108" t="s">
        <v>2320</v>
      </c>
    </row>
    <row r="1109" spans="1:21" x14ac:dyDescent="0.25">
      <c r="A1109" t="s">
        <v>3503</v>
      </c>
      <c r="B1109" t="s">
        <v>541</v>
      </c>
      <c r="C1109" t="s">
        <v>4</v>
      </c>
      <c r="D1109" t="s">
        <v>21</v>
      </c>
      <c r="E1109" t="s">
        <v>1634</v>
      </c>
      <c r="F1109" t="s">
        <v>628</v>
      </c>
      <c r="G1109" t="s">
        <v>2271</v>
      </c>
      <c r="H1109" s="20">
        <v>46254</v>
      </c>
      <c r="I1109">
        <v>1500</v>
      </c>
      <c r="J1109">
        <v>77</v>
      </c>
      <c r="K1109">
        <v>42</v>
      </c>
      <c r="L1109">
        <v>25</v>
      </c>
      <c r="M1109">
        <v>22</v>
      </c>
      <c r="P1109" t="s">
        <v>2272</v>
      </c>
      <c r="R1109" t="s">
        <v>2273</v>
      </c>
      <c r="S1109">
        <v>5</v>
      </c>
      <c r="T1109" t="s">
        <v>2319</v>
      </c>
      <c r="U1109" t="s">
        <v>2320</v>
      </c>
    </row>
    <row r="1110" spans="1:21" x14ac:dyDescent="0.25">
      <c r="A1110" t="s">
        <v>3504</v>
      </c>
      <c r="B1110" t="s">
        <v>541</v>
      </c>
      <c r="C1110" t="s">
        <v>4</v>
      </c>
      <c r="D1110" t="s">
        <v>21</v>
      </c>
      <c r="E1110" t="s">
        <v>1635</v>
      </c>
      <c r="F1110" t="s">
        <v>184</v>
      </c>
      <c r="G1110" t="s">
        <v>2271</v>
      </c>
      <c r="H1110" s="20">
        <v>46254</v>
      </c>
      <c r="I1110">
        <v>1500</v>
      </c>
      <c r="J1110">
        <v>77</v>
      </c>
      <c r="K1110">
        <v>42</v>
      </c>
      <c r="L1110">
        <v>25</v>
      </c>
      <c r="M1110">
        <v>22</v>
      </c>
      <c r="P1110" t="s">
        <v>2272</v>
      </c>
      <c r="R1110" t="s">
        <v>2273</v>
      </c>
      <c r="S1110">
        <v>5</v>
      </c>
      <c r="T1110" t="s">
        <v>2319</v>
      </c>
      <c r="U1110" t="s">
        <v>2320</v>
      </c>
    </row>
    <row r="1111" spans="1:21" x14ac:dyDescent="0.25">
      <c r="A1111" t="s">
        <v>3505</v>
      </c>
      <c r="B1111" t="s">
        <v>541</v>
      </c>
      <c r="C1111" t="s">
        <v>4</v>
      </c>
      <c r="D1111" t="s">
        <v>21</v>
      </c>
      <c r="E1111" t="s">
        <v>1636</v>
      </c>
      <c r="F1111" t="s">
        <v>303</v>
      </c>
      <c r="G1111" t="s">
        <v>2271</v>
      </c>
      <c r="H1111" s="20">
        <v>46254</v>
      </c>
      <c r="I1111">
        <v>1500</v>
      </c>
      <c r="J1111">
        <v>77</v>
      </c>
      <c r="K1111">
        <v>42</v>
      </c>
      <c r="L1111">
        <v>25</v>
      </c>
      <c r="M1111">
        <v>22</v>
      </c>
      <c r="P1111" t="s">
        <v>2272</v>
      </c>
      <c r="R1111" t="s">
        <v>2273</v>
      </c>
      <c r="S1111">
        <v>5</v>
      </c>
      <c r="T1111" t="s">
        <v>2319</v>
      </c>
      <c r="U1111" t="s">
        <v>2320</v>
      </c>
    </row>
    <row r="1112" spans="1:21" x14ac:dyDescent="0.25">
      <c r="A1112" t="s">
        <v>3506</v>
      </c>
      <c r="B1112" t="s">
        <v>541</v>
      </c>
      <c r="C1112" t="s">
        <v>4</v>
      </c>
      <c r="D1112" t="s">
        <v>21</v>
      </c>
      <c r="E1112" t="s">
        <v>1637</v>
      </c>
      <c r="F1112" t="s">
        <v>1212</v>
      </c>
      <c r="G1112" t="s">
        <v>2271</v>
      </c>
      <c r="H1112" s="20">
        <v>46254</v>
      </c>
      <c r="I1112">
        <v>1500</v>
      </c>
      <c r="J1112">
        <v>77</v>
      </c>
      <c r="K1112">
        <v>42</v>
      </c>
      <c r="L1112">
        <v>25</v>
      </c>
      <c r="M1112">
        <v>22</v>
      </c>
      <c r="P1112" t="s">
        <v>2272</v>
      </c>
      <c r="R1112" t="s">
        <v>2273</v>
      </c>
      <c r="S1112">
        <v>5</v>
      </c>
      <c r="T1112" t="s">
        <v>2319</v>
      </c>
      <c r="U1112" t="s">
        <v>2320</v>
      </c>
    </row>
    <row r="1113" spans="1:21" x14ac:dyDescent="0.25">
      <c r="A1113" t="s">
        <v>3507</v>
      </c>
      <c r="B1113" t="s">
        <v>541</v>
      </c>
      <c r="C1113" t="s">
        <v>4</v>
      </c>
      <c r="D1113" t="s">
        <v>29</v>
      </c>
      <c r="E1113" t="s">
        <v>1638</v>
      </c>
      <c r="F1113" t="s">
        <v>1241</v>
      </c>
      <c r="H1113" s="20"/>
      <c r="P1113" t="s">
        <v>2291</v>
      </c>
      <c r="R1113" t="s">
        <v>2292</v>
      </c>
    </row>
    <row r="1114" spans="1:21" x14ac:dyDescent="0.25">
      <c r="A1114" t="s">
        <v>3508</v>
      </c>
      <c r="B1114" t="s">
        <v>541</v>
      </c>
      <c r="C1114" t="s">
        <v>4</v>
      </c>
      <c r="D1114" t="s">
        <v>29</v>
      </c>
      <c r="E1114" t="s">
        <v>1638</v>
      </c>
      <c r="F1114" t="s">
        <v>1217</v>
      </c>
      <c r="H1114" s="20"/>
      <c r="P1114" t="s">
        <v>2291</v>
      </c>
      <c r="R1114" t="s">
        <v>2292</v>
      </c>
    </row>
    <row r="1115" spans="1:21" x14ac:dyDescent="0.25">
      <c r="A1115" t="s">
        <v>3509</v>
      </c>
      <c r="B1115" t="s">
        <v>541</v>
      </c>
      <c r="C1115" t="s">
        <v>4</v>
      </c>
      <c r="D1115" t="s">
        <v>26</v>
      </c>
      <c r="E1115" t="s">
        <v>1639</v>
      </c>
      <c r="F1115" t="s">
        <v>1405</v>
      </c>
      <c r="H1115" s="20"/>
      <c r="P1115" t="s">
        <v>2291</v>
      </c>
      <c r="R1115" t="s">
        <v>2292</v>
      </c>
    </row>
    <row r="1116" spans="1:21" x14ac:dyDescent="0.25">
      <c r="A1116" t="s">
        <v>3510</v>
      </c>
      <c r="B1116" t="s">
        <v>541</v>
      </c>
      <c r="C1116" t="s">
        <v>4</v>
      </c>
      <c r="D1116" t="s">
        <v>26</v>
      </c>
      <c r="E1116" t="s">
        <v>1640</v>
      </c>
      <c r="F1116" t="s">
        <v>161</v>
      </c>
      <c r="H1116" s="20"/>
      <c r="P1116" t="s">
        <v>2291</v>
      </c>
      <c r="R1116" t="s">
        <v>2292</v>
      </c>
    </row>
    <row r="1117" spans="1:21" x14ac:dyDescent="0.25">
      <c r="A1117" t="s">
        <v>3511</v>
      </c>
      <c r="B1117" t="s">
        <v>541</v>
      </c>
      <c r="C1117" t="s">
        <v>904</v>
      </c>
      <c r="D1117" t="s">
        <v>24</v>
      </c>
      <c r="E1117" t="s">
        <v>1642</v>
      </c>
      <c r="F1117" t="s">
        <v>282</v>
      </c>
      <c r="G1117" t="s">
        <v>2271</v>
      </c>
      <c r="H1117" s="20">
        <v>46250</v>
      </c>
      <c r="I1117">
        <v>1800</v>
      </c>
      <c r="J1117">
        <v>61</v>
      </c>
      <c r="K1117">
        <v>50</v>
      </c>
      <c r="L1117">
        <v>33</v>
      </c>
      <c r="M1117">
        <v>31</v>
      </c>
      <c r="P1117" t="s">
        <v>2272</v>
      </c>
      <c r="Q1117" t="s">
        <v>3345</v>
      </c>
      <c r="R1117" t="s">
        <v>2423</v>
      </c>
      <c r="S1117">
        <v>4</v>
      </c>
      <c r="T1117" t="s">
        <v>2274</v>
      </c>
      <c r="U1117" t="s">
        <v>2275</v>
      </c>
    </row>
    <row r="1118" spans="1:21" x14ac:dyDescent="0.25">
      <c r="A1118" t="s">
        <v>3512</v>
      </c>
      <c r="B1118" t="s">
        <v>541</v>
      </c>
      <c r="C1118" t="s">
        <v>904</v>
      </c>
      <c r="D1118" t="s">
        <v>24</v>
      </c>
      <c r="E1118" t="s">
        <v>1643</v>
      </c>
      <c r="F1118" t="s">
        <v>298</v>
      </c>
      <c r="G1118" t="s">
        <v>2271</v>
      </c>
      <c r="H1118" s="20">
        <v>46250</v>
      </c>
      <c r="I1118">
        <v>1800</v>
      </c>
      <c r="J1118">
        <v>61</v>
      </c>
      <c r="K1118">
        <v>50</v>
      </c>
      <c r="L1118">
        <v>33</v>
      </c>
      <c r="M1118">
        <v>31</v>
      </c>
      <c r="P1118" t="s">
        <v>2272</v>
      </c>
      <c r="Q1118" t="s">
        <v>3345</v>
      </c>
      <c r="R1118" t="s">
        <v>2423</v>
      </c>
      <c r="S1118">
        <v>4</v>
      </c>
      <c r="T1118" t="s">
        <v>2274</v>
      </c>
      <c r="U1118" t="s">
        <v>2275</v>
      </c>
    </row>
    <row r="1119" spans="1:21" x14ac:dyDescent="0.25">
      <c r="A1119" t="s">
        <v>3513</v>
      </c>
      <c r="B1119" t="s">
        <v>541</v>
      </c>
      <c r="C1119" t="s">
        <v>904</v>
      </c>
      <c r="D1119" t="s">
        <v>24</v>
      </c>
      <c r="E1119" t="s">
        <v>1644</v>
      </c>
      <c r="F1119" t="s">
        <v>56</v>
      </c>
      <c r="G1119" t="s">
        <v>2425</v>
      </c>
      <c r="H1119" s="20">
        <v>46250</v>
      </c>
      <c r="I1119">
        <v>1800</v>
      </c>
      <c r="J1119">
        <v>61</v>
      </c>
      <c r="K1119">
        <v>50</v>
      </c>
      <c r="L1119">
        <v>33</v>
      </c>
      <c r="M1119">
        <v>25</v>
      </c>
      <c r="P1119" t="s">
        <v>2272</v>
      </c>
      <c r="Q1119" t="s">
        <v>3486</v>
      </c>
      <c r="R1119" t="s">
        <v>2423</v>
      </c>
      <c r="S1119">
        <v>4</v>
      </c>
      <c r="T1119" t="s">
        <v>2274</v>
      </c>
      <c r="U1119" t="s">
        <v>2275</v>
      </c>
    </row>
    <row r="1120" spans="1:21" x14ac:dyDescent="0.25">
      <c r="A1120" t="s">
        <v>3514</v>
      </c>
      <c r="B1120" t="s">
        <v>541</v>
      </c>
      <c r="C1120" t="s">
        <v>904</v>
      </c>
      <c r="D1120" t="s">
        <v>24</v>
      </c>
      <c r="E1120" t="s">
        <v>1645</v>
      </c>
      <c r="F1120" t="s">
        <v>165</v>
      </c>
      <c r="G1120" t="s">
        <v>2425</v>
      </c>
      <c r="H1120" s="20">
        <v>46250</v>
      </c>
      <c r="I1120">
        <v>1800</v>
      </c>
      <c r="J1120">
        <v>61</v>
      </c>
      <c r="K1120">
        <v>50</v>
      </c>
      <c r="L1120">
        <v>33</v>
      </c>
      <c r="M1120">
        <v>25</v>
      </c>
      <c r="P1120" t="s">
        <v>2272</v>
      </c>
      <c r="Q1120" t="s">
        <v>3486</v>
      </c>
      <c r="R1120" t="s">
        <v>2423</v>
      </c>
      <c r="S1120">
        <v>4</v>
      </c>
      <c r="T1120" t="s">
        <v>2274</v>
      </c>
      <c r="U1120" t="s">
        <v>2275</v>
      </c>
    </row>
    <row r="1121" spans="1:21" x14ac:dyDescent="0.25">
      <c r="A1121" t="s">
        <v>3515</v>
      </c>
      <c r="B1121" t="s">
        <v>541</v>
      </c>
      <c r="C1121" t="s">
        <v>904</v>
      </c>
      <c r="D1121" t="s">
        <v>24</v>
      </c>
      <c r="E1121" t="s">
        <v>1646</v>
      </c>
      <c r="F1121" t="s">
        <v>530</v>
      </c>
      <c r="G1121" t="s">
        <v>2425</v>
      </c>
      <c r="H1121" s="20">
        <v>46250</v>
      </c>
      <c r="I1121">
        <v>1800</v>
      </c>
      <c r="J1121">
        <v>61</v>
      </c>
      <c r="K1121">
        <v>50</v>
      </c>
      <c r="L1121">
        <v>33</v>
      </c>
      <c r="M1121">
        <v>25</v>
      </c>
      <c r="P1121" t="s">
        <v>2272</v>
      </c>
      <c r="Q1121" t="s">
        <v>3486</v>
      </c>
      <c r="R1121" t="s">
        <v>2423</v>
      </c>
      <c r="S1121">
        <v>4</v>
      </c>
      <c r="T1121" t="s">
        <v>2274</v>
      </c>
      <c r="U1121" t="s">
        <v>2275</v>
      </c>
    </row>
    <row r="1122" spans="1:21" x14ac:dyDescent="0.25">
      <c r="A1122" t="s">
        <v>3516</v>
      </c>
      <c r="B1122" t="s">
        <v>541</v>
      </c>
      <c r="C1122" t="s">
        <v>904</v>
      </c>
      <c r="D1122" t="s">
        <v>24</v>
      </c>
      <c r="E1122" t="s">
        <v>1647</v>
      </c>
      <c r="F1122" t="s">
        <v>458</v>
      </c>
      <c r="G1122" t="s">
        <v>2425</v>
      </c>
      <c r="H1122" s="20">
        <v>46250</v>
      </c>
      <c r="I1122">
        <v>1800</v>
      </c>
      <c r="J1122">
        <v>61</v>
      </c>
      <c r="K1122">
        <v>50</v>
      </c>
      <c r="L1122">
        <v>33</v>
      </c>
      <c r="M1122">
        <v>25</v>
      </c>
      <c r="P1122" t="s">
        <v>2272</v>
      </c>
      <c r="Q1122" t="s">
        <v>3486</v>
      </c>
      <c r="R1122" t="s">
        <v>2423</v>
      </c>
      <c r="S1122">
        <v>4</v>
      </c>
      <c r="T1122" t="s">
        <v>2274</v>
      </c>
      <c r="U1122" t="s">
        <v>2275</v>
      </c>
    </row>
    <row r="1123" spans="1:21" x14ac:dyDescent="0.25">
      <c r="A1123" t="s">
        <v>3517</v>
      </c>
      <c r="B1123" t="s">
        <v>541</v>
      </c>
      <c r="C1123" t="s">
        <v>1079</v>
      </c>
      <c r="D1123" t="s">
        <v>24</v>
      </c>
      <c r="E1123" t="s">
        <v>1649</v>
      </c>
      <c r="F1123" t="s">
        <v>1650</v>
      </c>
      <c r="G1123" t="s">
        <v>2271</v>
      </c>
      <c r="H1123" s="20">
        <v>46250</v>
      </c>
      <c r="I1123">
        <v>1800</v>
      </c>
      <c r="J1123">
        <v>91</v>
      </c>
      <c r="K1123">
        <v>68</v>
      </c>
      <c r="L1123">
        <v>30</v>
      </c>
      <c r="P1123" t="s">
        <v>2272</v>
      </c>
      <c r="Q1123" t="s">
        <v>3518</v>
      </c>
      <c r="R1123" t="s">
        <v>2472</v>
      </c>
      <c r="S1123">
        <v>4</v>
      </c>
      <c r="T1123" t="s">
        <v>2274</v>
      </c>
      <c r="U1123" t="s">
        <v>2275</v>
      </c>
    </row>
    <row r="1124" spans="1:21" x14ac:dyDescent="0.25">
      <c r="A1124" t="s">
        <v>3519</v>
      </c>
      <c r="B1124" t="s">
        <v>541</v>
      </c>
      <c r="C1124" t="s">
        <v>1079</v>
      </c>
      <c r="D1124" t="s">
        <v>24</v>
      </c>
      <c r="E1124" t="s">
        <v>1651</v>
      </c>
      <c r="F1124" t="s">
        <v>726</v>
      </c>
      <c r="G1124" t="s">
        <v>2425</v>
      </c>
      <c r="H1124" s="20">
        <v>46250</v>
      </c>
      <c r="I1124">
        <v>1800</v>
      </c>
      <c r="J1124">
        <v>91</v>
      </c>
      <c r="K1124">
        <v>68</v>
      </c>
      <c r="L1124">
        <v>20</v>
      </c>
      <c r="P1124" t="s">
        <v>2272</v>
      </c>
      <c r="Q1124" t="s">
        <v>3520</v>
      </c>
      <c r="R1124" t="s">
        <v>2446</v>
      </c>
      <c r="S1124">
        <v>4</v>
      </c>
      <c r="T1124" t="s">
        <v>2274</v>
      </c>
      <c r="U1124" t="s">
        <v>2275</v>
      </c>
    </row>
    <row r="1125" spans="1:21" x14ac:dyDescent="0.25">
      <c r="A1125" t="s">
        <v>3521</v>
      </c>
      <c r="B1125" t="s">
        <v>541</v>
      </c>
      <c r="C1125" t="s">
        <v>1079</v>
      </c>
      <c r="D1125" t="s">
        <v>24</v>
      </c>
      <c r="E1125" t="s">
        <v>1652</v>
      </c>
      <c r="F1125" t="s">
        <v>165</v>
      </c>
      <c r="G1125" t="s">
        <v>2271</v>
      </c>
      <c r="H1125" s="20">
        <v>46250</v>
      </c>
      <c r="I1125">
        <v>1800</v>
      </c>
      <c r="J1125">
        <v>91</v>
      </c>
      <c r="K1125">
        <v>68</v>
      </c>
      <c r="L1125">
        <v>30</v>
      </c>
      <c r="P1125" t="s">
        <v>2272</v>
      </c>
      <c r="Q1125" t="s">
        <v>3518</v>
      </c>
      <c r="R1125" t="s">
        <v>2472</v>
      </c>
      <c r="S1125">
        <v>4</v>
      </c>
      <c r="T1125" t="s">
        <v>2274</v>
      </c>
      <c r="U1125" t="s">
        <v>2275</v>
      </c>
    </row>
    <row r="1126" spans="1:21" x14ac:dyDescent="0.25">
      <c r="A1126" t="s">
        <v>3522</v>
      </c>
      <c r="B1126" t="s">
        <v>541</v>
      </c>
      <c r="C1126" t="s">
        <v>1079</v>
      </c>
      <c r="D1126" t="s">
        <v>24</v>
      </c>
      <c r="E1126" t="s">
        <v>1653</v>
      </c>
      <c r="F1126" t="s">
        <v>674</v>
      </c>
      <c r="G1126" t="s">
        <v>2271</v>
      </c>
      <c r="H1126" s="20">
        <v>46250</v>
      </c>
      <c r="I1126">
        <v>1800</v>
      </c>
      <c r="J1126">
        <v>91</v>
      </c>
      <c r="K1126">
        <v>68</v>
      </c>
      <c r="L1126">
        <v>30</v>
      </c>
      <c r="P1126" t="s">
        <v>2272</v>
      </c>
      <c r="Q1126" t="s">
        <v>3518</v>
      </c>
      <c r="R1126" t="s">
        <v>2472</v>
      </c>
      <c r="S1126">
        <v>4</v>
      </c>
      <c r="T1126" t="s">
        <v>2274</v>
      </c>
      <c r="U1126" t="s">
        <v>2275</v>
      </c>
    </row>
    <row r="1127" spans="1:21" x14ac:dyDescent="0.25">
      <c r="A1127" t="s">
        <v>3523</v>
      </c>
      <c r="B1127" t="s">
        <v>541</v>
      </c>
      <c r="C1127" t="s">
        <v>1079</v>
      </c>
      <c r="D1127" t="s">
        <v>26</v>
      </c>
      <c r="E1127" t="s">
        <v>1654</v>
      </c>
      <c r="F1127" t="s">
        <v>1030</v>
      </c>
      <c r="H1127" s="20"/>
      <c r="P1127" t="s">
        <v>2291</v>
      </c>
      <c r="R1127" t="s">
        <v>2292</v>
      </c>
    </row>
    <row r="1128" spans="1:21" x14ac:dyDescent="0.25">
      <c r="A1128" t="s">
        <v>3524</v>
      </c>
      <c r="B1128" t="s">
        <v>541</v>
      </c>
      <c r="C1128" t="s">
        <v>1004</v>
      </c>
      <c r="D1128" t="s">
        <v>24</v>
      </c>
      <c r="E1128" t="s">
        <v>1656</v>
      </c>
      <c r="F1128" t="s">
        <v>386</v>
      </c>
      <c r="G1128" t="s">
        <v>2271</v>
      </c>
      <c r="H1128" s="20">
        <v>46250</v>
      </c>
      <c r="I1128">
        <v>1800</v>
      </c>
      <c r="J1128">
        <v>86</v>
      </c>
      <c r="K1128">
        <v>48</v>
      </c>
      <c r="L1128">
        <v>25</v>
      </c>
      <c r="M1128">
        <v>20</v>
      </c>
      <c r="P1128" t="s">
        <v>2272</v>
      </c>
      <c r="R1128" t="s">
        <v>2273</v>
      </c>
      <c r="S1128">
        <v>4</v>
      </c>
      <c r="T1128" t="s">
        <v>2274</v>
      </c>
      <c r="U1128" t="s">
        <v>2275</v>
      </c>
    </row>
    <row r="1129" spans="1:21" x14ac:dyDescent="0.25">
      <c r="A1129" t="s">
        <v>3525</v>
      </c>
      <c r="B1129" t="s">
        <v>541</v>
      </c>
      <c r="C1129" t="s">
        <v>1004</v>
      </c>
      <c r="D1129" t="s">
        <v>24</v>
      </c>
      <c r="E1129" t="s">
        <v>1657</v>
      </c>
      <c r="F1129" t="s">
        <v>830</v>
      </c>
      <c r="G1129" t="s">
        <v>2271</v>
      </c>
      <c r="H1129" s="20">
        <v>46250</v>
      </c>
      <c r="I1129">
        <v>1800</v>
      </c>
      <c r="J1129">
        <v>86</v>
      </c>
      <c r="K1129">
        <v>48</v>
      </c>
      <c r="L1129">
        <v>25</v>
      </c>
      <c r="M1129">
        <v>20</v>
      </c>
      <c r="P1129" t="s">
        <v>2272</v>
      </c>
      <c r="R1129" t="s">
        <v>2273</v>
      </c>
      <c r="S1129">
        <v>4</v>
      </c>
      <c r="T1129" t="s">
        <v>2274</v>
      </c>
      <c r="U1129" t="s">
        <v>2275</v>
      </c>
    </row>
    <row r="1130" spans="1:21" x14ac:dyDescent="0.25">
      <c r="A1130" t="s">
        <v>3526</v>
      </c>
      <c r="B1130" t="s">
        <v>541</v>
      </c>
      <c r="C1130" t="s">
        <v>1004</v>
      </c>
      <c r="D1130" t="s">
        <v>24</v>
      </c>
      <c r="E1130" t="s">
        <v>1658</v>
      </c>
      <c r="F1130" t="s">
        <v>165</v>
      </c>
      <c r="G1130" t="s">
        <v>2271</v>
      </c>
      <c r="H1130" s="20">
        <v>46250</v>
      </c>
      <c r="I1130">
        <v>1800</v>
      </c>
      <c r="J1130">
        <v>86</v>
      </c>
      <c r="K1130">
        <v>48</v>
      </c>
      <c r="L1130">
        <v>25</v>
      </c>
      <c r="M1130">
        <v>20</v>
      </c>
      <c r="P1130" t="s">
        <v>2272</v>
      </c>
      <c r="R1130" t="s">
        <v>2273</v>
      </c>
      <c r="S1130">
        <v>4</v>
      </c>
      <c r="T1130" t="s">
        <v>2274</v>
      </c>
      <c r="U1130" t="s">
        <v>2275</v>
      </c>
    </row>
    <row r="1131" spans="1:21" x14ac:dyDescent="0.25">
      <c r="A1131" t="s">
        <v>3527</v>
      </c>
      <c r="B1131" t="s">
        <v>541</v>
      </c>
      <c r="C1131" t="s">
        <v>1004</v>
      </c>
      <c r="D1131" t="s">
        <v>24</v>
      </c>
      <c r="E1131" t="s">
        <v>1659</v>
      </c>
      <c r="F1131" t="s">
        <v>685</v>
      </c>
      <c r="G1131" t="s">
        <v>2271</v>
      </c>
      <c r="H1131" s="20">
        <v>46250</v>
      </c>
      <c r="I1131">
        <v>1800</v>
      </c>
      <c r="J1131">
        <v>86</v>
      </c>
      <c r="K1131">
        <v>48</v>
      </c>
      <c r="L1131">
        <v>25</v>
      </c>
      <c r="M1131">
        <v>20</v>
      </c>
      <c r="P1131" t="s">
        <v>2272</v>
      </c>
      <c r="R1131" t="s">
        <v>2273</v>
      </c>
      <c r="S1131">
        <v>4</v>
      </c>
      <c r="T1131" t="s">
        <v>2274</v>
      </c>
      <c r="U1131" t="s">
        <v>2275</v>
      </c>
    </row>
    <row r="1132" spans="1:21" x14ac:dyDescent="0.25">
      <c r="A1132" t="s">
        <v>3528</v>
      </c>
      <c r="B1132" t="s">
        <v>541</v>
      </c>
      <c r="C1132" t="s">
        <v>1004</v>
      </c>
      <c r="D1132" t="s">
        <v>24</v>
      </c>
      <c r="E1132" t="s">
        <v>1660</v>
      </c>
      <c r="F1132" t="s">
        <v>1082</v>
      </c>
      <c r="G1132" t="s">
        <v>2271</v>
      </c>
      <c r="H1132" s="20">
        <v>46250</v>
      </c>
      <c r="I1132">
        <v>1800</v>
      </c>
      <c r="J1132">
        <v>86</v>
      </c>
      <c r="K1132">
        <v>48</v>
      </c>
      <c r="L1132">
        <v>25</v>
      </c>
      <c r="M1132">
        <v>20</v>
      </c>
      <c r="P1132" t="s">
        <v>2272</v>
      </c>
      <c r="R1132" t="s">
        <v>2273</v>
      </c>
      <c r="S1132">
        <v>4</v>
      </c>
      <c r="T1132" t="s">
        <v>2274</v>
      </c>
      <c r="U1132" t="s">
        <v>2275</v>
      </c>
    </row>
    <row r="1133" spans="1:21" x14ac:dyDescent="0.25">
      <c r="A1133" t="s">
        <v>3529</v>
      </c>
      <c r="B1133" t="s">
        <v>541</v>
      </c>
      <c r="C1133" t="s">
        <v>1004</v>
      </c>
      <c r="D1133" t="s">
        <v>21</v>
      </c>
      <c r="E1133" t="s">
        <v>1661</v>
      </c>
      <c r="F1133" t="s">
        <v>515</v>
      </c>
      <c r="G1133" t="s">
        <v>2444</v>
      </c>
      <c r="H1133" s="20">
        <v>46254</v>
      </c>
      <c r="I1133">
        <v>1500</v>
      </c>
      <c r="J1133">
        <v>68</v>
      </c>
      <c r="K1133">
        <v>47</v>
      </c>
      <c r="L1133">
        <v>27</v>
      </c>
      <c r="M1133">
        <v>20</v>
      </c>
      <c r="P1133" t="s">
        <v>2272</v>
      </c>
      <c r="Q1133" t="s">
        <v>3530</v>
      </c>
      <c r="R1133" t="s">
        <v>2446</v>
      </c>
      <c r="S1133">
        <v>5</v>
      </c>
      <c r="T1133" t="s">
        <v>2319</v>
      </c>
      <c r="U1133" t="s">
        <v>2320</v>
      </c>
    </row>
    <row r="1134" spans="1:21" x14ac:dyDescent="0.25">
      <c r="A1134" t="s">
        <v>3531</v>
      </c>
      <c r="B1134" t="s">
        <v>541</v>
      </c>
      <c r="C1134" t="s">
        <v>1004</v>
      </c>
      <c r="D1134" t="s">
        <v>21</v>
      </c>
      <c r="E1134" t="s">
        <v>1662</v>
      </c>
      <c r="F1134" t="s">
        <v>738</v>
      </c>
      <c r="G1134" t="s">
        <v>2271</v>
      </c>
      <c r="H1134" s="20">
        <v>46254</v>
      </c>
      <c r="I1134">
        <v>1500</v>
      </c>
      <c r="J1134">
        <v>68</v>
      </c>
      <c r="K1134">
        <v>47</v>
      </c>
      <c r="L1134">
        <v>16</v>
      </c>
      <c r="P1134" t="s">
        <v>2272</v>
      </c>
      <c r="R1134" t="s">
        <v>2273</v>
      </c>
      <c r="S1134">
        <v>5</v>
      </c>
      <c r="T1134" t="s">
        <v>2319</v>
      </c>
      <c r="U1134" t="s">
        <v>2320</v>
      </c>
    </row>
    <row r="1135" spans="1:21" x14ac:dyDescent="0.25">
      <c r="A1135" t="s">
        <v>3532</v>
      </c>
      <c r="B1135" t="s">
        <v>541</v>
      </c>
      <c r="C1135" t="s">
        <v>353</v>
      </c>
      <c r="D1135" t="s">
        <v>24</v>
      </c>
      <c r="E1135" t="s">
        <v>1664</v>
      </c>
      <c r="F1135" t="s">
        <v>1197</v>
      </c>
      <c r="G1135" t="s">
        <v>2271</v>
      </c>
      <c r="H1135" s="20">
        <v>46250</v>
      </c>
      <c r="I1135">
        <v>1800</v>
      </c>
      <c r="J1135">
        <v>75</v>
      </c>
      <c r="K1135">
        <v>55</v>
      </c>
      <c r="L1135">
        <v>30</v>
      </c>
      <c r="P1135" t="s">
        <v>2272</v>
      </c>
      <c r="Q1135" t="s">
        <v>2563</v>
      </c>
      <c r="R1135" t="s">
        <v>2423</v>
      </c>
      <c r="S1135">
        <v>4</v>
      </c>
      <c r="T1135" t="s">
        <v>2274</v>
      </c>
      <c r="U1135" t="s">
        <v>2275</v>
      </c>
    </row>
    <row r="1136" spans="1:21" x14ac:dyDescent="0.25">
      <c r="A1136" t="s">
        <v>3533</v>
      </c>
      <c r="B1136" t="s">
        <v>541</v>
      </c>
      <c r="C1136" t="s">
        <v>353</v>
      </c>
      <c r="D1136" t="s">
        <v>24</v>
      </c>
      <c r="E1136" t="s">
        <v>1665</v>
      </c>
      <c r="F1136" t="s">
        <v>476</v>
      </c>
      <c r="G1136" t="s">
        <v>2425</v>
      </c>
      <c r="H1136" s="20">
        <v>46250</v>
      </c>
      <c r="I1136">
        <v>1800</v>
      </c>
      <c r="J1136">
        <v>75</v>
      </c>
      <c r="K1136">
        <v>55</v>
      </c>
      <c r="L1136">
        <v>20</v>
      </c>
      <c r="M1136">
        <v>15</v>
      </c>
      <c r="P1136" t="s">
        <v>2272</v>
      </c>
      <c r="Q1136" t="s">
        <v>2566</v>
      </c>
      <c r="R1136" t="s">
        <v>2423</v>
      </c>
      <c r="S1136">
        <v>4</v>
      </c>
      <c r="T1136" t="s">
        <v>2274</v>
      </c>
      <c r="U1136" t="s">
        <v>2275</v>
      </c>
    </row>
    <row r="1137" spans="1:21" x14ac:dyDescent="0.25">
      <c r="A1137" t="s">
        <v>3534</v>
      </c>
      <c r="B1137" t="s">
        <v>541</v>
      </c>
      <c r="C1137" t="s">
        <v>353</v>
      </c>
      <c r="D1137" t="s">
        <v>24</v>
      </c>
      <c r="E1137" t="s">
        <v>1666</v>
      </c>
      <c r="F1137" t="s">
        <v>682</v>
      </c>
      <c r="G1137" t="s">
        <v>2425</v>
      </c>
      <c r="H1137" s="20">
        <v>46250</v>
      </c>
      <c r="I1137">
        <v>1800</v>
      </c>
      <c r="J1137">
        <v>75</v>
      </c>
      <c r="K1137">
        <v>55</v>
      </c>
      <c r="L1137">
        <v>20</v>
      </c>
      <c r="M1137">
        <v>15</v>
      </c>
      <c r="P1137" t="s">
        <v>2272</v>
      </c>
      <c r="Q1137" t="s">
        <v>2566</v>
      </c>
      <c r="R1137" t="s">
        <v>2423</v>
      </c>
      <c r="S1137">
        <v>4</v>
      </c>
      <c r="T1137" t="s">
        <v>2274</v>
      </c>
      <c r="U1137" t="s">
        <v>2275</v>
      </c>
    </row>
    <row r="1138" spans="1:21" x14ac:dyDescent="0.25">
      <c r="A1138" t="s">
        <v>3535</v>
      </c>
      <c r="B1138" t="s">
        <v>541</v>
      </c>
      <c r="C1138" t="s">
        <v>353</v>
      </c>
      <c r="D1138" t="s">
        <v>24</v>
      </c>
      <c r="E1138" t="s">
        <v>1667</v>
      </c>
      <c r="F1138" t="s">
        <v>300</v>
      </c>
      <c r="G1138" t="s">
        <v>2425</v>
      </c>
      <c r="H1138" s="20">
        <v>46250</v>
      </c>
      <c r="I1138">
        <v>1800</v>
      </c>
      <c r="J1138">
        <v>75</v>
      </c>
      <c r="K1138">
        <v>55</v>
      </c>
      <c r="L1138">
        <v>20</v>
      </c>
      <c r="M1138">
        <v>15</v>
      </c>
      <c r="P1138" t="s">
        <v>2272</v>
      </c>
      <c r="Q1138" t="s">
        <v>2566</v>
      </c>
      <c r="R1138" t="s">
        <v>2423</v>
      </c>
      <c r="S1138">
        <v>4</v>
      </c>
      <c r="T1138" t="s">
        <v>2274</v>
      </c>
      <c r="U1138" t="s">
        <v>2275</v>
      </c>
    </row>
    <row r="1139" spans="1:21" x14ac:dyDescent="0.25">
      <c r="A1139" t="s">
        <v>3536</v>
      </c>
      <c r="B1139" t="s">
        <v>541</v>
      </c>
      <c r="C1139" t="s">
        <v>353</v>
      </c>
      <c r="D1139" t="s">
        <v>24</v>
      </c>
      <c r="E1139" t="s">
        <v>1668</v>
      </c>
      <c r="F1139" t="s">
        <v>60</v>
      </c>
      <c r="G1139" t="s">
        <v>2425</v>
      </c>
      <c r="H1139" s="20">
        <v>46250</v>
      </c>
      <c r="I1139">
        <v>1800</v>
      </c>
      <c r="J1139">
        <v>75</v>
      </c>
      <c r="K1139">
        <v>55</v>
      </c>
      <c r="L1139">
        <v>20</v>
      </c>
      <c r="M1139">
        <v>15</v>
      </c>
      <c r="P1139" t="s">
        <v>2272</v>
      </c>
      <c r="Q1139" t="s">
        <v>2566</v>
      </c>
      <c r="R1139" t="s">
        <v>2423</v>
      </c>
      <c r="S1139">
        <v>4</v>
      </c>
      <c r="T1139" t="s">
        <v>2274</v>
      </c>
      <c r="U1139" t="s">
        <v>2275</v>
      </c>
    </row>
    <row r="1140" spans="1:21" x14ac:dyDescent="0.25">
      <c r="A1140" t="s">
        <v>3537</v>
      </c>
      <c r="B1140" t="s">
        <v>541</v>
      </c>
      <c r="C1140" t="s">
        <v>353</v>
      </c>
      <c r="D1140" t="s">
        <v>24</v>
      </c>
      <c r="E1140" t="s">
        <v>1669</v>
      </c>
      <c r="F1140" t="s">
        <v>478</v>
      </c>
      <c r="G1140" t="s">
        <v>2425</v>
      </c>
      <c r="H1140" s="20">
        <v>46250</v>
      </c>
      <c r="I1140">
        <v>1800</v>
      </c>
      <c r="J1140">
        <v>75</v>
      </c>
      <c r="K1140">
        <v>55</v>
      </c>
      <c r="L1140">
        <v>20</v>
      </c>
      <c r="M1140">
        <v>15</v>
      </c>
      <c r="P1140" t="s">
        <v>2272</v>
      </c>
      <c r="Q1140" t="s">
        <v>2566</v>
      </c>
      <c r="R1140" t="s">
        <v>2423</v>
      </c>
      <c r="S1140">
        <v>4</v>
      </c>
      <c r="T1140" t="s">
        <v>2274</v>
      </c>
      <c r="U1140" t="s">
        <v>2275</v>
      </c>
    </row>
    <row r="1141" spans="1:21" x14ac:dyDescent="0.25">
      <c r="A1141" t="s">
        <v>3538</v>
      </c>
      <c r="B1141" t="s">
        <v>541</v>
      </c>
      <c r="C1141" t="s">
        <v>353</v>
      </c>
      <c r="D1141" t="s">
        <v>24</v>
      </c>
      <c r="E1141" t="s">
        <v>1670</v>
      </c>
      <c r="F1141" t="s">
        <v>1021</v>
      </c>
      <c r="G1141" t="s">
        <v>2425</v>
      </c>
      <c r="H1141" s="20">
        <v>46250</v>
      </c>
      <c r="I1141">
        <v>1800</v>
      </c>
      <c r="J1141">
        <v>75</v>
      </c>
      <c r="K1141">
        <v>55</v>
      </c>
      <c r="L1141">
        <v>20</v>
      </c>
      <c r="M1141">
        <v>15</v>
      </c>
      <c r="P1141" t="s">
        <v>2272</v>
      </c>
      <c r="Q1141" t="s">
        <v>2566</v>
      </c>
      <c r="R1141" t="s">
        <v>2423</v>
      </c>
      <c r="S1141">
        <v>4</v>
      </c>
      <c r="T1141" t="s">
        <v>2274</v>
      </c>
      <c r="U1141" t="s">
        <v>2275</v>
      </c>
    </row>
    <row r="1142" spans="1:21" x14ac:dyDescent="0.25">
      <c r="A1142" t="s">
        <v>3539</v>
      </c>
      <c r="B1142" t="s">
        <v>541</v>
      </c>
      <c r="C1142" t="s">
        <v>353</v>
      </c>
      <c r="D1142" t="s">
        <v>21</v>
      </c>
      <c r="E1142" t="s">
        <v>1671</v>
      </c>
      <c r="F1142" t="s">
        <v>746</v>
      </c>
      <c r="G1142" t="s">
        <v>2444</v>
      </c>
      <c r="H1142" s="20">
        <v>46254</v>
      </c>
      <c r="I1142">
        <v>1500</v>
      </c>
      <c r="J1142">
        <v>80</v>
      </c>
      <c r="K1142">
        <v>55</v>
      </c>
      <c r="L1142">
        <v>28</v>
      </c>
      <c r="P1142" t="s">
        <v>2272</v>
      </c>
      <c r="Q1142" t="s">
        <v>3540</v>
      </c>
      <c r="R1142" t="s">
        <v>2446</v>
      </c>
      <c r="S1142">
        <v>11</v>
      </c>
      <c r="T1142" t="s">
        <v>3010</v>
      </c>
      <c r="U1142" t="s">
        <v>3011</v>
      </c>
    </row>
    <row r="1143" spans="1:21" x14ac:dyDescent="0.25">
      <c r="A1143" t="s">
        <v>3541</v>
      </c>
      <c r="B1143" t="s">
        <v>541</v>
      </c>
      <c r="C1143" t="s">
        <v>353</v>
      </c>
      <c r="D1143" t="s">
        <v>21</v>
      </c>
      <c r="E1143" t="s">
        <v>1672</v>
      </c>
      <c r="F1143" t="s">
        <v>70</v>
      </c>
      <c r="G1143" t="s">
        <v>2271</v>
      </c>
      <c r="H1143" s="20">
        <v>46254</v>
      </c>
      <c r="I1143">
        <v>1500</v>
      </c>
      <c r="J1143">
        <v>80</v>
      </c>
      <c r="K1143">
        <v>55</v>
      </c>
      <c r="L1143">
        <v>25</v>
      </c>
      <c r="M1143">
        <v>23</v>
      </c>
      <c r="N1143">
        <v>17</v>
      </c>
      <c r="O1143">
        <v>16</v>
      </c>
      <c r="P1143" t="s">
        <v>2272</v>
      </c>
      <c r="R1143" t="s">
        <v>2273</v>
      </c>
      <c r="S1143">
        <v>11</v>
      </c>
      <c r="T1143" t="s">
        <v>3010</v>
      </c>
      <c r="U1143" t="s">
        <v>3011</v>
      </c>
    </row>
    <row r="1144" spans="1:21" x14ac:dyDescent="0.25">
      <c r="A1144" t="s">
        <v>3542</v>
      </c>
      <c r="B1144" t="s">
        <v>541</v>
      </c>
      <c r="C1144" t="s">
        <v>353</v>
      </c>
      <c r="D1144" t="s">
        <v>21</v>
      </c>
      <c r="E1144" t="s">
        <v>1673</v>
      </c>
      <c r="F1144" t="s">
        <v>309</v>
      </c>
      <c r="G1144" t="s">
        <v>2271</v>
      </c>
      <c r="H1144" s="20">
        <v>46254</v>
      </c>
      <c r="I1144">
        <v>1500</v>
      </c>
      <c r="J1144">
        <v>80</v>
      </c>
      <c r="K1144">
        <v>55</v>
      </c>
      <c r="L1144">
        <v>25</v>
      </c>
      <c r="M1144">
        <v>23</v>
      </c>
      <c r="N1144">
        <v>17</v>
      </c>
      <c r="O1144">
        <v>16</v>
      </c>
      <c r="P1144" t="s">
        <v>2272</v>
      </c>
      <c r="R1144" t="s">
        <v>2273</v>
      </c>
      <c r="S1144">
        <v>11</v>
      </c>
      <c r="T1144" t="s">
        <v>3010</v>
      </c>
      <c r="U1144" t="s">
        <v>3011</v>
      </c>
    </row>
    <row r="1145" spans="1:21" x14ac:dyDescent="0.25">
      <c r="A1145" t="s">
        <v>3543</v>
      </c>
      <c r="B1145" t="s">
        <v>541</v>
      </c>
      <c r="C1145" t="s">
        <v>353</v>
      </c>
      <c r="D1145" t="s">
        <v>21</v>
      </c>
      <c r="E1145" t="s">
        <v>1674</v>
      </c>
      <c r="F1145" t="s">
        <v>513</v>
      </c>
      <c r="G1145" t="s">
        <v>2271</v>
      </c>
      <c r="H1145" s="20">
        <v>46254</v>
      </c>
      <c r="I1145">
        <v>1500</v>
      </c>
      <c r="J1145">
        <v>80</v>
      </c>
      <c r="K1145">
        <v>55</v>
      </c>
      <c r="L1145">
        <v>25</v>
      </c>
      <c r="M1145">
        <v>23</v>
      </c>
      <c r="N1145">
        <v>17</v>
      </c>
      <c r="O1145">
        <v>16</v>
      </c>
      <c r="P1145" t="s">
        <v>2272</v>
      </c>
      <c r="R1145" t="s">
        <v>2273</v>
      </c>
      <c r="S1145">
        <v>11</v>
      </c>
      <c r="T1145" t="s">
        <v>3010</v>
      </c>
      <c r="U1145" t="s">
        <v>3011</v>
      </c>
    </row>
    <row r="1146" spans="1:21" x14ac:dyDescent="0.25">
      <c r="A1146" t="s">
        <v>3544</v>
      </c>
      <c r="B1146" t="s">
        <v>541</v>
      </c>
      <c r="C1146" t="s">
        <v>353</v>
      </c>
      <c r="D1146" t="s">
        <v>21</v>
      </c>
      <c r="E1146" t="s">
        <v>1675</v>
      </c>
      <c r="F1146" t="s">
        <v>182</v>
      </c>
      <c r="G1146" t="s">
        <v>2271</v>
      </c>
      <c r="H1146" s="20">
        <v>46254</v>
      </c>
      <c r="I1146">
        <v>1500</v>
      </c>
      <c r="J1146">
        <v>80</v>
      </c>
      <c r="K1146">
        <v>55</v>
      </c>
      <c r="L1146">
        <v>25</v>
      </c>
      <c r="M1146">
        <v>23</v>
      </c>
      <c r="N1146">
        <v>17</v>
      </c>
      <c r="O1146">
        <v>16</v>
      </c>
      <c r="P1146" t="s">
        <v>2272</v>
      </c>
      <c r="R1146" t="s">
        <v>2273</v>
      </c>
      <c r="S1146">
        <v>11</v>
      </c>
      <c r="T1146" t="s">
        <v>3010</v>
      </c>
      <c r="U1146" t="s">
        <v>3011</v>
      </c>
    </row>
    <row r="1147" spans="1:21" x14ac:dyDescent="0.25">
      <c r="A1147" t="s">
        <v>3545</v>
      </c>
      <c r="B1147" t="s">
        <v>541</v>
      </c>
      <c r="C1147" t="s">
        <v>353</v>
      </c>
      <c r="D1147" t="s">
        <v>21</v>
      </c>
      <c r="E1147" t="s">
        <v>1203</v>
      </c>
      <c r="F1147" t="s">
        <v>322</v>
      </c>
      <c r="G1147" t="s">
        <v>2271</v>
      </c>
      <c r="H1147" s="20">
        <v>46254</v>
      </c>
      <c r="I1147">
        <v>1500</v>
      </c>
      <c r="J1147">
        <v>80</v>
      </c>
      <c r="K1147">
        <v>55</v>
      </c>
      <c r="L1147">
        <v>25</v>
      </c>
      <c r="M1147">
        <v>23</v>
      </c>
      <c r="N1147">
        <v>17</v>
      </c>
      <c r="O1147">
        <v>16</v>
      </c>
      <c r="P1147" t="s">
        <v>2272</v>
      </c>
      <c r="R1147" t="s">
        <v>2273</v>
      </c>
      <c r="S1147">
        <v>11</v>
      </c>
      <c r="T1147" t="s">
        <v>3010</v>
      </c>
      <c r="U1147" t="s">
        <v>3011</v>
      </c>
    </row>
    <row r="1148" spans="1:21" x14ac:dyDescent="0.25">
      <c r="A1148" t="s">
        <v>3546</v>
      </c>
      <c r="B1148" t="s">
        <v>541</v>
      </c>
      <c r="C1148" t="s">
        <v>353</v>
      </c>
      <c r="D1148" t="s">
        <v>21</v>
      </c>
      <c r="E1148" t="s">
        <v>1268</v>
      </c>
      <c r="F1148" t="s">
        <v>352</v>
      </c>
      <c r="G1148" t="s">
        <v>2271</v>
      </c>
      <c r="H1148" s="20">
        <v>46254</v>
      </c>
      <c r="I1148">
        <v>1500</v>
      </c>
      <c r="J1148">
        <v>80</v>
      </c>
      <c r="K1148">
        <v>55</v>
      </c>
      <c r="L1148">
        <v>25</v>
      </c>
      <c r="M1148">
        <v>23</v>
      </c>
      <c r="N1148">
        <v>17</v>
      </c>
      <c r="O1148">
        <v>16</v>
      </c>
      <c r="P1148" t="s">
        <v>2272</v>
      </c>
      <c r="R1148" t="s">
        <v>2273</v>
      </c>
      <c r="S1148">
        <v>11</v>
      </c>
      <c r="T1148" t="s">
        <v>3010</v>
      </c>
      <c r="U1148" t="s">
        <v>3011</v>
      </c>
    </row>
    <row r="1149" spans="1:21" x14ac:dyDescent="0.25">
      <c r="A1149" t="s">
        <v>3547</v>
      </c>
      <c r="B1149" t="s">
        <v>541</v>
      </c>
      <c r="C1149" t="s">
        <v>353</v>
      </c>
      <c r="D1149" t="s">
        <v>26</v>
      </c>
      <c r="E1149" t="s">
        <v>1676</v>
      </c>
      <c r="F1149" t="s">
        <v>637</v>
      </c>
      <c r="H1149" s="20"/>
      <c r="P1149" t="s">
        <v>2291</v>
      </c>
      <c r="R1149" t="s">
        <v>2292</v>
      </c>
    </row>
    <row r="1150" spans="1:21" x14ac:dyDescent="0.25">
      <c r="A1150" t="s">
        <v>3548</v>
      </c>
      <c r="B1150" t="s">
        <v>541</v>
      </c>
      <c r="C1150" t="s">
        <v>353</v>
      </c>
      <c r="D1150" t="s">
        <v>26</v>
      </c>
      <c r="E1150" t="s">
        <v>1676</v>
      </c>
      <c r="F1150" t="s">
        <v>395</v>
      </c>
      <c r="H1150" s="20"/>
      <c r="P1150" t="s">
        <v>2291</v>
      </c>
      <c r="R1150" t="s">
        <v>2292</v>
      </c>
    </row>
    <row r="1151" spans="1:21" x14ac:dyDescent="0.25">
      <c r="A1151" t="s">
        <v>3549</v>
      </c>
      <c r="B1151" t="s">
        <v>541</v>
      </c>
      <c r="C1151" t="s">
        <v>353</v>
      </c>
      <c r="D1151" t="s">
        <v>26</v>
      </c>
      <c r="E1151" t="s">
        <v>1677</v>
      </c>
      <c r="F1151" t="s">
        <v>466</v>
      </c>
      <c r="H1151" s="20"/>
      <c r="P1151" t="s">
        <v>2291</v>
      </c>
      <c r="R1151" t="s">
        <v>2292</v>
      </c>
    </row>
    <row r="1152" spans="1:21" x14ac:dyDescent="0.25">
      <c r="A1152" t="s">
        <v>3550</v>
      </c>
      <c r="B1152" t="s">
        <v>541</v>
      </c>
      <c r="C1152" t="s">
        <v>353</v>
      </c>
      <c r="D1152" t="s">
        <v>26</v>
      </c>
      <c r="E1152" t="s">
        <v>1678</v>
      </c>
      <c r="F1152" t="s">
        <v>352</v>
      </c>
      <c r="H1152" s="20"/>
      <c r="P1152" t="s">
        <v>2291</v>
      </c>
      <c r="R1152" t="s">
        <v>2292</v>
      </c>
    </row>
    <row r="1153" spans="1:21" x14ac:dyDescent="0.25">
      <c r="A1153" t="s">
        <v>3551</v>
      </c>
      <c r="B1153" t="s">
        <v>4</v>
      </c>
      <c r="C1153" t="s">
        <v>2</v>
      </c>
      <c r="D1153" t="s">
        <v>24</v>
      </c>
      <c r="E1153" t="s">
        <v>1680</v>
      </c>
      <c r="F1153" t="s">
        <v>1509</v>
      </c>
      <c r="G1153" t="s">
        <v>2271</v>
      </c>
      <c r="H1153" s="20">
        <v>46250</v>
      </c>
      <c r="I1153">
        <v>1800</v>
      </c>
      <c r="J1153">
        <v>81</v>
      </c>
      <c r="K1153">
        <v>71</v>
      </c>
      <c r="L1153">
        <v>47</v>
      </c>
      <c r="P1153" t="s">
        <v>2272</v>
      </c>
      <c r="Q1153" t="s">
        <v>3345</v>
      </c>
      <c r="R1153" t="s">
        <v>2423</v>
      </c>
      <c r="S1153">
        <v>4</v>
      </c>
      <c r="T1153" t="s">
        <v>2274</v>
      </c>
      <c r="U1153" t="s">
        <v>2275</v>
      </c>
    </row>
    <row r="1154" spans="1:21" x14ac:dyDescent="0.25">
      <c r="A1154" t="s">
        <v>3552</v>
      </c>
      <c r="B1154" t="s">
        <v>4</v>
      </c>
      <c r="C1154" t="s">
        <v>2</v>
      </c>
      <c r="D1154" t="s">
        <v>24</v>
      </c>
      <c r="E1154" t="s">
        <v>1681</v>
      </c>
      <c r="F1154" t="s">
        <v>637</v>
      </c>
      <c r="G1154" t="s">
        <v>2271</v>
      </c>
      <c r="H1154" s="20">
        <v>46250</v>
      </c>
      <c r="I1154">
        <v>1800</v>
      </c>
      <c r="J1154">
        <v>81</v>
      </c>
      <c r="K1154">
        <v>71</v>
      </c>
      <c r="L1154">
        <v>47</v>
      </c>
      <c r="P1154" t="s">
        <v>2272</v>
      </c>
      <c r="Q1154" t="s">
        <v>3345</v>
      </c>
      <c r="R1154" t="s">
        <v>2423</v>
      </c>
      <c r="S1154">
        <v>4</v>
      </c>
      <c r="T1154" t="s">
        <v>2274</v>
      </c>
      <c r="U1154" t="s">
        <v>2275</v>
      </c>
    </row>
    <row r="1155" spans="1:21" x14ac:dyDescent="0.25">
      <c r="A1155" t="s">
        <v>3553</v>
      </c>
      <c r="B1155" t="s">
        <v>4</v>
      </c>
      <c r="C1155" t="s">
        <v>2</v>
      </c>
      <c r="D1155" t="s">
        <v>24</v>
      </c>
      <c r="E1155" t="s">
        <v>1682</v>
      </c>
      <c r="F1155" t="s">
        <v>157</v>
      </c>
      <c r="G1155" t="s">
        <v>2271</v>
      </c>
      <c r="H1155" s="20">
        <v>46250</v>
      </c>
      <c r="I1155">
        <v>1800</v>
      </c>
      <c r="J1155">
        <v>81</v>
      </c>
      <c r="K1155">
        <v>71</v>
      </c>
      <c r="L1155">
        <v>47</v>
      </c>
      <c r="P1155" t="s">
        <v>2272</v>
      </c>
      <c r="Q1155" t="s">
        <v>3345</v>
      </c>
      <c r="R1155" t="s">
        <v>2423</v>
      </c>
      <c r="S1155">
        <v>4</v>
      </c>
      <c r="T1155" t="s">
        <v>2274</v>
      </c>
      <c r="U1155" t="s">
        <v>2275</v>
      </c>
    </row>
    <row r="1156" spans="1:21" x14ac:dyDescent="0.25">
      <c r="A1156" t="s">
        <v>3554</v>
      </c>
      <c r="B1156" t="s">
        <v>4</v>
      </c>
      <c r="C1156" t="s">
        <v>2</v>
      </c>
      <c r="D1156" t="s">
        <v>24</v>
      </c>
      <c r="E1156" t="s">
        <v>1683</v>
      </c>
      <c r="F1156" t="s">
        <v>228</v>
      </c>
      <c r="G1156" t="s">
        <v>2425</v>
      </c>
      <c r="H1156" s="20">
        <v>46250</v>
      </c>
      <c r="I1156">
        <v>1800</v>
      </c>
      <c r="J1156">
        <v>81</v>
      </c>
      <c r="K1156">
        <v>71</v>
      </c>
      <c r="L1156">
        <v>38</v>
      </c>
      <c r="M1156">
        <v>34</v>
      </c>
      <c r="N1156">
        <v>30</v>
      </c>
      <c r="P1156" t="s">
        <v>2272</v>
      </c>
      <c r="Q1156" t="s">
        <v>3064</v>
      </c>
      <c r="R1156" t="s">
        <v>2423</v>
      </c>
      <c r="S1156">
        <v>4</v>
      </c>
      <c r="T1156" t="s">
        <v>2274</v>
      </c>
      <c r="U1156" t="s">
        <v>2275</v>
      </c>
    </row>
    <row r="1157" spans="1:21" x14ac:dyDescent="0.25">
      <c r="A1157" t="s">
        <v>3555</v>
      </c>
      <c r="B1157" t="s">
        <v>4</v>
      </c>
      <c r="C1157" t="s">
        <v>2</v>
      </c>
      <c r="D1157" t="s">
        <v>24</v>
      </c>
      <c r="E1157" t="s">
        <v>1684</v>
      </c>
      <c r="F1157" t="s">
        <v>443</v>
      </c>
      <c r="G1157" t="s">
        <v>2425</v>
      </c>
      <c r="H1157" s="20">
        <v>46250</v>
      </c>
      <c r="I1157">
        <v>1800</v>
      </c>
      <c r="J1157">
        <v>81</v>
      </c>
      <c r="K1157">
        <v>71</v>
      </c>
      <c r="L1157">
        <v>38</v>
      </c>
      <c r="M1157">
        <v>34</v>
      </c>
      <c r="N1157">
        <v>30</v>
      </c>
      <c r="P1157" t="s">
        <v>2272</v>
      </c>
      <c r="Q1157" t="s">
        <v>3064</v>
      </c>
      <c r="R1157" t="s">
        <v>2423</v>
      </c>
      <c r="S1157">
        <v>4</v>
      </c>
      <c r="T1157" t="s">
        <v>2274</v>
      </c>
      <c r="U1157" t="s">
        <v>2275</v>
      </c>
    </row>
    <row r="1158" spans="1:21" x14ac:dyDescent="0.25">
      <c r="A1158" t="s">
        <v>3556</v>
      </c>
      <c r="B1158" t="s">
        <v>4</v>
      </c>
      <c r="C1158" t="s">
        <v>2</v>
      </c>
      <c r="D1158" t="s">
        <v>24</v>
      </c>
      <c r="E1158" t="s">
        <v>736</v>
      </c>
      <c r="F1158" t="s">
        <v>784</v>
      </c>
      <c r="G1158" t="s">
        <v>2425</v>
      </c>
      <c r="H1158" s="20">
        <v>46250</v>
      </c>
      <c r="I1158">
        <v>1800</v>
      </c>
      <c r="J1158">
        <v>81</v>
      </c>
      <c r="K1158">
        <v>71</v>
      </c>
      <c r="L1158">
        <v>38</v>
      </c>
      <c r="M1158">
        <v>34</v>
      </c>
      <c r="N1158">
        <v>30</v>
      </c>
      <c r="P1158" t="s">
        <v>2272</v>
      </c>
      <c r="Q1158" t="s">
        <v>3064</v>
      </c>
      <c r="R1158" t="s">
        <v>2423</v>
      </c>
      <c r="S1158">
        <v>4</v>
      </c>
      <c r="T1158" t="s">
        <v>2274</v>
      </c>
      <c r="U1158" t="s">
        <v>2275</v>
      </c>
    </row>
    <row r="1159" spans="1:21" x14ac:dyDescent="0.25">
      <c r="A1159" t="s">
        <v>3557</v>
      </c>
      <c r="B1159" t="s">
        <v>4</v>
      </c>
      <c r="C1159" t="s">
        <v>2</v>
      </c>
      <c r="D1159" t="s">
        <v>24</v>
      </c>
      <c r="E1159" t="s">
        <v>1685</v>
      </c>
      <c r="F1159" t="s">
        <v>1546</v>
      </c>
      <c r="G1159" t="s">
        <v>2425</v>
      </c>
      <c r="H1159" s="20">
        <v>46250</v>
      </c>
      <c r="I1159">
        <v>1800</v>
      </c>
      <c r="J1159">
        <v>81</v>
      </c>
      <c r="K1159">
        <v>71</v>
      </c>
      <c r="L1159">
        <v>38</v>
      </c>
      <c r="M1159">
        <v>34</v>
      </c>
      <c r="N1159">
        <v>30</v>
      </c>
      <c r="P1159" t="s">
        <v>2272</v>
      </c>
      <c r="Q1159" t="s">
        <v>3064</v>
      </c>
      <c r="R1159" t="s">
        <v>2423</v>
      </c>
      <c r="S1159">
        <v>4</v>
      </c>
      <c r="T1159" t="s">
        <v>2274</v>
      </c>
      <c r="U1159" t="s">
        <v>2275</v>
      </c>
    </row>
    <row r="1160" spans="1:21" x14ac:dyDescent="0.25">
      <c r="A1160" t="s">
        <v>3558</v>
      </c>
      <c r="B1160" t="s">
        <v>4</v>
      </c>
      <c r="C1160" t="s">
        <v>2</v>
      </c>
      <c r="D1160" t="s">
        <v>24</v>
      </c>
      <c r="E1160" t="s">
        <v>1686</v>
      </c>
      <c r="F1160" t="s">
        <v>466</v>
      </c>
      <c r="G1160" t="s">
        <v>2425</v>
      </c>
      <c r="H1160" s="20">
        <v>46250</v>
      </c>
      <c r="I1160">
        <v>1800</v>
      </c>
      <c r="J1160">
        <v>81</v>
      </c>
      <c r="K1160">
        <v>71</v>
      </c>
      <c r="L1160">
        <v>38</v>
      </c>
      <c r="M1160">
        <v>34</v>
      </c>
      <c r="N1160">
        <v>30</v>
      </c>
      <c r="P1160" t="s">
        <v>2272</v>
      </c>
      <c r="Q1160" t="s">
        <v>3064</v>
      </c>
      <c r="R1160" t="s">
        <v>2423</v>
      </c>
      <c r="S1160">
        <v>4</v>
      </c>
      <c r="T1160" t="s">
        <v>2274</v>
      </c>
      <c r="U1160" t="s">
        <v>2275</v>
      </c>
    </row>
    <row r="1161" spans="1:21" x14ac:dyDescent="0.25">
      <c r="A1161" t="s">
        <v>3559</v>
      </c>
      <c r="B1161" t="s">
        <v>4</v>
      </c>
      <c r="C1161" t="s">
        <v>2</v>
      </c>
      <c r="D1161" t="s">
        <v>24</v>
      </c>
      <c r="E1161" t="s">
        <v>1687</v>
      </c>
      <c r="F1161" t="s">
        <v>1164</v>
      </c>
      <c r="G1161" t="s">
        <v>2425</v>
      </c>
      <c r="H1161" s="20">
        <v>46250</v>
      </c>
      <c r="I1161">
        <v>1800</v>
      </c>
      <c r="J1161">
        <v>81</v>
      </c>
      <c r="K1161">
        <v>71</v>
      </c>
      <c r="L1161">
        <v>38</v>
      </c>
      <c r="M1161">
        <v>34</v>
      </c>
      <c r="N1161">
        <v>30</v>
      </c>
      <c r="P1161" t="s">
        <v>2272</v>
      </c>
      <c r="Q1161" t="s">
        <v>3064</v>
      </c>
      <c r="R1161" t="s">
        <v>2423</v>
      </c>
      <c r="S1161">
        <v>4</v>
      </c>
      <c r="T1161" t="s">
        <v>2274</v>
      </c>
      <c r="U1161" t="s">
        <v>2275</v>
      </c>
    </row>
    <row r="1162" spans="1:21" x14ac:dyDescent="0.25">
      <c r="A1162" t="s">
        <v>3560</v>
      </c>
      <c r="B1162" t="s">
        <v>4</v>
      </c>
      <c r="C1162" t="s">
        <v>2</v>
      </c>
      <c r="D1162" t="s">
        <v>24</v>
      </c>
      <c r="E1162" t="s">
        <v>1688</v>
      </c>
      <c r="F1162" t="s">
        <v>974</v>
      </c>
      <c r="G1162" t="s">
        <v>2425</v>
      </c>
      <c r="H1162" s="20">
        <v>46250</v>
      </c>
      <c r="I1162">
        <v>1800</v>
      </c>
      <c r="J1162">
        <v>81</v>
      </c>
      <c r="K1162">
        <v>71</v>
      </c>
      <c r="L1162">
        <v>38</v>
      </c>
      <c r="M1162">
        <v>34</v>
      </c>
      <c r="N1162">
        <v>30</v>
      </c>
      <c r="P1162" t="s">
        <v>2272</v>
      </c>
      <c r="Q1162" t="s">
        <v>3064</v>
      </c>
      <c r="R1162" t="s">
        <v>2423</v>
      </c>
      <c r="S1162">
        <v>4</v>
      </c>
      <c r="T1162" t="s">
        <v>2274</v>
      </c>
      <c r="U1162" t="s">
        <v>2275</v>
      </c>
    </row>
    <row r="1163" spans="1:21" x14ac:dyDescent="0.25">
      <c r="A1163" t="s">
        <v>3561</v>
      </c>
      <c r="B1163" t="s">
        <v>4</v>
      </c>
      <c r="C1163" t="s">
        <v>2</v>
      </c>
      <c r="D1163" t="s">
        <v>21</v>
      </c>
      <c r="E1163" t="s">
        <v>1689</v>
      </c>
      <c r="F1163" t="s">
        <v>319</v>
      </c>
      <c r="G1163" t="s">
        <v>2444</v>
      </c>
      <c r="H1163" s="20">
        <v>46254</v>
      </c>
      <c r="I1163">
        <v>1500</v>
      </c>
      <c r="J1163">
        <v>78</v>
      </c>
      <c r="K1163">
        <v>62</v>
      </c>
      <c r="L1163">
        <v>48</v>
      </c>
      <c r="P1163" t="s">
        <v>2272</v>
      </c>
      <c r="Q1163" t="s">
        <v>3562</v>
      </c>
      <c r="R1163" t="s">
        <v>2446</v>
      </c>
      <c r="S1163">
        <v>5</v>
      </c>
      <c r="T1163" t="s">
        <v>2319</v>
      </c>
      <c r="U1163" t="s">
        <v>2320</v>
      </c>
    </row>
    <row r="1164" spans="1:21" x14ac:dyDescent="0.25">
      <c r="A1164" t="s">
        <v>3563</v>
      </c>
      <c r="B1164" t="s">
        <v>4</v>
      </c>
      <c r="C1164" t="s">
        <v>2</v>
      </c>
      <c r="D1164" t="s">
        <v>21</v>
      </c>
      <c r="E1164" t="s">
        <v>1690</v>
      </c>
      <c r="F1164" t="s">
        <v>252</v>
      </c>
      <c r="G1164" t="s">
        <v>2271</v>
      </c>
      <c r="H1164" s="20">
        <v>46254</v>
      </c>
      <c r="I1164">
        <v>1500</v>
      </c>
      <c r="J1164">
        <v>68</v>
      </c>
      <c r="K1164">
        <v>55</v>
      </c>
      <c r="L1164">
        <v>30</v>
      </c>
      <c r="P1164" t="s">
        <v>2272</v>
      </c>
      <c r="R1164" t="s">
        <v>2273</v>
      </c>
      <c r="S1164">
        <v>7</v>
      </c>
      <c r="T1164" t="s">
        <v>2612</v>
      </c>
      <c r="U1164" t="s">
        <v>2613</v>
      </c>
    </row>
    <row r="1165" spans="1:21" x14ac:dyDescent="0.25">
      <c r="A1165" t="s">
        <v>3564</v>
      </c>
      <c r="B1165" t="s">
        <v>4</v>
      </c>
      <c r="C1165" t="s">
        <v>2</v>
      </c>
      <c r="D1165" t="s">
        <v>21</v>
      </c>
      <c r="E1165" t="s">
        <v>1691</v>
      </c>
      <c r="F1165" t="s">
        <v>159</v>
      </c>
      <c r="G1165" t="s">
        <v>2271</v>
      </c>
      <c r="H1165" s="20">
        <v>46254</v>
      </c>
      <c r="I1165">
        <v>1500</v>
      </c>
      <c r="J1165">
        <v>68</v>
      </c>
      <c r="K1165">
        <v>55</v>
      </c>
      <c r="L1165">
        <v>30</v>
      </c>
      <c r="P1165" t="s">
        <v>2272</v>
      </c>
      <c r="R1165" t="s">
        <v>2273</v>
      </c>
      <c r="S1165">
        <v>7</v>
      </c>
      <c r="T1165" t="s">
        <v>2612</v>
      </c>
      <c r="U1165" t="s">
        <v>2613</v>
      </c>
    </row>
    <row r="1166" spans="1:21" x14ac:dyDescent="0.25">
      <c r="A1166" t="s">
        <v>3565</v>
      </c>
      <c r="B1166" t="s">
        <v>4</v>
      </c>
      <c r="C1166" t="s">
        <v>2</v>
      </c>
      <c r="D1166" t="s">
        <v>21</v>
      </c>
      <c r="E1166" t="s">
        <v>1692</v>
      </c>
      <c r="F1166" t="s">
        <v>163</v>
      </c>
      <c r="G1166" t="s">
        <v>2271</v>
      </c>
      <c r="H1166" s="20">
        <v>46254</v>
      </c>
      <c r="I1166">
        <v>1500</v>
      </c>
      <c r="J1166">
        <v>68</v>
      </c>
      <c r="K1166">
        <v>55</v>
      </c>
      <c r="L1166">
        <v>30</v>
      </c>
      <c r="P1166" t="s">
        <v>2272</v>
      </c>
      <c r="R1166" t="s">
        <v>2273</v>
      </c>
      <c r="S1166">
        <v>7</v>
      </c>
      <c r="T1166" t="s">
        <v>2612</v>
      </c>
      <c r="U1166" t="s">
        <v>2613</v>
      </c>
    </row>
    <row r="1167" spans="1:21" x14ac:dyDescent="0.25">
      <c r="A1167" t="s">
        <v>3566</v>
      </c>
      <c r="B1167" t="s">
        <v>4</v>
      </c>
      <c r="C1167" t="s">
        <v>2</v>
      </c>
      <c r="D1167" t="s">
        <v>21</v>
      </c>
      <c r="E1167" t="s">
        <v>1693</v>
      </c>
      <c r="F1167" t="s">
        <v>165</v>
      </c>
      <c r="G1167" t="s">
        <v>2271</v>
      </c>
      <c r="H1167" s="20">
        <v>46254</v>
      </c>
      <c r="I1167">
        <v>1500</v>
      </c>
      <c r="J1167">
        <v>68</v>
      </c>
      <c r="K1167">
        <v>55</v>
      </c>
      <c r="L1167">
        <v>30</v>
      </c>
      <c r="P1167" t="s">
        <v>2272</v>
      </c>
      <c r="R1167" t="s">
        <v>2273</v>
      </c>
      <c r="S1167">
        <v>7</v>
      </c>
      <c r="T1167" t="s">
        <v>2612</v>
      </c>
      <c r="U1167" t="s">
        <v>2613</v>
      </c>
    </row>
    <row r="1168" spans="1:21" x14ac:dyDescent="0.25">
      <c r="A1168" t="s">
        <v>3567</v>
      </c>
      <c r="B1168" t="s">
        <v>4</v>
      </c>
      <c r="C1168" t="s">
        <v>2</v>
      </c>
      <c r="D1168" t="s">
        <v>21</v>
      </c>
      <c r="E1168" t="s">
        <v>1694</v>
      </c>
      <c r="F1168" t="s">
        <v>400</v>
      </c>
      <c r="G1168" t="s">
        <v>2271</v>
      </c>
      <c r="H1168" s="20">
        <v>46254</v>
      </c>
      <c r="I1168">
        <v>1500</v>
      </c>
      <c r="J1168">
        <v>68</v>
      </c>
      <c r="K1168">
        <v>55</v>
      </c>
      <c r="L1168">
        <v>30</v>
      </c>
      <c r="P1168" t="s">
        <v>2272</v>
      </c>
      <c r="R1168" t="s">
        <v>2273</v>
      </c>
      <c r="S1168">
        <v>7</v>
      </c>
      <c r="T1168" t="s">
        <v>2612</v>
      </c>
      <c r="U1168" t="s">
        <v>2613</v>
      </c>
    </row>
    <row r="1169" spans="1:21" x14ac:dyDescent="0.25">
      <c r="A1169" t="s">
        <v>3568</v>
      </c>
      <c r="B1169" t="s">
        <v>4</v>
      </c>
      <c r="C1169" t="s">
        <v>2</v>
      </c>
      <c r="D1169" t="s">
        <v>21</v>
      </c>
      <c r="E1169" t="s">
        <v>1695</v>
      </c>
      <c r="F1169" t="s">
        <v>342</v>
      </c>
      <c r="G1169" t="s">
        <v>2271</v>
      </c>
      <c r="H1169" s="20">
        <v>46254</v>
      </c>
      <c r="I1169">
        <v>1500</v>
      </c>
      <c r="J1169">
        <v>68</v>
      </c>
      <c r="K1169">
        <v>55</v>
      </c>
      <c r="L1169">
        <v>30</v>
      </c>
      <c r="P1169" t="s">
        <v>2272</v>
      </c>
      <c r="R1169" t="s">
        <v>2273</v>
      </c>
      <c r="S1169">
        <v>7</v>
      </c>
      <c r="T1169" t="s">
        <v>2612</v>
      </c>
      <c r="U1169" t="s">
        <v>2613</v>
      </c>
    </row>
    <row r="1170" spans="1:21" x14ac:dyDescent="0.25">
      <c r="A1170" t="s">
        <v>3569</v>
      </c>
      <c r="B1170" t="s">
        <v>4</v>
      </c>
      <c r="C1170" t="s">
        <v>2</v>
      </c>
      <c r="D1170" t="s">
        <v>21</v>
      </c>
      <c r="E1170" t="s">
        <v>1696</v>
      </c>
      <c r="F1170" t="s">
        <v>1376</v>
      </c>
      <c r="G1170" t="s">
        <v>2271</v>
      </c>
      <c r="H1170" s="20">
        <v>46254</v>
      </c>
      <c r="I1170">
        <v>1500</v>
      </c>
      <c r="J1170">
        <v>68</v>
      </c>
      <c r="K1170">
        <v>55</v>
      </c>
      <c r="L1170">
        <v>30</v>
      </c>
      <c r="P1170" t="s">
        <v>2272</v>
      </c>
      <c r="R1170" t="s">
        <v>2273</v>
      </c>
      <c r="S1170">
        <v>7</v>
      </c>
      <c r="T1170" t="s">
        <v>2612</v>
      </c>
      <c r="U1170" t="s">
        <v>2613</v>
      </c>
    </row>
    <row r="1171" spans="1:21" x14ac:dyDescent="0.25">
      <c r="A1171" t="s">
        <v>3570</v>
      </c>
      <c r="B1171" t="s">
        <v>4</v>
      </c>
      <c r="C1171" t="s">
        <v>353</v>
      </c>
      <c r="D1171" t="s">
        <v>24</v>
      </c>
      <c r="E1171" t="s">
        <v>1698</v>
      </c>
      <c r="F1171" t="s">
        <v>395</v>
      </c>
      <c r="G1171" t="s">
        <v>2271</v>
      </c>
      <c r="H1171" s="20">
        <v>46250</v>
      </c>
      <c r="I1171">
        <v>1800</v>
      </c>
      <c r="J1171">
        <v>78</v>
      </c>
      <c r="K1171">
        <v>68</v>
      </c>
      <c r="L1171">
        <v>60</v>
      </c>
      <c r="P1171" t="s">
        <v>2272</v>
      </c>
      <c r="Q1171" t="s">
        <v>3345</v>
      </c>
      <c r="R1171" t="s">
        <v>2423</v>
      </c>
      <c r="S1171">
        <v>4</v>
      </c>
      <c r="T1171" t="s">
        <v>2274</v>
      </c>
      <c r="U1171" t="s">
        <v>2275</v>
      </c>
    </row>
    <row r="1172" spans="1:21" x14ac:dyDescent="0.25">
      <c r="A1172" t="s">
        <v>3571</v>
      </c>
      <c r="B1172" t="s">
        <v>4</v>
      </c>
      <c r="C1172" t="s">
        <v>353</v>
      </c>
      <c r="D1172" t="s">
        <v>24</v>
      </c>
      <c r="E1172" t="s">
        <v>1699</v>
      </c>
      <c r="F1172" t="s">
        <v>66</v>
      </c>
      <c r="G1172" t="s">
        <v>2271</v>
      </c>
      <c r="H1172" s="20">
        <v>46250</v>
      </c>
      <c r="I1172">
        <v>1800</v>
      </c>
      <c r="J1172">
        <v>78</v>
      </c>
      <c r="K1172">
        <v>68</v>
      </c>
      <c r="L1172">
        <v>60</v>
      </c>
      <c r="P1172" t="s">
        <v>2272</v>
      </c>
      <c r="Q1172" t="s">
        <v>3345</v>
      </c>
      <c r="R1172" t="s">
        <v>2423</v>
      </c>
      <c r="S1172">
        <v>4</v>
      </c>
      <c r="T1172" t="s">
        <v>2274</v>
      </c>
      <c r="U1172" t="s">
        <v>2275</v>
      </c>
    </row>
    <row r="1173" spans="1:21" x14ac:dyDescent="0.25">
      <c r="A1173" t="s">
        <v>3572</v>
      </c>
      <c r="B1173" t="s">
        <v>4</v>
      </c>
      <c r="C1173" t="s">
        <v>353</v>
      </c>
      <c r="D1173" t="s">
        <v>24</v>
      </c>
      <c r="E1173" t="s">
        <v>1700</v>
      </c>
      <c r="F1173" t="s">
        <v>488</v>
      </c>
      <c r="G1173" t="s">
        <v>2271</v>
      </c>
      <c r="H1173" s="20">
        <v>46250</v>
      </c>
      <c r="I1173">
        <v>1800</v>
      </c>
      <c r="J1173">
        <v>78</v>
      </c>
      <c r="K1173">
        <v>68</v>
      </c>
      <c r="L1173">
        <v>60</v>
      </c>
      <c r="P1173" t="s">
        <v>2272</v>
      </c>
      <c r="Q1173" t="s">
        <v>3345</v>
      </c>
      <c r="R1173" t="s">
        <v>2423</v>
      </c>
      <c r="S1173">
        <v>4</v>
      </c>
      <c r="T1173" t="s">
        <v>2274</v>
      </c>
      <c r="U1173" t="s">
        <v>2275</v>
      </c>
    </row>
    <row r="1174" spans="1:21" x14ac:dyDescent="0.25">
      <c r="A1174" t="s">
        <v>3573</v>
      </c>
      <c r="B1174" t="s">
        <v>4</v>
      </c>
      <c r="C1174" t="s">
        <v>353</v>
      </c>
      <c r="D1174" t="s">
        <v>24</v>
      </c>
      <c r="E1174" t="s">
        <v>1701</v>
      </c>
      <c r="F1174" t="s">
        <v>772</v>
      </c>
      <c r="G1174" t="s">
        <v>2271</v>
      </c>
      <c r="H1174" s="20">
        <v>46250</v>
      </c>
      <c r="I1174">
        <v>1800</v>
      </c>
      <c r="J1174">
        <v>78</v>
      </c>
      <c r="K1174">
        <v>68</v>
      </c>
      <c r="L1174">
        <v>60</v>
      </c>
      <c r="P1174" t="s">
        <v>2272</v>
      </c>
      <c r="Q1174" t="s">
        <v>3345</v>
      </c>
      <c r="R1174" t="s">
        <v>2423</v>
      </c>
      <c r="S1174">
        <v>4</v>
      </c>
      <c r="T1174" t="s">
        <v>2274</v>
      </c>
      <c r="U1174" t="s">
        <v>2275</v>
      </c>
    </row>
    <row r="1175" spans="1:21" x14ac:dyDescent="0.25">
      <c r="A1175" t="s">
        <v>3574</v>
      </c>
      <c r="B1175" t="s">
        <v>4</v>
      </c>
      <c r="C1175" t="s">
        <v>353</v>
      </c>
      <c r="D1175" t="s">
        <v>24</v>
      </c>
      <c r="E1175" t="s">
        <v>1702</v>
      </c>
      <c r="F1175" t="s">
        <v>890</v>
      </c>
      <c r="G1175" t="s">
        <v>2271</v>
      </c>
      <c r="H1175" s="20">
        <v>46250</v>
      </c>
      <c r="I1175">
        <v>1800</v>
      </c>
      <c r="J1175">
        <v>78</v>
      </c>
      <c r="K1175">
        <v>68</v>
      </c>
      <c r="L1175">
        <v>60</v>
      </c>
      <c r="P1175" t="s">
        <v>2272</v>
      </c>
      <c r="Q1175" t="s">
        <v>3345</v>
      </c>
      <c r="R1175" t="s">
        <v>2423</v>
      </c>
      <c r="S1175">
        <v>4</v>
      </c>
      <c r="T1175" t="s">
        <v>2274</v>
      </c>
      <c r="U1175" t="s">
        <v>2275</v>
      </c>
    </row>
    <row r="1176" spans="1:21" x14ac:dyDescent="0.25">
      <c r="A1176" t="s">
        <v>3575</v>
      </c>
      <c r="B1176" t="s">
        <v>4</v>
      </c>
      <c r="C1176" t="s">
        <v>353</v>
      </c>
      <c r="D1176" t="s">
        <v>24</v>
      </c>
      <c r="E1176" t="s">
        <v>1703</v>
      </c>
      <c r="F1176" t="s">
        <v>1030</v>
      </c>
      <c r="G1176" t="s">
        <v>2425</v>
      </c>
      <c r="H1176" s="20">
        <v>46250</v>
      </c>
      <c r="I1176">
        <v>1800</v>
      </c>
      <c r="J1176">
        <v>78</v>
      </c>
      <c r="K1176">
        <v>68</v>
      </c>
      <c r="L1176">
        <v>40</v>
      </c>
      <c r="P1176" t="s">
        <v>2272</v>
      </c>
      <c r="Q1176" t="s">
        <v>3064</v>
      </c>
      <c r="R1176" t="s">
        <v>2423</v>
      </c>
      <c r="S1176">
        <v>4</v>
      </c>
      <c r="T1176" t="s">
        <v>2274</v>
      </c>
      <c r="U1176" t="s">
        <v>2275</v>
      </c>
    </row>
    <row r="1177" spans="1:21" x14ac:dyDescent="0.25">
      <c r="A1177" t="s">
        <v>3576</v>
      </c>
      <c r="B1177" t="s">
        <v>4</v>
      </c>
      <c r="C1177" t="s">
        <v>353</v>
      </c>
      <c r="D1177" t="s">
        <v>24</v>
      </c>
      <c r="E1177" t="s">
        <v>1704</v>
      </c>
      <c r="F1177" t="s">
        <v>836</v>
      </c>
      <c r="G1177" t="s">
        <v>2425</v>
      </c>
      <c r="H1177" s="20">
        <v>46250</v>
      </c>
      <c r="I1177">
        <v>1800</v>
      </c>
      <c r="J1177">
        <v>78</v>
      </c>
      <c r="K1177">
        <v>68</v>
      </c>
      <c r="L1177">
        <v>40</v>
      </c>
      <c r="P1177" t="s">
        <v>2272</v>
      </c>
      <c r="Q1177" t="s">
        <v>3064</v>
      </c>
      <c r="R1177" t="s">
        <v>2423</v>
      </c>
      <c r="S1177">
        <v>4</v>
      </c>
      <c r="T1177" t="s">
        <v>2274</v>
      </c>
      <c r="U1177" t="s">
        <v>2275</v>
      </c>
    </row>
    <row r="1178" spans="1:21" x14ac:dyDescent="0.25">
      <c r="A1178" t="s">
        <v>3577</v>
      </c>
      <c r="B1178" t="s">
        <v>4</v>
      </c>
      <c r="C1178" t="s">
        <v>353</v>
      </c>
      <c r="D1178" t="s">
        <v>24</v>
      </c>
      <c r="E1178" t="s">
        <v>1705</v>
      </c>
      <c r="F1178" t="s">
        <v>832</v>
      </c>
      <c r="G1178" t="s">
        <v>2425</v>
      </c>
      <c r="H1178" s="20">
        <v>46250</v>
      </c>
      <c r="I1178">
        <v>1800</v>
      </c>
      <c r="J1178">
        <v>78</v>
      </c>
      <c r="K1178">
        <v>68</v>
      </c>
      <c r="L1178">
        <v>40</v>
      </c>
      <c r="P1178" t="s">
        <v>2272</v>
      </c>
      <c r="Q1178" t="s">
        <v>3064</v>
      </c>
      <c r="R1178" t="s">
        <v>2423</v>
      </c>
      <c r="S1178">
        <v>4</v>
      </c>
      <c r="T1178" t="s">
        <v>2274</v>
      </c>
      <c r="U1178" t="s">
        <v>2275</v>
      </c>
    </row>
    <row r="1179" spans="1:21" x14ac:dyDescent="0.25">
      <c r="A1179" t="s">
        <v>3578</v>
      </c>
      <c r="B1179" t="s">
        <v>4</v>
      </c>
      <c r="C1179" t="s">
        <v>353</v>
      </c>
      <c r="D1179" t="s">
        <v>24</v>
      </c>
      <c r="E1179" t="s">
        <v>1706</v>
      </c>
      <c r="F1179" t="s">
        <v>212</v>
      </c>
      <c r="G1179" t="s">
        <v>2425</v>
      </c>
      <c r="H1179" s="20">
        <v>46250</v>
      </c>
      <c r="I1179">
        <v>1800</v>
      </c>
      <c r="J1179">
        <v>78</v>
      </c>
      <c r="K1179">
        <v>68</v>
      </c>
      <c r="L1179">
        <v>40</v>
      </c>
      <c r="P1179" t="s">
        <v>2272</v>
      </c>
      <c r="Q1179" t="s">
        <v>3064</v>
      </c>
      <c r="R1179" t="s">
        <v>2423</v>
      </c>
      <c r="S1179">
        <v>4</v>
      </c>
      <c r="T1179" t="s">
        <v>2274</v>
      </c>
      <c r="U1179" t="s">
        <v>2275</v>
      </c>
    </row>
    <row r="1180" spans="1:21" x14ac:dyDescent="0.25">
      <c r="A1180" t="s">
        <v>3579</v>
      </c>
      <c r="B1180" t="s">
        <v>4</v>
      </c>
      <c r="C1180" t="s">
        <v>353</v>
      </c>
      <c r="D1180" t="s">
        <v>24</v>
      </c>
      <c r="E1180" t="s">
        <v>1707</v>
      </c>
      <c r="F1180" t="s">
        <v>1319</v>
      </c>
      <c r="G1180" t="s">
        <v>2425</v>
      </c>
      <c r="H1180" s="20">
        <v>46250</v>
      </c>
      <c r="I1180">
        <v>1800</v>
      </c>
      <c r="J1180">
        <v>78</v>
      </c>
      <c r="K1180">
        <v>68</v>
      </c>
      <c r="L1180">
        <v>40</v>
      </c>
      <c r="P1180" t="s">
        <v>2272</v>
      </c>
      <c r="Q1180" t="s">
        <v>3064</v>
      </c>
      <c r="R1180" t="s">
        <v>2423</v>
      </c>
      <c r="S1180">
        <v>4</v>
      </c>
      <c r="T1180" t="s">
        <v>2274</v>
      </c>
      <c r="U1180" t="s">
        <v>2275</v>
      </c>
    </row>
    <row r="1181" spans="1:21" x14ac:dyDescent="0.25">
      <c r="A1181" t="s">
        <v>3580</v>
      </c>
      <c r="B1181" t="s">
        <v>4</v>
      </c>
      <c r="C1181" t="s">
        <v>353</v>
      </c>
      <c r="D1181" t="s">
        <v>24</v>
      </c>
      <c r="E1181" t="s">
        <v>1708</v>
      </c>
      <c r="F1181" t="s">
        <v>801</v>
      </c>
      <c r="G1181" t="s">
        <v>2425</v>
      </c>
      <c r="H1181" s="20">
        <v>46250</v>
      </c>
      <c r="I1181">
        <v>1800</v>
      </c>
      <c r="J1181">
        <v>78</v>
      </c>
      <c r="K1181">
        <v>68</v>
      </c>
      <c r="L1181">
        <v>40</v>
      </c>
      <c r="P1181" t="s">
        <v>2272</v>
      </c>
      <c r="Q1181" t="s">
        <v>3064</v>
      </c>
      <c r="R1181" t="s">
        <v>2423</v>
      </c>
      <c r="S1181">
        <v>4</v>
      </c>
      <c r="T1181" t="s">
        <v>2274</v>
      </c>
      <c r="U1181" t="s">
        <v>2275</v>
      </c>
    </row>
    <row r="1182" spans="1:21" x14ac:dyDescent="0.25">
      <c r="A1182" t="s">
        <v>3581</v>
      </c>
      <c r="B1182" t="s">
        <v>4</v>
      </c>
      <c r="C1182" t="s">
        <v>353</v>
      </c>
      <c r="D1182" t="s">
        <v>24</v>
      </c>
      <c r="E1182" t="s">
        <v>1709</v>
      </c>
      <c r="F1182" t="s">
        <v>147</v>
      </c>
      <c r="G1182" t="s">
        <v>2425</v>
      </c>
      <c r="H1182" s="20">
        <v>46250</v>
      </c>
      <c r="I1182">
        <v>1800</v>
      </c>
      <c r="J1182">
        <v>78</v>
      </c>
      <c r="K1182">
        <v>68</v>
      </c>
      <c r="L1182">
        <v>40</v>
      </c>
      <c r="P1182" t="s">
        <v>2272</v>
      </c>
      <c r="Q1182" t="s">
        <v>3064</v>
      </c>
      <c r="R1182" t="s">
        <v>2423</v>
      </c>
      <c r="S1182">
        <v>4</v>
      </c>
      <c r="T1182" t="s">
        <v>2274</v>
      </c>
      <c r="U1182" t="s">
        <v>2275</v>
      </c>
    </row>
    <row r="1183" spans="1:21" x14ac:dyDescent="0.25">
      <c r="A1183" t="s">
        <v>3582</v>
      </c>
      <c r="B1183" t="s">
        <v>4</v>
      </c>
      <c r="C1183" t="s">
        <v>353</v>
      </c>
      <c r="D1183" t="s">
        <v>24</v>
      </c>
      <c r="E1183" t="s">
        <v>1710</v>
      </c>
      <c r="F1183" t="s">
        <v>390</v>
      </c>
      <c r="G1183" t="s">
        <v>2425</v>
      </c>
      <c r="H1183" s="20">
        <v>46250</v>
      </c>
      <c r="I1183">
        <v>1800</v>
      </c>
      <c r="J1183">
        <v>78</v>
      </c>
      <c r="K1183">
        <v>68</v>
      </c>
      <c r="L1183">
        <v>40</v>
      </c>
      <c r="P1183" t="s">
        <v>2272</v>
      </c>
      <c r="Q1183" t="s">
        <v>3064</v>
      </c>
      <c r="R1183" t="s">
        <v>2423</v>
      </c>
      <c r="S1183">
        <v>4</v>
      </c>
      <c r="T1183" t="s">
        <v>2274</v>
      </c>
      <c r="U1183" t="s">
        <v>2275</v>
      </c>
    </row>
    <row r="1184" spans="1:21" x14ac:dyDescent="0.25">
      <c r="A1184" t="s">
        <v>3583</v>
      </c>
      <c r="B1184" t="s">
        <v>4</v>
      </c>
      <c r="C1184" t="s">
        <v>353</v>
      </c>
      <c r="D1184" t="s">
        <v>24</v>
      </c>
      <c r="E1184" t="s">
        <v>1711</v>
      </c>
      <c r="F1184" t="s">
        <v>60</v>
      </c>
      <c r="G1184" t="s">
        <v>2425</v>
      </c>
      <c r="H1184" s="20">
        <v>46250</v>
      </c>
      <c r="I1184">
        <v>1800</v>
      </c>
      <c r="J1184">
        <v>78</v>
      </c>
      <c r="K1184">
        <v>68</v>
      </c>
      <c r="L1184">
        <v>40</v>
      </c>
      <c r="P1184" t="s">
        <v>2272</v>
      </c>
      <c r="Q1184" t="s">
        <v>3064</v>
      </c>
      <c r="R1184" t="s">
        <v>2423</v>
      </c>
      <c r="S1184">
        <v>4</v>
      </c>
      <c r="T1184" t="s">
        <v>2274</v>
      </c>
      <c r="U1184" t="s">
        <v>2275</v>
      </c>
    </row>
    <row r="1185" spans="1:21" x14ac:dyDescent="0.25">
      <c r="A1185" t="s">
        <v>3584</v>
      </c>
      <c r="B1185" t="s">
        <v>4</v>
      </c>
      <c r="C1185" t="s">
        <v>353</v>
      </c>
      <c r="D1185" t="s">
        <v>24</v>
      </c>
      <c r="E1185" t="s">
        <v>1712</v>
      </c>
      <c r="F1185" t="s">
        <v>530</v>
      </c>
      <c r="G1185" t="s">
        <v>2425</v>
      </c>
      <c r="H1185" s="20">
        <v>46250</v>
      </c>
      <c r="I1185">
        <v>1800</v>
      </c>
      <c r="J1185">
        <v>78</v>
      </c>
      <c r="K1185">
        <v>68</v>
      </c>
      <c r="L1185">
        <v>40</v>
      </c>
      <c r="P1185" t="s">
        <v>2272</v>
      </c>
      <c r="Q1185" t="s">
        <v>3064</v>
      </c>
      <c r="R1185" t="s">
        <v>2423</v>
      </c>
      <c r="S1185">
        <v>4</v>
      </c>
      <c r="T1185" t="s">
        <v>2274</v>
      </c>
      <c r="U1185" t="s">
        <v>2275</v>
      </c>
    </row>
    <row r="1186" spans="1:21" x14ac:dyDescent="0.25">
      <c r="A1186" t="s">
        <v>3585</v>
      </c>
      <c r="B1186" t="s">
        <v>4</v>
      </c>
      <c r="C1186" t="s">
        <v>353</v>
      </c>
      <c r="D1186" t="s">
        <v>24</v>
      </c>
      <c r="E1186" t="s">
        <v>1713</v>
      </c>
      <c r="F1186" t="s">
        <v>293</v>
      </c>
      <c r="G1186" t="s">
        <v>2425</v>
      </c>
      <c r="H1186" s="20">
        <v>46250</v>
      </c>
      <c r="I1186">
        <v>1800</v>
      </c>
      <c r="J1186">
        <v>78</v>
      </c>
      <c r="K1186">
        <v>68</v>
      </c>
      <c r="L1186">
        <v>40</v>
      </c>
      <c r="P1186" t="s">
        <v>2272</v>
      </c>
      <c r="Q1186" t="s">
        <v>3064</v>
      </c>
      <c r="R1186" t="s">
        <v>2423</v>
      </c>
      <c r="S1186">
        <v>4</v>
      </c>
      <c r="T1186" t="s">
        <v>2274</v>
      </c>
      <c r="U1186" t="s">
        <v>2275</v>
      </c>
    </row>
    <row r="1187" spans="1:21" x14ac:dyDescent="0.25">
      <c r="A1187" t="s">
        <v>3586</v>
      </c>
      <c r="B1187" t="s">
        <v>4</v>
      </c>
      <c r="C1187" t="s">
        <v>353</v>
      </c>
      <c r="D1187" t="s">
        <v>24</v>
      </c>
      <c r="E1187" t="s">
        <v>1714</v>
      </c>
      <c r="F1187" t="s">
        <v>317</v>
      </c>
      <c r="G1187" t="s">
        <v>2425</v>
      </c>
      <c r="H1187" s="20">
        <v>46250</v>
      </c>
      <c r="I1187">
        <v>1800</v>
      </c>
      <c r="J1187">
        <v>78</v>
      </c>
      <c r="K1187">
        <v>68</v>
      </c>
      <c r="L1187">
        <v>40</v>
      </c>
      <c r="P1187" t="s">
        <v>2272</v>
      </c>
      <c r="Q1187" t="s">
        <v>3064</v>
      </c>
      <c r="R1187" t="s">
        <v>2423</v>
      </c>
      <c r="S1187">
        <v>4</v>
      </c>
      <c r="T1187" t="s">
        <v>2274</v>
      </c>
      <c r="U1187" t="s">
        <v>2275</v>
      </c>
    </row>
    <row r="1188" spans="1:21" x14ac:dyDescent="0.25">
      <c r="A1188" t="s">
        <v>3587</v>
      </c>
      <c r="B1188" t="s">
        <v>4</v>
      </c>
      <c r="C1188" t="s">
        <v>353</v>
      </c>
      <c r="D1188" t="s">
        <v>24</v>
      </c>
      <c r="E1188" t="s">
        <v>1715</v>
      </c>
      <c r="F1188" t="s">
        <v>674</v>
      </c>
      <c r="G1188" t="s">
        <v>2425</v>
      </c>
      <c r="H1188" s="20">
        <v>46250</v>
      </c>
      <c r="I1188">
        <v>1800</v>
      </c>
      <c r="J1188">
        <v>78</v>
      </c>
      <c r="K1188">
        <v>68</v>
      </c>
      <c r="L1188">
        <v>40</v>
      </c>
      <c r="P1188" t="s">
        <v>2272</v>
      </c>
      <c r="Q1188" t="s">
        <v>3064</v>
      </c>
      <c r="R1188" t="s">
        <v>2423</v>
      </c>
      <c r="S1188">
        <v>4</v>
      </c>
      <c r="T1188" t="s">
        <v>2274</v>
      </c>
      <c r="U1188" t="s">
        <v>2275</v>
      </c>
    </row>
    <row r="1189" spans="1:21" x14ac:dyDescent="0.25">
      <c r="A1189" t="s">
        <v>3588</v>
      </c>
      <c r="B1189" t="s">
        <v>4</v>
      </c>
      <c r="C1189" t="s">
        <v>353</v>
      </c>
      <c r="D1189" t="s">
        <v>24</v>
      </c>
      <c r="E1189" t="s">
        <v>1716</v>
      </c>
      <c r="F1189" t="s">
        <v>458</v>
      </c>
      <c r="G1189" t="s">
        <v>2425</v>
      </c>
      <c r="H1189" s="20">
        <v>46250</v>
      </c>
      <c r="I1189">
        <v>1800</v>
      </c>
      <c r="J1189">
        <v>78</v>
      </c>
      <c r="K1189">
        <v>68</v>
      </c>
      <c r="L1189">
        <v>40</v>
      </c>
      <c r="P1189" t="s">
        <v>2272</v>
      </c>
      <c r="Q1189" t="s">
        <v>3064</v>
      </c>
      <c r="R1189" t="s">
        <v>2423</v>
      </c>
      <c r="S1189">
        <v>4</v>
      </c>
      <c r="T1189" t="s">
        <v>2274</v>
      </c>
      <c r="U1189" t="s">
        <v>2275</v>
      </c>
    </row>
    <row r="1190" spans="1:21" x14ac:dyDescent="0.25">
      <c r="A1190" t="s">
        <v>3589</v>
      </c>
      <c r="B1190" t="s">
        <v>4</v>
      </c>
      <c r="C1190" t="s">
        <v>353</v>
      </c>
      <c r="D1190" t="s">
        <v>24</v>
      </c>
      <c r="E1190" t="s">
        <v>1717</v>
      </c>
      <c r="F1190" t="s">
        <v>121</v>
      </c>
      <c r="G1190" t="s">
        <v>2425</v>
      </c>
      <c r="H1190" s="20">
        <v>46250</v>
      </c>
      <c r="I1190">
        <v>1800</v>
      </c>
      <c r="J1190">
        <v>78</v>
      </c>
      <c r="K1190">
        <v>68</v>
      </c>
      <c r="L1190">
        <v>40</v>
      </c>
      <c r="P1190" t="s">
        <v>2272</v>
      </c>
      <c r="Q1190" t="s">
        <v>3064</v>
      </c>
      <c r="R1190" t="s">
        <v>2423</v>
      </c>
      <c r="S1190">
        <v>4</v>
      </c>
      <c r="T1190" t="s">
        <v>2274</v>
      </c>
      <c r="U1190" t="s">
        <v>2275</v>
      </c>
    </row>
    <row r="1191" spans="1:21" x14ac:dyDescent="0.25">
      <c r="A1191" t="s">
        <v>3590</v>
      </c>
      <c r="B1191" t="s">
        <v>4</v>
      </c>
      <c r="C1191" t="s">
        <v>353</v>
      </c>
      <c r="D1191" t="s">
        <v>24</v>
      </c>
      <c r="E1191" t="s">
        <v>1718</v>
      </c>
      <c r="F1191" t="s">
        <v>473</v>
      </c>
      <c r="G1191" t="s">
        <v>2425</v>
      </c>
      <c r="H1191" s="20">
        <v>46250</v>
      </c>
      <c r="I1191">
        <v>1800</v>
      </c>
      <c r="J1191">
        <v>78</v>
      </c>
      <c r="K1191">
        <v>68</v>
      </c>
      <c r="L1191">
        <v>40</v>
      </c>
      <c r="P1191" t="s">
        <v>2272</v>
      </c>
      <c r="Q1191" t="s">
        <v>3064</v>
      </c>
      <c r="R1191" t="s">
        <v>2423</v>
      </c>
      <c r="S1191">
        <v>4</v>
      </c>
      <c r="T1191" t="s">
        <v>2274</v>
      </c>
      <c r="U1191" t="s">
        <v>2275</v>
      </c>
    </row>
    <row r="1192" spans="1:21" x14ac:dyDescent="0.25">
      <c r="A1192" t="s">
        <v>3591</v>
      </c>
      <c r="B1192" t="s">
        <v>4</v>
      </c>
      <c r="C1192" t="s">
        <v>353</v>
      </c>
      <c r="D1192" t="s">
        <v>24</v>
      </c>
      <c r="E1192" t="s">
        <v>1719</v>
      </c>
      <c r="F1192" t="s">
        <v>1108</v>
      </c>
      <c r="G1192" t="s">
        <v>2425</v>
      </c>
      <c r="H1192" s="20">
        <v>46250</v>
      </c>
      <c r="I1192">
        <v>1800</v>
      </c>
      <c r="J1192">
        <v>78</v>
      </c>
      <c r="K1192">
        <v>68</v>
      </c>
      <c r="L1192">
        <v>40</v>
      </c>
      <c r="P1192" t="s">
        <v>2272</v>
      </c>
      <c r="Q1192" t="s">
        <v>3064</v>
      </c>
      <c r="R1192" t="s">
        <v>2423</v>
      </c>
      <c r="S1192">
        <v>4</v>
      </c>
      <c r="T1192" t="s">
        <v>2274</v>
      </c>
      <c r="U1192" t="s">
        <v>2275</v>
      </c>
    </row>
    <row r="1193" spans="1:21" x14ac:dyDescent="0.25">
      <c r="A1193" t="s">
        <v>3592</v>
      </c>
      <c r="B1193" t="s">
        <v>4</v>
      </c>
      <c r="C1193" t="s">
        <v>353</v>
      </c>
      <c r="D1193" t="s">
        <v>21</v>
      </c>
      <c r="E1193" t="s">
        <v>1720</v>
      </c>
      <c r="F1193" t="s">
        <v>1251</v>
      </c>
      <c r="G1193" t="s">
        <v>2271</v>
      </c>
      <c r="H1193" s="20">
        <v>46254</v>
      </c>
      <c r="I1193">
        <v>1500</v>
      </c>
      <c r="J1193">
        <v>71</v>
      </c>
      <c r="K1193">
        <v>55</v>
      </c>
      <c r="L1193">
        <v>25</v>
      </c>
      <c r="P1193" t="s">
        <v>2272</v>
      </c>
      <c r="R1193" t="s">
        <v>2273</v>
      </c>
      <c r="S1193">
        <v>11</v>
      </c>
      <c r="T1193" t="s">
        <v>3010</v>
      </c>
      <c r="U1193" t="s">
        <v>3011</v>
      </c>
    </row>
    <row r="1194" spans="1:21" x14ac:dyDescent="0.25">
      <c r="A1194" t="s">
        <v>3593</v>
      </c>
      <c r="B1194" t="s">
        <v>4</v>
      </c>
      <c r="C1194" t="s">
        <v>353</v>
      </c>
      <c r="D1194" t="s">
        <v>21</v>
      </c>
      <c r="E1194" t="s">
        <v>1721</v>
      </c>
      <c r="F1194" t="s">
        <v>199</v>
      </c>
      <c r="G1194" t="s">
        <v>2444</v>
      </c>
      <c r="H1194" s="20">
        <v>46254</v>
      </c>
      <c r="I1194">
        <v>1500</v>
      </c>
      <c r="J1194">
        <v>71</v>
      </c>
      <c r="K1194">
        <v>55</v>
      </c>
      <c r="L1194">
        <v>45</v>
      </c>
      <c r="P1194" t="s">
        <v>2272</v>
      </c>
      <c r="Q1194" t="s">
        <v>3594</v>
      </c>
      <c r="R1194" t="s">
        <v>2446</v>
      </c>
      <c r="S1194">
        <v>11</v>
      </c>
      <c r="T1194" t="s">
        <v>3010</v>
      </c>
      <c r="U1194" t="s">
        <v>3011</v>
      </c>
    </row>
    <row r="1195" spans="1:21" x14ac:dyDescent="0.25">
      <c r="A1195" t="s">
        <v>3595</v>
      </c>
      <c r="B1195" t="s">
        <v>4</v>
      </c>
      <c r="C1195" t="s">
        <v>353</v>
      </c>
      <c r="D1195" t="s">
        <v>21</v>
      </c>
      <c r="E1195" t="s">
        <v>1722</v>
      </c>
      <c r="F1195" t="s">
        <v>515</v>
      </c>
      <c r="G1195" t="s">
        <v>2444</v>
      </c>
      <c r="H1195" s="20">
        <v>46254</v>
      </c>
      <c r="I1195">
        <v>1500</v>
      </c>
      <c r="J1195">
        <v>71</v>
      </c>
      <c r="K1195">
        <v>55</v>
      </c>
      <c r="L1195">
        <v>45</v>
      </c>
      <c r="P1195" t="s">
        <v>2272</v>
      </c>
      <c r="Q1195" t="s">
        <v>3594</v>
      </c>
      <c r="R1195" t="s">
        <v>2446</v>
      </c>
      <c r="S1195">
        <v>11</v>
      </c>
      <c r="T1195" t="s">
        <v>3010</v>
      </c>
      <c r="U1195" t="s">
        <v>3011</v>
      </c>
    </row>
    <row r="1196" spans="1:21" x14ac:dyDescent="0.25">
      <c r="A1196" t="s">
        <v>3596</v>
      </c>
      <c r="B1196" t="s">
        <v>4</v>
      </c>
      <c r="C1196" t="s">
        <v>353</v>
      </c>
      <c r="D1196" t="s">
        <v>21</v>
      </c>
      <c r="E1196" t="s">
        <v>1723</v>
      </c>
      <c r="F1196" t="s">
        <v>985</v>
      </c>
      <c r="G1196" t="s">
        <v>2444</v>
      </c>
      <c r="H1196" s="20">
        <v>46254</v>
      </c>
      <c r="I1196">
        <v>1500</v>
      </c>
      <c r="J1196">
        <v>71</v>
      </c>
      <c r="K1196">
        <v>55</v>
      </c>
      <c r="L1196">
        <v>45</v>
      </c>
      <c r="P1196" t="s">
        <v>2272</v>
      </c>
      <c r="Q1196" t="s">
        <v>3594</v>
      </c>
      <c r="R1196" t="s">
        <v>2446</v>
      </c>
      <c r="S1196">
        <v>11</v>
      </c>
      <c r="T1196" t="s">
        <v>3010</v>
      </c>
      <c r="U1196" t="s">
        <v>3011</v>
      </c>
    </row>
    <row r="1197" spans="1:21" x14ac:dyDescent="0.25">
      <c r="A1197" t="s">
        <v>3597</v>
      </c>
      <c r="B1197" t="s">
        <v>4</v>
      </c>
      <c r="C1197" t="s">
        <v>353</v>
      </c>
      <c r="D1197" t="s">
        <v>21</v>
      </c>
      <c r="E1197" t="s">
        <v>1724</v>
      </c>
      <c r="F1197" t="s">
        <v>157</v>
      </c>
      <c r="G1197" t="s">
        <v>2444</v>
      </c>
      <c r="H1197" s="20">
        <v>46254</v>
      </c>
      <c r="I1197">
        <v>1500</v>
      </c>
      <c r="J1197">
        <v>71</v>
      </c>
      <c r="K1197">
        <v>55</v>
      </c>
      <c r="L1197">
        <v>45</v>
      </c>
      <c r="P1197" t="s">
        <v>2272</v>
      </c>
      <c r="Q1197" t="s">
        <v>3594</v>
      </c>
      <c r="R1197" t="s">
        <v>2446</v>
      </c>
      <c r="S1197">
        <v>11</v>
      </c>
      <c r="T1197" t="s">
        <v>3010</v>
      </c>
      <c r="U1197" t="s">
        <v>3011</v>
      </c>
    </row>
    <row r="1198" spans="1:21" x14ac:dyDescent="0.25">
      <c r="A1198" t="s">
        <v>3598</v>
      </c>
      <c r="B1198" t="s">
        <v>4</v>
      </c>
      <c r="C1198" t="s">
        <v>353</v>
      </c>
      <c r="D1198" t="s">
        <v>21</v>
      </c>
      <c r="E1198" t="s">
        <v>1725</v>
      </c>
      <c r="F1198" t="s">
        <v>772</v>
      </c>
      <c r="G1198" t="s">
        <v>2271</v>
      </c>
      <c r="H1198" s="20">
        <v>46254</v>
      </c>
      <c r="I1198">
        <v>1500</v>
      </c>
      <c r="J1198">
        <v>71</v>
      </c>
      <c r="K1198">
        <v>55</v>
      </c>
      <c r="L1198">
        <v>25</v>
      </c>
      <c r="P1198" t="s">
        <v>2272</v>
      </c>
      <c r="R1198" t="s">
        <v>2273</v>
      </c>
      <c r="S1198">
        <v>11</v>
      </c>
      <c r="T1198" t="s">
        <v>3010</v>
      </c>
      <c r="U1198" t="s">
        <v>3011</v>
      </c>
    </row>
    <row r="1199" spans="1:21" x14ac:dyDescent="0.25">
      <c r="A1199" t="s">
        <v>3599</v>
      </c>
      <c r="B1199" t="s">
        <v>4</v>
      </c>
      <c r="C1199" t="s">
        <v>353</v>
      </c>
      <c r="D1199" t="s">
        <v>21</v>
      </c>
      <c r="E1199" t="s">
        <v>1726</v>
      </c>
      <c r="F1199" t="s">
        <v>953</v>
      </c>
      <c r="G1199" t="s">
        <v>2271</v>
      </c>
      <c r="H1199" s="20">
        <v>46254</v>
      </c>
      <c r="I1199">
        <v>1500</v>
      </c>
      <c r="J1199">
        <v>71</v>
      </c>
      <c r="K1199">
        <v>55</v>
      </c>
      <c r="L1199">
        <v>25</v>
      </c>
      <c r="P1199" t="s">
        <v>2272</v>
      </c>
      <c r="R1199" t="s">
        <v>2273</v>
      </c>
      <c r="S1199">
        <v>11</v>
      </c>
      <c r="T1199" t="s">
        <v>3010</v>
      </c>
      <c r="U1199" t="s">
        <v>3011</v>
      </c>
    </row>
    <row r="1200" spans="1:21" x14ac:dyDescent="0.25">
      <c r="A1200" t="s">
        <v>3600</v>
      </c>
      <c r="B1200" t="s">
        <v>4</v>
      </c>
      <c r="C1200" t="s">
        <v>353</v>
      </c>
      <c r="D1200" t="s">
        <v>21</v>
      </c>
      <c r="E1200" t="s">
        <v>1727</v>
      </c>
      <c r="F1200" t="s">
        <v>1405</v>
      </c>
      <c r="G1200" t="s">
        <v>2271</v>
      </c>
      <c r="H1200" s="20">
        <v>46254</v>
      </c>
      <c r="I1200">
        <v>1500</v>
      </c>
      <c r="J1200">
        <v>71</v>
      </c>
      <c r="K1200">
        <v>55</v>
      </c>
      <c r="L1200">
        <v>25</v>
      </c>
      <c r="P1200" t="s">
        <v>2272</v>
      </c>
      <c r="R1200" t="s">
        <v>2273</v>
      </c>
      <c r="S1200">
        <v>11</v>
      </c>
      <c r="T1200" t="s">
        <v>3010</v>
      </c>
      <c r="U1200" t="s">
        <v>3011</v>
      </c>
    </row>
    <row r="1201" spans="1:21" x14ac:dyDescent="0.25">
      <c r="A1201" t="s">
        <v>3601</v>
      </c>
      <c r="B1201" t="s">
        <v>4</v>
      </c>
      <c r="C1201" t="s">
        <v>353</v>
      </c>
      <c r="D1201" t="s">
        <v>21</v>
      </c>
      <c r="E1201" t="s">
        <v>1728</v>
      </c>
      <c r="F1201" t="s">
        <v>131</v>
      </c>
      <c r="G1201" t="s">
        <v>2271</v>
      </c>
      <c r="H1201" s="20">
        <v>46254</v>
      </c>
      <c r="I1201">
        <v>1500</v>
      </c>
      <c r="J1201">
        <v>71</v>
      </c>
      <c r="K1201">
        <v>55</v>
      </c>
      <c r="L1201">
        <v>25</v>
      </c>
      <c r="P1201" t="s">
        <v>2272</v>
      </c>
      <c r="R1201" t="s">
        <v>2273</v>
      </c>
      <c r="S1201">
        <v>11</v>
      </c>
      <c r="T1201" t="s">
        <v>3010</v>
      </c>
      <c r="U1201" t="s">
        <v>3011</v>
      </c>
    </row>
    <row r="1202" spans="1:21" x14ac:dyDescent="0.25">
      <c r="A1202" t="s">
        <v>3602</v>
      </c>
      <c r="B1202" t="s">
        <v>4</v>
      </c>
      <c r="C1202" t="s">
        <v>353</v>
      </c>
      <c r="D1202" t="s">
        <v>21</v>
      </c>
      <c r="E1202" t="s">
        <v>1729</v>
      </c>
      <c r="F1202" t="s">
        <v>1030</v>
      </c>
      <c r="G1202" t="s">
        <v>2271</v>
      </c>
      <c r="H1202" s="20">
        <v>46254</v>
      </c>
      <c r="I1202">
        <v>1500</v>
      </c>
      <c r="J1202">
        <v>71</v>
      </c>
      <c r="K1202">
        <v>55</v>
      </c>
      <c r="L1202">
        <v>25</v>
      </c>
      <c r="P1202" t="s">
        <v>2272</v>
      </c>
      <c r="R1202" t="s">
        <v>2273</v>
      </c>
      <c r="S1202">
        <v>11</v>
      </c>
      <c r="T1202" t="s">
        <v>3010</v>
      </c>
      <c r="U1202" t="s">
        <v>3011</v>
      </c>
    </row>
    <row r="1203" spans="1:21" x14ac:dyDescent="0.25">
      <c r="A1203" t="s">
        <v>3603</v>
      </c>
      <c r="B1203" t="s">
        <v>4</v>
      </c>
      <c r="C1203" t="s">
        <v>353</v>
      </c>
      <c r="D1203" t="s">
        <v>21</v>
      </c>
      <c r="E1203" t="s">
        <v>1730</v>
      </c>
      <c r="F1203" t="s">
        <v>309</v>
      </c>
      <c r="G1203" t="s">
        <v>2271</v>
      </c>
      <c r="H1203" s="20">
        <v>46254</v>
      </c>
      <c r="I1203">
        <v>1500</v>
      </c>
      <c r="J1203">
        <v>71</v>
      </c>
      <c r="K1203">
        <v>55</v>
      </c>
      <c r="L1203">
        <v>25</v>
      </c>
      <c r="P1203" t="s">
        <v>2272</v>
      </c>
      <c r="R1203" t="s">
        <v>2273</v>
      </c>
      <c r="S1203">
        <v>11</v>
      </c>
      <c r="T1203" t="s">
        <v>3010</v>
      </c>
      <c r="U1203" t="s">
        <v>3011</v>
      </c>
    </row>
    <row r="1204" spans="1:21" x14ac:dyDescent="0.25">
      <c r="A1204" t="s">
        <v>3604</v>
      </c>
      <c r="B1204" t="s">
        <v>4</v>
      </c>
      <c r="C1204" t="s">
        <v>353</v>
      </c>
      <c r="D1204" t="s">
        <v>21</v>
      </c>
      <c r="E1204" t="s">
        <v>1731</v>
      </c>
      <c r="F1204" t="s">
        <v>832</v>
      </c>
      <c r="G1204" t="s">
        <v>2271</v>
      </c>
      <c r="H1204" s="20">
        <v>46254</v>
      </c>
      <c r="I1204">
        <v>1500</v>
      </c>
      <c r="J1204">
        <v>71</v>
      </c>
      <c r="K1204">
        <v>55</v>
      </c>
      <c r="L1204">
        <v>25</v>
      </c>
      <c r="P1204" t="s">
        <v>2272</v>
      </c>
      <c r="R1204" t="s">
        <v>2273</v>
      </c>
      <c r="S1204">
        <v>11</v>
      </c>
      <c r="T1204" t="s">
        <v>3010</v>
      </c>
      <c r="U1204" t="s">
        <v>3011</v>
      </c>
    </row>
    <row r="1205" spans="1:21" x14ac:dyDescent="0.25">
      <c r="A1205" t="s">
        <v>3605</v>
      </c>
      <c r="B1205" t="s">
        <v>4</v>
      </c>
      <c r="C1205" t="s">
        <v>353</v>
      </c>
      <c r="D1205" t="s">
        <v>21</v>
      </c>
      <c r="E1205" t="s">
        <v>1732</v>
      </c>
      <c r="F1205" t="s">
        <v>212</v>
      </c>
      <c r="G1205" t="s">
        <v>2271</v>
      </c>
      <c r="H1205" s="20">
        <v>46254</v>
      </c>
      <c r="I1205">
        <v>1500</v>
      </c>
      <c r="J1205">
        <v>71</v>
      </c>
      <c r="K1205">
        <v>55</v>
      </c>
      <c r="L1205">
        <v>25</v>
      </c>
      <c r="P1205" t="s">
        <v>2272</v>
      </c>
      <c r="R1205" t="s">
        <v>2273</v>
      </c>
      <c r="S1205">
        <v>11</v>
      </c>
      <c r="T1205" t="s">
        <v>3010</v>
      </c>
      <c r="U1205" t="s">
        <v>3011</v>
      </c>
    </row>
    <row r="1206" spans="1:21" x14ac:dyDescent="0.25">
      <c r="A1206" t="s">
        <v>3606</v>
      </c>
      <c r="B1206" t="s">
        <v>4</v>
      </c>
      <c r="C1206" t="s">
        <v>353</v>
      </c>
      <c r="D1206" t="s">
        <v>21</v>
      </c>
      <c r="E1206" t="s">
        <v>1733</v>
      </c>
      <c r="F1206" t="s">
        <v>204</v>
      </c>
      <c r="G1206" t="s">
        <v>2271</v>
      </c>
      <c r="H1206" s="20">
        <v>46254</v>
      </c>
      <c r="I1206">
        <v>1500</v>
      </c>
      <c r="J1206">
        <v>71</v>
      </c>
      <c r="K1206">
        <v>55</v>
      </c>
      <c r="L1206">
        <v>25</v>
      </c>
      <c r="P1206" t="s">
        <v>2272</v>
      </c>
      <c r="R1206" t="s">
        <v>2273</v>
      </c>
      <c r="S1206">
        <v>11</v>
      </c>
      <c r="T1206" t="s">
        <v>3010</v>
      </c>
      <c r="U1206" t="s">
        <v>3011</v>
      </c>
    </row>
    <row r="1207" spans="1:21" x14ac:dyDescent="0.25">
      <c r="A1207" t="s">
        <v>3607</v>
      </c>
      <c r="B1207" t="s">
        <v>4</v>
      </c>
      <c r="C1207" t="s">
        <v>353</v>
      </c>
      <c r="D1207" t="s">
        <v>21</v>
      </c>
      <c r="E1207" t="s">
        <v>1734</v>
      </c>
      <c r="F1207" t="s">
        <v>390</v>
      </c>
      <c r="G1207" t="s">
        <v>2271</v>
      </c>
      <c r="H1207" s="20">
        <v>46254</v>
      </c>
      <c r="I1207">
        <v>1500</v>
      </c>
      <c r="J1207">
        <v>71</v>
      </c>
      <c r="K1207">
        <v>55</v>
      </c>
      <c r="L1207">
        <v>25</v>
      </c>
      <c r="P1207" t="s">
        <v>2272</v>
      </c>
      <c r="R1207" t="s">
        <v>2273</v>
      </c>
      <c r="S1207">
        <v>11</v>
      </c>
      <c r="T1207" t="s">
        <v>3010</v>
      </c>
      <c r="U1207" t="s">
        <v>3011</v>
      </c>
    </row>
    <row r="1208" spans="1:21" x14ac:dyDescent="0.25">
      <c r="A1208" t="s">
        <v>3608</v>
      </c>
      <c r="B1208" t="s">
        <v>4</v>
      </c>
      <c r="C1208" t="s">
        <v>353</v>
      </c>
      <c r="D1208" t="s">
        <v>21</v>
      </c>
      <c r="E1208" t="s">
        <v>1735</v>
      </c>
      <c r="F1208" t="s">
        <v>219</v>
      </c>
      <c r="G1208" t="s">
        <v>2271</v>
      </c>
      <c r="H1208" s="20">
        <v>46254</v>
      </c>
      <c r="I1208">
        <v>1500</v>
      </c>
      <c r="J1208">
        <v>71</v>
      </c>
      <c r="K1208">
        <v>55</v>
      </c>
      <c r="L1208">
        <v>25</v>
      </c>
      <c r="P1208" t="s">
        <v>2272</v>
      </c>
      <c r="R1208" t="s">
        <v>2273</v>
      </c>
      <c r="S1208">
        <v>11</v>
      </c>
      <c r="T1208" t="s">
        <v>3010</v>
      </c>
      <c r="U1208" t="s">
        <v>3011</v>
      </c>
    </row>
    <row r="1209" spans="1:21" x14ac:dyDescent="0.25">
      <c r="A1209" t="s">
        <v>3609</v>
      </c>
      <c r="B1209" t="s">
        <v>4</v>
      </c>
      <c r="C1209" t="s">
        <v>353</v>
      </c>
      <c r="D1209" t="s">
        <v>21</v>
      </c>
      <c r="E1209" t="s">
        <v>1736</v>
      </c>
      <c r="F1209" t="s">
        <v>413</v>
      </c>
      <c r="G1209" t="s">
        <v>2271</v>
      </c>
      <c r="H1209" s="20">
        <v>46254</v>
      </c>
      <c r="I1209">
        <v>1500</v>
      </c>
      <c r="J1209">
        <v>71</v>
      </c>
      <c r="K1209">
        <v>55</v>
      </c>
      <c r="L1209">
        <v>25</v>
      </c>
      <c r="P1209" t="s">
        <v>2272</v>
      </c>
      <c r="R1209" t="s">
        <v>2273</v>
      </c>
      <c r="S1209">
        <v>11</v>
      </c>
      <c r="T1209" t="s">
        <v>3010</v>
      </c>
      <c r="U1209" t="s">
        <v>3011</v>
      </c>
    </row>
    <row r="1210" spans="1:21" x14ac:dyDescent="0.25">
      <c r="A1210" t="s">
        <v>3610</v>
      </c>
      <c r="B1210" t="s">
        <v>4</v>
      </c>
      <c r="C1210" t="s">
        <v>353</v>
      </c>
      <c r="D1210" t="s">
        <v>21</v>
      </c>
      <c r="E1210" t="s">
        <v>1737</v>
      </c>
      <c r="F1210" t="s">
        <v>530</v>
      </c>
      <c r="G1210" t="s">
        <v>2271</v>
      </c>
      <c r="H1210" s="20">
        <v>46254</v>
      </c>
      <c r="I1210">
        <v>1500</v>
      </c>
      <c r="J1210">
        <v>71</v>
      </c>
      <c r="K1210">
        <v>55</v>
      </c>
      <c r="L1210">
        <v>25</v>
      </c>
      <c r="P1210" t="s">
        <v>2272</v>
      </c>
      <c r="R1210" t="s">
        <v>2273</v>
      </c>
      <c r="S1210">
        <v>11</v>
      </c>
      <c r="T1210" t="s">
        <v>3010</v>
      </c>
      <c r="U1210" t="s">
        <v>3011</v>
      </c>
    </row>
    <row r="1211" spans="1:21" x14ac:dyDescent="0.25">
      <c r="A1211" t="s">
        <v>3611</v>
      </c>
      <c r="B1211" t="s">
        <v>4</v>
      </c>
      <c r="C1211" t="s">
        <v>353</v>
      </c>
      <c r="D1211" t="s">
        <v>21</v>
      </c>
      <c r="E1211" t="s">
        <v>1738</v>
      </c>
      <c r="F1211" t="s">
        <v>266</v>
      </c>
      <c r="G1211" t="s">
        <v>2271</v>
      </c>
      <c r="H1211" s="20">
        <v>46254</v>
      </c>
      <c r="I1211">
        <v>1500</v>
      </c>
      <c r="J1211">
        <v>71</v>
      </c>
      <c r="K1211">
        <v>55</v>
      </c>
      <c r="L1211">
        <v>25</v>
      </c>
      <c r="P1211" t="s">
        <v>2272</v>
      </c>
      <c r="R1211" t="s">
        <v>2273</v>
      </c>
      <c r="S1211">
        <v>11</v>
      </c>
      <c r="T1211" t="s">
        <v>3010</v>
      </c>
      <c r="U1211" t="s">
        <v>3011</v>
      </c>
    </row>
    <row r="1212" spans="1:21" x14ac:dyDescent="0.25">
      <c r="A1212" t="s">
        <v>3612</v>
      </c>
      <c r="B1212" t="s">
        <v>4</v>
      </c>
      <c r="C1212" t="s">
        <v>353</v>
      </c>
      <c r="D1212" t="s">
        <v>21</v>
      </c>
      <c r="E1212" t="s">
        <v>1739</v>
      </c>
      <c r="F1212" t="s">
        <v>293</v>
      </c>
      <c r="G1212" t="s">
        <v>2271</v>
      </c>
      <c r="H1212" s="20">
        <v>46254</v>
      </c>
      <c r="I1212">
        <v>1500</v>
      </c>
      <c r="J1212">
        <v>71</v>
      </c>
      <c r="K1212">
        <v>55</v>
      </c>
      <c r="L1212">
        <v>25</v>
      </c>
      <c r="P1212" t="s">
        <v>2272</v>
      </c>
      <c r="R1212" t="s">
        <v>2273</v>
      </c>
      <c r="S1212">
        <v>11</v>
      </c>
      <c r="T1212" t="s">
        <v>3010</v>
      </c>
      <c r="U1212" t="s">
        <v>3011</v>
      </c>
    </row>
    <row r="1213" spans="1:21" x14ac:dyDescent="0.25">
      <c r="A1213" t="s">
        <v>3613</v>
      </c>
      <c r="B1213" t="s">
        <v>4</v>
      </c>
      <c r="C1213" t="s">
        <v>353</v>
      </c>
      <c r="D1213" t="s">
        <v>21</v>
      </c>
      <c r="E1213" t="s">
        <v>1740</v>
      </c>
      <c r="F1213" t="s">
        <v>949</v>
      </c>
      <c r="G1213" t="s">
        <v>2271</v>
      </c>
      <c r="H1213" s="20">
        <v>46254</v>
      </c>
      <c r="I1213">
        <v>1500</v>
      </c>
      <c r="J1213">
        <v>71</v>
      </c>
      <c r="K1213">
        <v>55</v>
      </c>
      <c r="L1213">
        <v>25</v>
      </c>
      <c r="P1213" t="s">
        <v>2272</v>
      </c>
      <c r="R1213" t="s">
        <v>2273</v>
      </c>
      <c r="S1213">
        <v>11</v>
      </c>
      <c r="T1213" t="s">
        <v>3010</v>
      </c>
      <c r="U1213" t="s">
        <v>3011</v>
      </c>
    </row>
    <row r="1214" spans="1:21" x14ac:dyDescent="0.25">
      <c r="A1214" t="s">
        <v>3614</v>
      </c>
      <c r="B1214" t="s">
        <v>4</v>
      </c>
      <c r="C1214" t="s">
        <v>353</v>
      </c>
      <c r="D1214" t="s">
        <v>21</v>
      </c>
      <c r="E1214" t="s">
        <v>1741</v>
      </c>
      <c r="F1214" t="s">
        <v>317</v>
      </c>
      <c r="G1214" t="s">
        <v>2271</v>
      </c>
      <c r="H1214" s="20">
        <v>46254</v>
      </c>
      <c r="I1214">
        <v>1500</v>
      </c>
      <c r="J1214">
        <v>71</v>
      </c>
      <c r="K1214">
        <v>55</v>
      </c>
      <c r="L1214">
        <v>25</v>
      </c>
      <c r="P1214" t="s">
        <v>2272</v>
      </c>
      <c r="R1214" t="s">
        <v>2273</v>
      </c>
      <c r="S1214">
        <v>11</v>
      </c>
      <c r="T1214" t="s">
        <v>3010</v>
      </c>
      <c r="U1214" t="s">
        <v>3011</v>
      </c>
    </row>
    <row r="1215" spans="1:21" x14ac:dyDescent="0.25">
      <c r="A1215" t="s">
        <v>3615</v>
      </c>
      <c r="B1215" t="s">
        <v>4</v>
      </c>
      <c r="C1215" t="s">
        <v>353</v>
      </c>
      <c r="D1215" t="s">
        <v>21</v>
      </c>
      <c r="E1215" t="s">
        <v>1742</v>
      </c>
      <c r="F1215" t="s">
        <v>62</v>
      </c>
      <c r="G1215" t="s">
        <v>2271</v>
      </c>
      <c r="H1215" s="20">
        <v>46254</v>
      </c>
      <c r="I1215">
        <v>1500</v>
      </c>
      <c r="J1215">
        <v>71</v>
      </c>
      <c r="K1215">
        <v>55</v>
      </c>
      <c r="L1215">
        <v>25</v>
      </c>
      <c r="P1215" t="s">
        <v>2272</v>
      </c>
      <c r="R1215" t="s">
        <v>2273</v>
      </c>
      <c r="S1215">
        <v>11</v>
      </c>
      <c r="T1215" t="s">
        <v>3010</v>
      </c>
      <c r="U1215" t="s">
        <v>3011</v>
      </c>
    </row>
    <row r="1216" spans="1:21" x14ac:dyDescent="0.25">
      <c r="A1216" t="s">
        <v>3616</v>
      </c>
      <c r="B1216" t="s">
        <v>4</v>
      </c>
      <c r="C1216" t="s">
        <v>353</v>
      </c>
      <c r="D1216" t="s">
        <v>21</v>
      </c>
      <c r="E1216" t="s">
        <v>1743</v>
      </c>
      <c r="F1216" t="s">
        <v>674</v>
      </c>
      <c r="G1216" t="s">
        <v>2271</v>
      </c>
      <c r="H1216" s="20">
        <v>46254</v>
      </c>
      <c r="I1216">
        <v>1500</v>
      </c>
      <c r="J1216">
        <v>71</v>
      </c>
      <c r="K1216">
        <v>55</v>
      </c>
      <c r="L1216">
        <v>25</v>
      </c>
      <c r="P1216" t="s">
        <v>2272</v>
      </c>
      <c r="R1216" t="s">
        <v>2273</v>
      </c>
      <c r="S1216">
        <v>11</v>
      </c>
      <c r="T1216" t="s">
        <v>3010</v>
      </c>
      <c r="U1216" t="s">
        <v>3011</v>
      </c>
    </row>
    <row r="1217" spans="1:21" x14ac:dyDescent="0.25">
      <c r="A1217" t="s">
        <v>3617</v>
      </c>
      <c r="B1217" t="s">
        <v>4</v>
      </c>
      <c r="C1217" t="s">
        <v>353</v>
      </c>
      <c r="D1217" t="s">
        <v>21</v>
      </c>
      <c r="E1217" t="s">
        <v>1744</v>
      </c>
      <c r="F1217" t="s">
        <v>272</v>
      </c>
      <c r="G1217" t="s">
        <v>2271</v>
      </c>
      <c r="H1217" s="20">
        <v>46254</v>
      </c>
      <c r="I1217">
        <v>1500</v>
      </c>
      <c r="J1217">
        <v>71</v>
      </c>
      <c r="K1217">
        <v>55</v>
      </c>
      <c r="L1217">
        <v>25</v>
      </c>
      <c r="P1217" t="s">
        <v>2272</v>
      </c>
      <c r="R1217" t="s">
        <v>2273</v>
      </c>
      <c r="S1217">
        <v>11</v>
      </c>
      <c r="T1217" t="s">
        <v>3010</v>
      </c>
      <c r="U1217" t="s">
        <v>3011</v>
      </c>
    </row>
    <row r="1218" spans="1:21" x14ac:dyDescent="0.25">
      <c r="A1218" t="s">
        <v>3618</v>
      </c>
      <c r="B1218" t="s">
        <v>4</v>
      </c>
      <c r="C1218" t="s">
        <v>353</v>
      </c>
      <c r="D1218" t="s">
        <v>21</v>
      </c>
      <c r="E1218" t="s">
        <v>1745</v>
      </c>
      <c r="F1218" t="s">
        <v>303</v>
      </c>
      <c r="G1218" t="s">
        <v>2271</v>
      </c>
      <c r="H1218" s="20">
        <v>46254</v>
      </c>
      <c r="I1218">
        <v>1500</v>
      </c>
      <c r="J1218">
        <v>71</v>
      </c>
      <c r="K1218">
        <v>55</v>
      </c>
      <c r="L1218">
        <v>25</v>
      </c>
      <c r="P1218" t="s">
        <v>2272</v>
      </c>
      <c r="R1218" t="s">
        <v>2273</v>
      </c>
      <c r="S1218">
        <v>11</v>
      </c>
      <c r="T1218" t="s">
        <v>3010</v>
      </c>
      <c r="U1218" t="s">
        <v>3011</v>
      </c>
    </row>
    <row r="1219" spans="1:21" x14ac:dyDescent="0.25">
      <c r="A1219" t="s">
        <v>3619</v>
      </c>
      <c r="B1219" t="s">
        <v>4</v>
      </c>
      <c r="C1219" t="s">
        <v>353</v>
      </c>
      <c r="D1219" t="s">
        <v>21</v>
      </c>
      <c r="E1219" t="s">
        <v>1746</v>
      </c>
      <c r="F1219" t="s">
        <v>1207</v>
      </c>
      <c r="G1219" t="s">
        <v>2271</v>
      </c>
      <c r="H1219" s="20">
        <v>46254</v>
      </c>
      <c r="I1219">
        <v>1500</v>
      </c>
      <c r="J1219">
        <v>71</v>
      </c>
      <c r="K1219">
        <v>55</v>
      </c>
      <c r="L1219">
        <v>25</v>
      </c>
      <c r="P1219" t="s">
        <v>2272</v>
      </c>
      <c r="R1219" t="s">
        <v>2273</v>
      </c>
      <c r="S1219">
        <v>11</v>
      </c>
      <c r="T1219" t="s">
        <v>3010</v>
      </c>
      <c r="U1219" t="s">
        <v>3011</v>
      </c>
    </row>
    <row r="1220" spans="1:21" x14ac:dyDescent="0.25">
      <c r="A1220" t="s">
        <v>3620</v>
      </c>
      <c r="B1220" t="s">
        <v>4</v>
      </c>
      <c r="C1220" t="s">
        <v>353</v>
      </c>
      <c r="D1220" t="s">
        <v>21</v>
      </c>
      <c r="E1220" t="s">
        <v>1747</v>
      </c>
      <c r="F1220" t="s">
        <v>1212</v>
      </c>
      <c r="G1220" t="s">
        <v>2271</v>
      </c>
      <c r="H1220" s="20">
        <v>46254</v>
      </c>
      <c r="I1220">
        <v>1500</v>
      </c>
      <c r="J1220">
        <v>71</v>
      </c>
      <c r="K1220">
        <v>55</v>
      </c>
      <c r="L1220">
        <v>25</v>
      </c>
      <c r="P1220" t="s">
        <v>2272</v>
      </c>
      <c r="R1220" t="s">
        <v>2273</v>
      </c>
      <c r="S1220">
        <v>11</v>
      </c>
      <c r="T1220" t="s">
        <v>3010</v>
      </c>
      <c r="U1220" t="s">
        <v>3011</v>
      </c>
    </row>
    <row r="1221" spans="1:21" x14ac:dyDescent="0.25">
      <c r="A1221" t="s">
        <v>3621</v>
      </c>
      <c r="B1221" t="s">
        <v>4</v>
      </c>
      <c r="C1221" t="s">
        <v>353</v>
      </c>
      <c r="D1221" t="s">
        <v>21</v>
      </c>
      <c r="E1221" t="s">
        <v>1748</v>
      </c>
      <c r="F1221" t="s">
        <v>1376</v>
      </c>
      <c r="G1221" t="s">
        <v>2271</v>
      </c>
      <c r="H1221" s="20">
        <v>46254</v>
      </c>
      <c r="I1221">
        <v>1500</v>
      </c>
      <c r="J1221">
        <v>71</v>
      </c>
      <c r="K1221">
        <v>55</v>
      </c>
      <c r="L1221">
        <v>25</v>
      </c>
      <c r="P1221" t="s">
        <v>2272</v>
      </c>
      <c r="R1221" t="s">
        <v>2273</v>
      </c>
      <c r="S1221">
        <v>11</v>
      </c>
      <c r="T1221" t="s">
        <v>3010</v>
      </c>
      <c r="U1221" t="s">
        <v>3011</v>
      </c>
    </row>
    <row r="1222" spans="1:21" x14ac:dyDescent="0.25">
      <c r="A1222" t="s">
        <v>3622</v>
      </c>
      <c r="B1222" t="s">
        <v>4</v>
      </c>
      <c r="C1222" t="s">
        <v>353</v>
      </c>
      <c r="D1222" t="s">
        <v>21</v>
      </c>
      <c r="E1222" t="s">
        <v>1749</v>
      </c>
      <c r="F1222" t="s">
        <v>352</v>
      </c>
      <c r="G1222" t="s">
        <v>2271</v>
      </c>
      <c r="H1222" s="20">
        <v>46254</v>
      </c>
      <c r="I1222">
        <v>1500</v>
      </c>
      <c r="J1222">
        <v>71</v>
      </c>
      <c r="K1222">
        <v>55</v>
      </c>
      <c r="L1222">
        <v>25</v>
      </c>
      <c r="P1222" t="s">
        <v>2272</v>
      </c>
      <c r="R1222" t="s">
        <v>2273</v>
      </c>
      <c r="S1222">
        <v>11</v>
      </c>
      <c r="T1222" t="s">
        <v>3010</v>
      </c>
      <c r="U1222" t="s">
        <v>3011</v>
      </c>
    </row>
    <row r="1223" spans="1:21" x14ac:dyDescent="0.25">
      <c r="A1223" t="s">
        <v>3623</v>
      </c>
      <c r="B1223" t="s">
        <v>4</v>
      </c>
      <c r="C1223" t="s">
        <v>353</v>
      </c>
      <c r="D1223" t="s">
        <v>29</v>
      </c>
      <c r="E1223" t="s">
        <v>1750</v>
      </c>
      <c r="F1223" t="s">
        <v>476</v>
      </c>
      <c r="H1223" s="20"/>
      <c r="P1223" t="s">
        <v>2291</v>
      </c>
      <c r="R1223" t="s">
        <v>2292</v>
      </c>
    </row>
    <row r="1224" spans="1:21" x14ac:dyDescent="0.25">
      <c r="A1224" t="s">
        <v>3624</v>
      </c>
      <c r="B1224" t="s">
        <v>4</v>
      </c>
      <c r="C1224" t="s">
        <v>353</v>
      </c>
      <c r="D1224" t="s">
        <v>29</v>
      </c>
      <c r="E1224" t="s">
        <v>1751</v>
      </c>
      <c r="F1224" t="s">
        <v>678</v>
      </c>
      <c r="H1224" s="20"/>
      <c r="P1224" t="s">
        <v>2291</v>
      </c>
      <c r="R1224" t="s">
        <v>2292</v>
      </c>
    </row>
    <row r="1225" spans="1:21" x14ac:dyDescent="0.25">
      <c r="A1225" t="s">
        <v>3625</v>
      </c>
      <c r="B1225" t="s">
        <v>4</v>
      </c>
      <c r="C1225" t="s">
        <v>353</v>
      </c>
      <c r="D1225" t="s">
        <v>29</v>
      </c>
      <c r="E1225" t="s">
        <v>1283</v>
      </c>
      <c r="F1225" t="s">
        <v>419</v>
      </c>
      <c r="H1225" s="20"/>
      <c r="P1225" t="s">
        <v>2291</v>
      </c>
      <c r="R1225" t="s">
        <v>2292</v>
      </c>
    </row>
    <row r="1226" spans="1:21" x14ac:dyDescent="0.25">
      <c r="A1226" t="s">
        <v>3626</v>
      </c>
      <c r="B1226" t="s">
        <v>4</v>
      </c>
      <c r="C1226" t="s">
        <v>353</v>
      </c>
      <c r="D1226" t="s">
        <v>29</v>
      </c>
      <c r="E1226" t="s">
        <v>1752</v>
      </c>
      <c r="F1226" t="s">
        <v>72</v>
      </c>
      <c r="H1226" s="20"/>
      <c r="P1226" t="s">
        <v>2291</v>
      </c>
      <c r="R1226" t="s">
        <v>2292</v>
      </c>
    </row>
    <row r="1227" spans="1:21" x14ac:dyDescent="0.25">
      <c r="A1227" t="s">
        <v>3627</v>
      </c>
      <c r="B1227" t="s">
        <v>4</v>
      </c>
      <c r="C1227" t="s">
        <v>353</v>
      </c>
      <c r="D1227" t="s">
        <v>29</v>
      </c>
      <c r="E1227" t="s">
        <v>1753</v>
      </c>
      <c r="F1227" t="s">
        <v>303</v>
      </c>
      <c r="H1227" s="20"/>
      <c r="P1227" t="s">
        <v>2291</v>
      </c>
      <c r="R1227" t="s">
        <v>2292</v>
      </c>
    </row>
    <row r="1228" spans="1:21" x14ac:dyDescent="0.25">
      <c r="A1228" t="s">
        <v>3628</v>
      </c>
      <c r="B1228" t="s">
        <v>4</v>
      </c>
      <c r="C1228" t="s">
        <v>353</v>
      </c>
      <c r="D1228" t="s">
        <v>29</v>
      </c>
      <c r="E1228" t="s">
        <v>1754</v>
      </c>
      <c r="F1228" t="s">
        <v>1376</v>
      </c>
      <c r="H1228" s="20"/>
      <c r="P1228" t="s">
        <v>2291</v>
      </c>
      <c r="R1228" t="s">
        <v>2292</v>
      </c>
    </row>
    <row r="1229" spans="1:21" x14ac:dyDescent="0.25">
      <c r="A1229" t="s">
        <v>3629</v>
      </c>
      <c r="B1229" t="s">
        <v>4</v>
      </c>
      <c r="C1229" t="s">
        <v>353</v>
      </c>
      <c r="D1229" t="s">
        <v>26</v>
      </c>
      <c r="E1229" t="s">
        <v>1755</v>
      </c>
      <c r="F1229" t="s">
        <v>339</v>
      </c>
      <c r="H1229" s="20"/>
      <c r="P1229" t="s">
        <v>2291</v>
      </c>
      <c r="R1229" t="s">
        <v>2292</v>
      </c>
    </row>
    <row r="1230" spans="1:21" x14ac:dyDescent="0.25">
      <c r="A1230" t="s">
        <v>3630</v>
      </c>
      <c r="B1230" t="s">
        <v>4</v>
      </c>
      <c r="C1230" t="s">
        <v>353</v>
      </c>
      <c r="D1230" t="s">
        <v>26</v>
      </c>
      <c r="E1230" t="s">
        <v>1756</v>
      </c>
      <c r="F1230" t="s">
        <v>298</v>
      </c>
      <c r="H1230" s="20"/>
      <c r="P1230" t="s">
        <v>2291</v>
      </c>
      <c r="R1230" t="s">
        <v>2292</v>
      </c>
    </row>
    <row r="1231" spans="1:21" x14ac:dyDescent="0.25">
      <c r="A1231" t="s">
        <v>3631</v>
      </c>
      <c r="B1231" t="s">
        <v>4</v>
      </c>
      <c r="C1231" t="s">
        <v>353</v>
      </c>
      <c r="D1231" t="s">
        <v>26</v>
      </c>
      <c r="E1231" t="s">
        <v>1757</v>
      </c>
      <c r="F1231" t="s">
        <v>260</v>
      </c>
      <c r="H1231" s="20"/>
      <c r="P1231" t="s">
        <v>2291</v>
      </c>
      <c r="R1231" t="s">
        <v>2292</v>
      </c>
    </row>
    <row r="1232" spans="1:21" x14ac:dyDescent="0.25">
      <c r="A1232" t="s">
        <v>3632</v>
      </c>
      <c r="B1232" t="s">
        <v>4</v>
      </c>
      <c r="C1232" t="s">
        <v>353</v>
      </c>
      <c r="D1232" t="s">
        <v>26</v>
      </c>
      <c r="E1232" t="s">
        <v>1758</v>
      </c>
      <c r="F1232" t="s">
        <v>309</v>
      </c>
      <c r="H1232" s="20"/>
      <c r="P1232" t="s">
        <v>2291</v>
      </c>
      <c r="R1232" t="s">
        <v>2292</v>
      </c>
    </row>
    <row r="1233" spans="1:21" x14ac:dyDescent="0.25">
      <c r="A1233" t="s">
        <v>3633</v>
      </c>
      <c r="B1233" t="s">
        <v>4</v>
      </c>
      <c r="C1233" t="s">
        <v>353</v>
      </c>
      <c r="D1233" t="s">
        <v>26</v>
      </c>
      <c r="E1233" t="s">
        <v>1759</v>
      </c>
      <c r="F1233" t="s">
        <v>999</v>
      </c>
      <c r="H1233" s="20"/>
      <c r="P1233" t="s">
        <v>2291</v>
      </c>
      <c r="R1233" t="s">
        <v>2292</v>
      </c>
    </row>
    <row r="1234" spans="1:21" x14ac:dyDescent="0.25">
      <c r="A1234" t="s">
        <v>3634</v>
      </c>
      <c r="B1234" t="s">
        <v>4</v>
      </c>
      <c r="C1234" t="s">
        <v>353</v>
      </c>
      <c r="D1234" t="s">
        <v>26</v>
      </c>
      <c r="E1234" t="s">
        <v>713</v>
      </c>
      <c r="F1234" t="s">
        <v>388</v>
      </c>
      <c r="H1234" s="20"/>
      <c r="P1234" t="s">
        <v>2291</v>
      </c>
      <c r="R1234" t="s">
        <v>2292</v>
      </c>
    </row>
    <row r="1235" spans="1:21" x14ac:dyDescent="0.25">
      <c r="A1235" t="s">
        <v>3635</v>
      </c>
      <c r="B1235" t="s">
        <v>4</v>
      </c>
      <c r="C1235" t="s">
        <v>353</v>
      </c>
      <c r="D1235" t="s">
        <v>26</v>
      </c>
      <c r="E1235" t="s">
        <v>1760</v>
      </c>
      <c r="F1235" t="s">
        <v>219</v>
      </c>
      <c r="H1235" s="20"/>
      <c r="P1235" t="s">
        <v>2291</v>
      </c>
      <c r="R1235" t="s">
        <v>2292</v>
      </c>
    </row>
    <row r="1236" spans="1:21" x14ac:dyDescent="0.25">
      <c r="A1236" t="s">
        <v>3636</v>
      </c>
      <c r="B1236" t="s">
        <v>4</v>
      </c>
      <c r="C1236" t="s">
        <v>353</v>
      </c>
      <c r="D1236" t="s">
        <v>26</v>
      </c>
      <c r="E1236" t="s">
        <v>1761</v>
      </c>
      <c r="F1236" t="s">
        <v>266</v>
      </c>
      <c r="H1236" s="20"/>
      <c r="P1236" t="s">
        <v>2291</v>
      </c>
      <c r="R1236" t="s">
        <v>2292</v>
      </c>
    </row>
    <row r="1237" spans="1:21" x14ac:dyDescent="0.25">
      <c r="A1237" t="s">
        <v>3637</v>
      </c>
      <c r="B1237" t="s">
        <v>4</v>
      </c>
      <c r="C1237" t="s">
        <v>353</v>
      </c>
      <c r="D1237" t="s">
        <v>26</v>
      </c>
      <c r="E1237" t="s">
        <v>1762</v>
      </c>
      <c r="F1237" t="s">
        <v>174</v>
      </c>
      <c r="H1237" s="20"/>
      <c r="P1237" t="s">
        <v>2291</v>
      </c>
      <c r="R1237" t="s">
        <v>2292</v>
      </c>
    </row>
    <row r="1238" spans="1:21" x14ac:dyDescent="0.25">
      <c r="A1238" t="s">
        <v>3638</v>
      </c>
      <c r="B1238" t="s">
        <v>4</v>
      </c>
      <c r="C1238" t="s">
        <v>353</v>
      </c>
      <c r="D1238" t="s">
        <v>21</v>
      </c>
      <c r="E1238" t="s">
        <v>1763</v>
      </c>
      <c r="F1238" t="s">
        <v>746</v>
      </c>
      <c r="G1238" t="s">
        <v>2444</v>
      </c>
      <c r="H1238" s="20">
        <v>46254</v>
      </c>
      <c r="I1238">
        <v>1500</v>
      </c>
      <c r="J1238">
        <v>71</v>
      </c>
      <c r="K1238">
        <v>55</v>
      </c>
      <c r="L1238">
        <v>45</v>
      </c>
      <c r="P1238" t="s">
        <v>2272</v>
      </c>
      <c r="Q1238" t="s">
        <v>3594</v>
      </c>
      <c r="R1238" t="s">
        <v>2446</v>
      </c>
      <c r="S1238">
        <v>11</v>
      </c>
      <c r="T1238" t="s">
        <v>3010</v>
      </c>
      <c r="U1238" t="s">
        <v>3011</v>
      </c>
    </row>
    <row r="1239" spans="1:21" x14ac:dyDescent="0.25">
      <c r="A1239" t="s">
        <v>3639</v>
      </c>
      <c r="B1239" t="s">
        <v>4</v>
      </c>
      <c r="C1239" t="s">
        <v>353</v>
      </c>
      <c r="D1239" t="s">
        <v>21</v>
      </c>
      <c r="E1239" t="s">
        <v>1764</v>
      </c>
      <c r="F1239" t="s">
        <v>628</v>
      </c>
      <c r="G1239" t="s">
        <v>2271</v>
      </c>
      <c r="H1239" s="20">
        <v>46254</v>
      </c>
      <c r="I1239">
        <v>1500</v>
      </c>
      <c r="J1239">
        <v>71</v>
      </c>
      <c r="K1239">
        <v>55</v>
      </c>
      <c r="L1239">
        <v>25</v>
      </c>
      <c r="P1239" t="s">
        <v>2272</v>
      </c>
      <c r="R1239" t="s">
        <v>2273</v>
      </c>
      <c r="S1239">
        <v>11</v>
      </c>
      <c r="T1239" t="s">
        <v>3010</v>
      </c>
      <c r="U1239" t="s">
        <v>3011</v>
      </c>
    </row>
    <row r="1240" spans="1:21" x14ac:dyDescent="0.25">
      <c r="A1240" t="s">
        <v>3640</v>
      </c>
      <c r="B1240" t="s">
        <v>4</v>
      </c>
      <c r="C1240" t="s">
        <v>154</v>
      </c>
      <c r="D1240" t="s">
        <v>24</v>
      </c>
      <c r="E1240" t="s">
        <v>1766</v>
      </c>
      <c r="F1240" t="s">
        <v>1129</v>
      </c>
      <c r="G1240" t="s">
        <v>2271</v>
      </c>
      <c r="H1240" s="20">
        <v>46250</v>
      </c>
      <c r="I1240">
        <v>1800</v>
      </c>
      <c r="J1240">
        <v>76</v>
      </c>
      <c r="K1240">
        <v>70</v>
      </c>
      <c r="L1240">
        <v>65</v>
      </c>
      <c r="P1240" t="s">
        <v>2272</v>
      </c>
      <c r="Q1240" t="s">
        <v>3345</v>
      </c>
      <c r="R1240" t="s">
        <v>2423</v>
      </c>
      <c r="S1240">
        <v>4</v>
      </c>
      <c r="T1240" t="s">
        <v>2274</v>
      </c>
      <c r="U1240" t="s">
        <v>2275</v>
      </c>
    </row>
    <row r="1241" spans="1:21" x14ac:dyDescent="0.25">
      <c r="A1241" t="s">
        <v>3641</v>
      </c>
      <c r="B1241" t="s">
        <v>4</v>
      </c>
      <c r="C1241" t="s">
        <v>154</v>
      </c>
      <c r="D1241" t="s">
        <v>24</v>
      </c>
      <c r="E1241" t="s">
        <v>1767</v>
      </c>
      <c r="F1241" t="s">
        <v>464</v>
      </c>
      <c r="G1241" t="s">
        <v>2271</v>
      </c>
      <c r="H1241" s="20">
        <v>46250</v>
      </c>
      <c r="I1241">
        <v>1800</v>
      </c>
      <c r="J1241">
        <v>76</v>
      </c>
      <c r="K1241">
        <v>70</v>
      </c>
      <c r="L1241">
        <v>65</v>
      </c>
      <c r="P1241" t="s">
        <v>2272</v>
      </c>
      <c r="Q1241" t="s">
        <v>3345</v>
      </c>
      <c r="R1241" t="s">
        <v>2423</v>
      </c>
      <c r="S1241">
        <v>4</v>
      </c>
      <c r="T1241" t="s">
        <v>2274</v>
      </c>
      <c r="U1241" t="s">
        <v>2275</v>
      </c>
    </row>
    <row r="1242" spans="1:21" x14ac:dyDescent="0.25">
      <c r="A1242" t="s">
        <v>3642</v>
      </c>
      <c r="B1242" t="s">
        <v>4</v>
      </c>
      <c r="C1242" t="s">
        <v>154</v>
      </c>
      <c r="D1242" t="s">
        <v>24</v>
      </c>
      <c r="E1242" t="s">
        <v>1768</v>
      </c>
      <c r="F1242" t="s">
        <v>168</v>
      </c>
      <c r="G1242" t="s">
        <v>2271</v>
      </c>
      <c r="H1242" s="20">
        <v>46250</v>
      </c>
      <c r="I1242">
        <v>1800</v>
      </c>
      <c r="J1242">
        <v>76</v>
      </c>
      <c r="K1242">
        <v>70</v>
      </c>
      <c r="L1242">
        <v>65</v>
      </c>
      <c r="P1242" t="s">
        <v>2272</v>
      </c>
      <c r="Q1242" t="s">
        <v>3345</v>
      </c>
      <c r="R1242" t="s">
        <v>2423</v>
      </c>
      <c r="S1242">
        <v>4</v>
      </c>
      <c r="T1242" t="s">
        <v>2274</v>
      </c>
      <c r="U1242" t="s">
        <v>2275</v>
      </c>
    </row>
    <row r="1243" spans="1:21" x14ac:dyDescent="0.25">
      <c r="A1243" t="s">
        <v>3643</v>
      </c>
      <c r="B1243" t="s">
        <v>4</v>
      </c>
      <c r="C1243" t="s">
        <v>154</v>
      </c>
      <c r="D1243" t="s">
        <v>24</v>
      </c>
      <c r="E1243" t="s">
        <v>1769</v>
      </c>
      <c r="F1243" t="s">
        <v>240</v>
      </c>
      <c r="G1243" t="s">
        <v>2271</v>
      </c>
      <c r="H1243" s="20">
        <v>46250</v>
      </c>
      <c r="I1243">
        <v>1800</v>
      </c>
      <c r="J1243">
        <v>76</v>
      </c>
      <c r="K1243">
        <v>70</v>
      </c>
      <c r="L1243">
        <v>65</v>
      </c>
      <c r="P1243" t="s">
        <v>2272</v>
      </c>
      <c r="Q1243" t="s">
        <v>3345</v>
      </c>
      <c r="R1243" t="s">
        <v>2423</v>
      </c>
      <c r="S1243">
        <v>4</v>
      </c>
      <c r="T1243" t="s">
        <v>2274</v>
      </c>
      <c r="U1243" t="s">
        <v>2275</v>
      </c>
    </row>
    <row r="1244" spans="1:21" x14ac:dyDescent="0.25">
      <c r="A1244" t="s">
        <v>3644</v>
      </c>
      <c r="B1244" t="s">
        <v>4</v>
      </c>
      <c r="C1244" t="s">
        <v>154</v>
      </c>
      <c r="D1244" t="s">
        <v>24</v>
      </c>
      <c r="E1244" t="s">
        <v>1770</v>
      </c>
      <c r="F1244" t="s">
        <v>1030</v>
      </c>
      <c r="G1244" t="s">
        <v>2425</v>
      </c>
      <c r="H1244" s="20">
        <v>46250</v>
      </c>
      <c r="I1244">
        <v>1800</v>
      </c>
      <c r="J1244">
        <v>76</v>
      </c>
      <c r="K1244">
        <v>60</v>
      </c>
      <c r="L1244">
        <v>49</v>
      </c>
      <c r="M1244">
        <v>47</v>
      </c>
      <c r="N1244">
        <v>38</v>
      </c>
      <c r="P1244" t="s">
        <v>2272</v>
      </c>
      <c r="Q1244" t="s">
        <v>3064</v>
      </c>
      <c r="R1244" t="s">
        <v>2423</v>
      </c>
      <c r="S1244">
        <v>4</v>
      </c>
      <c r="T1244" t="s">
        <v>2274</v>
      </c>
      <c r="U1244" t="s">
        <v>2275</v>
      </c>
    </row>
    <row r="1245" spans="1:21" x14ac:dyDescent="0.25">
      <c r="A1245" t="s">
        <v>3645</v>
      </c>
      <c r="B1245" t="s">
        <v>4</v>
      </c>
      <c r="C1245" t="s">
        <v>154</v>
      </c>
      <c r="D1245" t="s">
        <v>24</v>
      </c>
      <c r="E1245" t="s">
        <v>1771</v>
      </c>
      <c r="F1245" t="s">
        <v>484</v>
      </c>
      <c r="G1245" t="s">
        <v>2425</v>
      </c>
      <c r="H1245" s="20">
        <v>46250</v>
      </c>
      <c r="I1245">
        <v>1800</v>
      </c>
      <c r="J1245">
        <v>76</v>
      </c>
      <c r="K1245">
        <v>60</v>
      </c>
      <c r="L1245">
        <v>49</v>
      </c>
      <c r="M1245">
        <v>47</v>
      </c>
      <c r="N1245">
        <v>38</v>
      </c>
      <c r="P1245" t="s">
        <v>2272</v>
      </c>
      <c r="Q1245" t="s">
        <v>3064</v>
      </c>
      <c r="R1245" t="s">
        <v>2423</v>
      </c>
      <c r="S1245">
        <v>4</v>
      </c>
      <c r="T1245" t="s">
        <v>2274</v>
      </c>
      <c r="U1245" t="s">
        <v>2275</v>
      </c>
    </row>
    <row r="1246" spans="1:21" x14ac:dyDescent="0.25">
      <c r="A1246" t="s">
        <v>3646</v>
      </c>
      <c r="B1246" t="s">
        <v>4</v>
      </c>
      <c r="C1246" t="s">
        <v>154</v>
      </c>
      <c r="D1246" t="s">
        <v>24</v>
      </c>
      <c r="E1246" t="s">
        <v>1772</v>
      </c>
      <c r="F1246" t="s">
        <v>784</v>
      </c>
      <c r="G1246" t="s">
        <v>2425</v>
      </c>
      <c r="H1246" s="20">
        <v>46250</v>
      </c>
      <c r="I1246">
        <v>1800</v>
      </c>
      <c r="J1246">
        <v>76</v>
      </c>
      <c r="K1246">
        <v>60</v>
      </c>
      <c r="L1246">
        <v>49</v>
      </c>
      <c r="M1246">
        <v>47</v>
      </c>
      <c r="N1246">
        <v>38</v>
      </c>
      <c r="P1246" t="s">
        <v>2272</v>
      </c>
      <c r="Q1246" t="s">
        <v>3064</v>
      </c>
      <c r="R1246" t="s">
        <v>2423</v>
      </c>
      <c r="S1246">
        <v>4</v>
      </c>
      <c r="T1246" t="s">
        <v>2274</v>
      </c>
      <c r="U1246" t="s">
        <v>2275</v>
      </c>
    </row>
    <row r="1247" spans="1:21" x14ac:dyDescent="0.25">
      <c r="A1247" t="s">
        <v>3647</v>
      </c>
      <c r="B1247" t="s">
        <v>4</v>
      </c>
      <c r="C1247" t="s">
        <v>154</v>
      </c>
      <c r="D1247" t="s">
        <v>24</v>
      </c>
      <c r="E1247" t="s">
        <v>1773</v>
      </c>
      <c r="F1247" t="s">
        <v>664</v>
      </c>
      <c r="G1247" t="s">
        <v>2425</v>
      </c>
      <c r="H1247" s="20">
        <v>46250</v>
      </c>
      <c r="I1247">
        <v>1800</v>
      </c>
      <c r="J1247">
        <v>76</v>
      </c>
      <c r="K1247">
        <v>60</v>
      </c>
      <c r="L1247">
        <v>49</v>
      </c>
      <c r="M1247">
        <v>47</v>
      </c>
      <c r="N1247">
        <v>38</v>
      </c>
      <c r="P1247" t="s">
        <v>2272</v>
      </c>
      <c r="Q1247" t="s">
        <v>3064</v>
      </c>
      <c r="R1247" t="s">
        <v>2423</v>
      </c>
      <c r="S1247">
        <v>4</v>
      </c>
      <c r="T1247" t="s">
        <v>2274</v>
      </c>
      <c r="U1247" t="s">
        <v>2275</v>
      </c>
    </row>
    <row r="1248" spans="1:21" x14ac:dyDescent="0.25">
      <c r="A1248" t="s">
        <v>3648</v>
      </c>
      <c r="B1248" t="s">
        <v>4</v>
      </c>
      <c r="C1248" t="s">
        <v>154</v>
      </c>
      <c r="D1248" t="s">
        <v>24</v>
      </c>
      <c r="E1248" t="s">
        <v>1774</v>
      </c>
      <c r="F1248" t="s">
        <v>678</v>
      </c>
      <c r="G1248" t="s">
        <v>2425</v>
      </c>
      <c r="H1248" s="20">
        <v>46250</v>
      </c>
      <c r="I1248">
        <v>1800</v>
      </c>
      <c r="J1248">
        <v>76</v>
      </c>
      <c r="K1248">
        <v>60</v>
      </c>
      <c r="L1248">
        <v>49</v>
      </c>
      <c r="M1248">
        <v>47</v>
      </c>
      <c r="N1248">
        <v>38</v>
      </c>
      <c r="P1248" t="s">
        <v>2272</v>
      </c>
      <c r="Q1248" t="s">
        <v>3064</v>
      </c>
      <c r="R1248" t="s">
        <v>2423</v>
      </c>
      <c r="S1248">
        <v>4</v>
      </c>
      <c r="T1248" t="s">
        <v>2274</v>
      </c>
      <c r="U1248" t="s">
        <v>2275</v>
      </c>
    </row>
    <row r="1249" spans="1:21" x14ac:dyDescent="0.25">
      <c r="A1249" t="s">
        <v>3649</v>
      </c>
      <c r="B1249" t="s">
        <v>4</v>
      </c>
      <c r="C1249" t="s">
        <v>154</v>
      </c>
      <c r="D1249" t="s">
        <v>24</v>
      </c>
      <c r="E1249" t="s">
        <v>1775</v>
      </c>
      <c r="F1249" t="s">
        <v>364</v>
      </c>
      <c r="G1249" t="s">
        <v>2425</v>
      </c>
      <c r="H1249" s="20">
        <v>46250</v>
      </c>
      <c r="I1249">
        <v>1800</v>
      </c>
      <c r="J1249">
        <v>76</v>
      </c>
      <c r="K1249">
        <v>60</v>
      </c>
      <c r="L1249">
        <v>49</v>
      </c>
      <c r="M1249">
        <v>47</v>
      </c>
      <c r="N1249">
        <v>38</v>
      </c>
      <c r="P1249" t="s">
        <v>2272</v>
      </c>
      <c r="Q1249" t="s">
        <v>3064</v>
      </c>
      <c r="R1249" t="s">
        <v>2423</v>
      </c>
      <c r="S1249">
        <v>4</v>
      </c>
      <c r="T1249" t="s">
        <v>2274</v>
      </c>
      <c r="U1249" t="s">
        <v>2275</v>
      </c>
    </row>
    <row r="1250" spans="1:21" x14ac:dyDescent="0.25">
      <c r="A1250" t="s">
        <v>3650</v>
      </c>
      <c r="B1250" t="s">
        <v>4</v>
      </c>
      <c r="C1250" t="s">
        <v>154</v>
      </c>
      <c r="D1250" t="s">
        <v>24</v>
      </c>
      <c r="E1250" t="s">
        <v>1776</v>
      </c>
      <c r="F1250" t="s">
        <v>530</v>
      </c>
      <c r="G1250" t="s">
        <v>2425</v>
      </c>
      <c r="H1250" s="20">
        <v>46250</v>
      </c>
      <c r="I1250">
        <v>1800</v>
      </c>
      <c r="J1250">
        <v>76</v>
      </c>
      <c r="K1250">
        <v>60</v>
      </c>
      <c r="L1250">
        <v>49</v>
      </c>
      <c r="M1250">
        <v>47</v>
      </c>
      <c r="N1250">
        <v>38</v>
      </c>
      <c r="P1250" t="s">
        <v>2272</v>
      </c>
      <c r="Q1250" t="s">
        <v>3064</v>
      </c>
      <c r="R1250" t="s">
        <v>2423</v>
      </c>
      <c r="S1250">
        <v>4</v>
      </c>
      <c r="T1250" t="s">
        <v>2274</v>
      </c>
      <c r="U1250" t="s">
        <v>2275</v>
      </c>
    </row>
    <row r="1251" spans="1:21" x14ac:dyDescent="0.25">
      <c r="A1251" t="s">
        <v>3651</v>
      </c>
      <c r="B1251" t="s">
        <v>4</v>
      </c>
      <c r="C1251" t="s">
        <v>154</v>
      </c>
      <c r="D1251" t="s">
        <v>24</v>
      </c>
      <c r="E1251" t="s">
        <v>1777</v>
      </c>
      <c r="F1251" t="s">
        <v>221</v>
      </c>
      <c r="G1251" t="s">
        <v>2425</v>
      </c>
      <c r="H1251" s="20">
        <v>46250</v>
      </c>
      <c r="I1251">
        <v>1800</v>
      </c>
      <c r="J1251">
        <v>76</v>
      </c>
      <c r="K1251">
        <v>60</v>
      </c>
      <c r="L1251">
        <v>49</v>
      </c>
      <c r="M1251">
        <v>47</v>
      </c>
      <c r="N1251">
        <v>38</v>
      </c>
      <c r="P1251" t="s">
        <v>2272</v>
      </c>
      <c r="Q1251" t="s">
        <v>3064</v>
      </c>
      <c r="R1251" t="s">
        <v>2423</v>
      </c>
      <c r="S1251">
        <v>4</v>
      </c>
      <c r="T1251" t="s">
        <v>2274</v>
      </c>
      <c r="U1251" t="s">
        <v>2275</v>
      </c>
    </row>
    <row r="1252" spans="1:21" x14ac:dyDescent="0.25">
      <c r="A1252" t="s">
        <v>3652</v>
      </c>
      <c r="B1252" t="s">
        <v>4</v>
      </c>
      <c r="C1252" t="s">
        <v>154</v>
      </c>
      <c r="D1252" t="s">
        <v>24</v>
      </c>
      <c r="E1252" t="s">
        <v>1778</v>
      </c>
      <c r="F1252" t="s">
        <v>62</v>
      </c>
      <c r="G1252" t="s">
        <v>2425</v>
      </c>
      <c r="H1252" s="20">
        <v>46250</v>
      </c>
      <c r="I1252">
        <v>1800</v>
      </c>
      <c r="J1252">
        <v>76</v>
      </c>
      <c r="K1252">
        <v>60</v>
      </c>
      <c r="L1252">
        <v>49</v>
      </c>
      <c r="M1252">
        <v>47</v>
      </c>
      <c r="N1252">
        <v>38</v>
      </c>
      <c r="P1252" t="s">
        <v>2272</v>
      </c>
      <c r="Q1252" t="s">
        <v>3064</v>
      </c>
      <c r="R1252" t="s">
        <v>2423</v>
      </c>
      <c r="S1252">
        <v>4</v>
      </c>
      <c r="T1252" t="s">
        <v>2274</v>
      </c>
      <c r="U1252" t="s">
        <v>2275</v>
      </c>
    </row>
    <row r="1253" spans="1:21" x14ac:dyDescent="0.25">
      <c r="A1253" t="s">
        <v>3653</v>
      </c>
      <c r="B1253" t="s">
        <v>4</v>
      </c>
      <c r="C1253" t="s">
        <v>154</v>
      </c>
      <c r="D1253" t="s">
        <v>24</v>
      </c>
      <c r="E1253" t="s">
        <v>1779</v>
      </c>
      <c r="F1253" t="s">
        <v>458</v>
      </c>
      <c r="G1253" t="s">
        <v>2425</v>
      </c>
      <c r="H1253" s="20">
        <v>46250</v>
      </c>
      <c r="I1253">
        <v>1800</v>
      </c>
      <c r="J1253">
        <v>76</v>
      </c>
      <c r="K1253">
        <v>60</v>
      </c>
      <c r="L1253">
        <v>49</v>
      </c>
      <c r="M1253">
        <v>47</v>
      </c>
      <c r="N1253">
        <v>38</v>
      </c>
      <c r="P1253" t="s">
        <v>2272</v>
      </c>
      <c r="Q1253" t="s">
        <v>3064</v>
      </c>
      <c r="R1253" t="s">
        <v>2423</v>
      </c>
      <c r="S1253">
        <v>4</v>
      </c>
      <c r="T1253" t="s">
        <v>2274</v>
      </c>
      <c r="U1253" t="s">
        <v>2275</v>
      </c>
    </row>
    <row r="1254" spans="1:21" x14ac:dyDescent="0.25">
      <c r="A1254" t="s">
        <v>3654</v>
      </c>
      <c r="B1254" t="s">
        <v>4</v>
      </c>
      <c r="C1254" t="s">
        <v>154</v>
      </c>
      <c r="D1254" t="s">
        <v>24</v>
      </c>
      <c r="E1254" t="s">
        <v>1780</v>
      </c>
      <c r="F1254" t="s">
        <v>1212</v>
      </c>
      <c r="G1254" t="s">
        <v>2425</v>
      </c>
      <c r="H1254" s="20">
        <v>46250</v>
      </c>
      <c r="I1254">
        <v>1800</v>
      </c>
      <c r="J1254">
        <v>76</v>
      </c>
      <c r="K1254">
        <v>60</v>
      </c>
      <c r="L1254">
        <v>49</v>
      </c>
      <c r="M1254">
        <v>47</v>
      </c>
      <c r="N1254">
        <v>38</v>
      </c>
      <c r="P1254" t="s">
        <v>2272</v>
      </c>
      <c r="Q1254" t="s">
        <v>3064</v>
      </c>
      <c r="R1254" t="s">
        <v>2423</v>
      </c>
      <c r="S1254">
        <v>4</v>
      </c>
      <c r="T1254" t="s">
        <v>2274</v>
      </c>
      <c r="U1254" t="s">
        <v>2275</v>
      </c>
    </row>
    <row r="1255" spans="1:21" x14ac:dyDescent="0.25">
      <c r="A1255" t="s">
        <v>3655</v>
      </c>
      <c r="B1255" t="s">
        <v>4</v>
      </c>
      <c r="C1255" t="s">
        <v>154</v>
      </c>
      <c r="D1255" t="s">
        <v>24</v>
      </c>
      <c r="E1255" t="s">
        <v>1781</v>
      </c>
      <c r="F1255" t="s">
        <v>1108</v>
      </c>
      <c r="G1255" t="s">
        <v>2425</v>
      </c>
      <c r="H1255" s="20">
        <v>46250</v>
      </c>
      <c r="I1255">
        <v>1800</v>
      </c>
      <c r="J1255">
        <v>76</v>
      </c>
      <c r="K1255">
        <v>60</v>
      </c>
      <c r="L1255">
        <v>49</v>
      </c>
      <c r="M1255">
        <v>47</v>
      </c>
      <c r="N1255">
        <v>38</v>
      </c>
      <c r="P1255" t="s">
        <v>2272</v>
      </c>
      <c r="Q1255" t="s">
        <v>3064</v>
      </c>
      <c r="R1255" t="s">
        <v>2423</v>
      </c>
      <c r="S1255">
        <v>4</v>
      </c>
      <c r="T1255" t="s">
        <v>2274</v>
      </c>
      <c r="U1255" t="s">
        <v>2275</v>
      </c>
    </row>
    <row r="1256" spans="1:21" x14ac:dyDescent="0.25">
      <c r="A1256" t="s">
        <v>3656</v>
      </c>
      <c r="B1256" t="s">
        <v>4</v>
      </c>
      <c r="C1256" t="s">
        <v>154</v>
      </c>
      <c r="D1256" t="s">
        <v>21</v>
      </c>
      <c r="E1256" t="s">
        <v>1782</v>
      </c>
      <c r="F1256" t="s">
        <v>1509</v>
      </c>
      <c r="G1256" t="s">
        <v>2444</v>
      </c>
      <c r="H1256" s="20">
        <v>46254</v>
      </c>
      <c r="I1256">
        <v>1500</v>
      </c>
      <c r="J1256">
        <v>82</v>
      </c>
      <c r="K1256">
        <v>72</v>
      </c>
      <c r="L1256">
        <v>56</v>
      </c>
      <c r="P1256" t="s">
        <v>2272</v>
      </c>
      <c r="Q1256" t="s">
        <v>3657</v>
      </c>
      <c r="R1256" t="s">
        <v>2446</v>
      </c>
      <c r="S1256">
        <v>9</v>
      </c>
      <c r="T1256" t="s">
        <v>3658</v>
      </c>
      <c r="U1256" t="s">
        <v>3659</v>
      </c>
    </row>
    <row r="1257" spans="1:21" x14ac:dyDescent="0.25">
      <c r="A1257" t="s">
        <v>3660</v>
      </c>
      <c r="B1257" t="s">
        <v>4</v>
      </c>
      <c r="C1257" t="s">
        <v>154</v>
      </c>
      <c r="D1257" t="s">
        <v>21</v>
      </c>
      <c r="E1257" t="s">
        <v>1783</v>
      </c>
      <c r="F1257" t="s">
        <v>1784</v>
      </c>
      <c r="G1257" t="s">
        <v>2444</v>
      </c>
      <c r="H1257" s="20">
        <v>46254</v>
      </c>
      <c r="I1257">
        <v>1500</v>
      </c>
      <c r="J1257">
        <v>82</v>
      </c>
      <c r="K1257">
        <v>72</v>
      </c>
      <c r="L1257">
        <v>56</v>
      </c>
      <c r="P1257" t="s">
        <v>2272</v>
      </c>
      <c r="Q1257" t="s">
        <v>3657</v>
      </c>
      <c r="R1257" t="s">
        <v>2446</v>
      </c>
      <c r="S1257">
        <v>9</v>
      </c>
      <c r="T1257" t="s">
        <v>3658</v>
      </c>
      <c r="U1257" t="s">
        <v>3659</v>
      </c>
    </row>
    <row r="1258" spans="1:21" x14ac:dyDescent="0.25">
      <c r="A1258" t="s">
        <v>3661</v>
      </c>
      <c r="B1258" t="s">
        <v>4</v>
      </c>
      <c r="C1258" t="s">
        <v>154</v>
      </c>
      <c r="D1258" t="s">
        <v>21</v>
      </c>
      <c r="E1258" t="s">
        <v>1785</v>
      </c>
      <c r="F1258" t="s">
        <v>480</v>
      </c>
      <c r="G1258" t="s">
        <v>2444</v>
      </c>
      <c r="H1258" s="20">
        <v>46254</v>
      </c>
      <c r="I1258">
        <v>1500</v>
      </c>
      <c r="J1258">
        <v>82</v>
      </c>
      <c r="K1258">
        <v>72</v>
      </c>
      <c r="L1258">
        <v>56</v>
      </c>
      <c r="P1258" t="s">
        <v>2272</v>
      </c>
      <c r="Q1258" t="s">
        <v>3657</v>
      </c>
      <c r="R1258" t="s">
        <v>2446</v>
      </c>
      <c r="S1258">
        <v>9</v>
      </c>
      <c r="T1258" t="s">
        <v>3658</v>
      </c>
      <c r="U1258" t="s">
        <v>3659</v>
      </c>
    </row>
    <row r="1259" spans="1:21" x14ac:dyDescent="0.25">
      <c r="A1259" t="s">
        <v>3662</v>
      </c>
      <c r="B1259" t="s">
        <v>4</v>
      </c>
      <c r="C1259" t="s">
        <v>154</v>
      </c>
      <c r="D1259" t="s">
        <v>21</v>
      </c>
      <c r="E1259" t="s">
        <v>1786</v>
      </c>
      <c r="F1259" t="s">
        <v>515</v>
      </c>
      <c r="G1259" t="s">
        <v>2444</v>
      </c>
      <c r="H1259" s="20">
        <v>46254</v>
      </c>
      <c r="I1259">
        <v>1500</v>
      </c>
      <c r="J1259">
        <v>82</v>
      </c>
      <c r="K1259">
        <v>72</v>
      </c>
      <c r="L1259">
        <v>56</v>
      </c>
      <c r="P1259" t="s">
        <v>2272</v>
      </c>
      <c r="Q1259" t="s">
        <v>3657</v>
      </c>
      <c r="R1259" t="s">
        <v>2446</v>
      </c>
      <c r="S1259">
        <v>9</v>
      </c>
      <c r="T1259" t="s">
        <v>3658</v>
      </c>
      <c r="U1259" t="s">
        <v>3659</v>
      </c>
    </row>
    <row r="1260" spans="1:21" x14ac:dyDescent="0.25">
      <c r="A1260" t="s">
        <v>3663</v>
      </c>
      <c r="B1260" t="s">
        <v>4</v>
      </c>
      <c r="C1260" t="s">
        <v>154</v>
      </c>
      <c r="D1260" t="s">
        <v>21</v>
      </c>
      <c r="E1260" t="s">
        <v>1787</v>
      </c>
      <c r="F1260" t="s">
        <v>157</v>
      </c>
      <c r="G1260" t="s">
        <v>2444</v>
      </c>
      <c r="H1260" s="20">
        <v>46254</v>
      </c>
      <c r="I1260">
        <v>1500</v>
      </c>
      <c r="J1260">
        <v>82</v>
      </c>
      <c r="K1260">
        <v>72</v>
      </c>
      <c r="L1260">
        <v>56</v>
      </c>
      <c r="P1260" t="s">
        <v>2272</v>
      </c>
      <c r="Q1260" t="s">
        <v>3657</v>
      </c>
      <c r="R1260" t="s">
        <v>2446</v>
      </c>
      <c r="S1260">
        <v>9</v>
      </c>
      <c r="T1260" t="s">
        <v>3658</v>
      </c>
      <c r="U1260" t="s">
        <v>3659</v>
      </c>
    </row>
    <row r="1261" spans="1:21" x14ac:dyDescent="0.25">
      <c r="A1261" t="s">
        <v>3664</v>
      </c>
      <c r="B1261" t="s">
        <v>4</v>
      </c>
      <c r="C1261" t="s">
        <v>154</v>
      </c>
      <c r="D1261" t="s">
        <v>21</v>
      </c>
      <c r="E1261" t="s">
        <v>1788</v>
      </c>
      <c r="F1261" t="s">
        <v>953</v>
      </c>
      <c r="G1261" t="s">
        <v>2444</v>
      </c>
      <c r="H1261" s="20">
        <v>46254</v>
      </c>
      <c r="I1261">
        <v>1500</v>
      </c>
      <c r="J1261">
        <v>82</v>
      </c>
      <c r="K1261">
        <v>72</v>
      </c>
      <c r="L1261">
        <v>56</v>
      </c>
      <c r="P1261" t="s">
        <v>2272</v>
      </c>
      <c r="Q1261" t="s">
        <v>3657</v>
      </c>
      <c r="R1261" t="s">
        <v>2446</v>
      </c>
      <c r="S1261">
        <v>9</v>
      </c>
      <c r="T1261" t="s">
        <v>3658</v>
      </c>
      <c r="U1261" t="s">
        <v>3659</v>
      </c>
    </row>
    <row r="1262" spans="1:21" x14ac:dyDescent="0.25">
      <c r="A1262" t="s">
        <v>3665</v>
      </c>
      <c r="B1262" t="s">
        <v>4</v>
      </c>
      <c r="C1262" t="s">
        <v>154</v>
      </c>
      <c r="D1262" t="s">
        <v>21</v>
      </c>
      <c r="E1262" t="s">
        <v>1789</v>
      </c>
      <c r="F1262" t="s">
        <v>298</v>
      </c>
      <c r="G1262" t="s">
        <v>2271</v>
      </c>
      <c r="H1262" s="20">
        <v>46254</v>
      </c>
      <c r="I1262">
        <v>1500</v>
      </c>
      <c r="J1262">
        <v>82</v>
      </c>
      <c r="K1262">
        <v>64</v>
      </c>
      <c r="L1262">
        <v>47</v>
      </c>
      <c r="M1262">
        <v>43</v>
      </c>
      <c r="P1262" t="s">
        <v>2272</v>
      </c>
      <c r="R1262" t="s">
        <v>2273</v>
      </c>
      <c r="S1262">
        <v>5</v>
      </c>
      <c r="T1262" t="s">
        <v>2319</v>
      </c>
      <c r="U1262" t="s">
        <v>2320</v>
      </c>
    </row>
    <row r="1263" spans="1:21" x14ac:dyDescent="0.25">
      <c r="A1263" t="s">
        <v>3666</v>
      </c>
      <c r="B1263" t="s">
        <v>4</v>
      </c>
      <c r="C1263" t="s">
        <v>154</v>
      </c>
      <c r="D1263" t="s">
        <v>21</v>
      </c>
      <c r="E1263" t="s">
        <v>1790</v>
      </c>
      <c r="F1263" t="s">
        <v>1030</v>
      </c>
      <c r="G1263" t="s">
        <v>2444</v>
      </c>
      <c r="H1263" s="20">
        <v>46254</v>
      </c>
      <c r="I1263">
        <v>1500</v>
      </c>
      <c r="J1263">
        <v>82</v>
      </c>
      <c r="K1263">
        <v>72</v>
      </c>
      <c r="L1263">
        <v>56</v>
      </c>
      <c r="P1263" t="s">
        <v>2272</v>
      </c>
      <c r="Q1263" t="s">
        <v>3657</v>
      </c>
      <c r="R1263" t="s">
        <v>2446</v>
      </c>
      <c r="S1263">
        <v>9</v>
      </c>
      <c r="T1263" t="s">
        <v>3658</v>
      </c>
      <c r="U1263" t="s">
        <v>3659</v>
      </c>
    </row>
    <row r="1264" spans="1:21" x14ac:dyDescent="0.25">
      <c r="A1264" t="s">
        <v>3667</v>
      </c>
      <c r="B1264" t="s">
        <v>4</v>
      </c>
      <c r="C1264" t="s">
        <v>154</v>
      </c>
      <c r="D1264" t="s">
        <v>21</v>
      </c>
      <c r="E1264" t="s">
        <v>1791</v>
      </c>
      <c r="F1264" t="s">
        <v>212</v>
      </c>
      <c r="G1264" t="s">
        <v>2271</v>
      </c>
      <c r="H1264" s="20">
        <v>46254</v>
      </c>
      <c r="I1264">
        <v>1500</v>
      </c>
      <c r="J1264">
        <v>82</v>
      </c>
      <c r="K1264">
        <v>64</v>
      </c>
      <c r="L1264">
        <v>47</v>
      </c>
      <c r="M1264">
        <v>43</v>
      </c>
      <c r="P1264" t="s">
        <v>2272</v>
      </c>
      <c r="R1264" t="s">
        <v>2273</v>
      </c>
      <c r="S1264">
        <v>5</v>
      </c>
      <c r="T1264" t="s">
        <v>2319</v>
      </c>
      <c r="U1264" t="s">
        <v>2320</v>
      </c>
    </row>
    <row r="1265" spans="1:21" x14ac:dyDescent="0.25">
      <c r="A1265" t="s">
        <v>3668</v>
      </c>
      <c r="B1265" t="s">
        <v>4</v>
      </c>
      <c r="C1265" t="s">
        <v>154</v>
      </c>
      <c r="D1265" t="s">
        <v>21</v>
      </c>
      <c r="E1265" t="s">
        <v>1792</v>
      </c>
      <c r="F1265" t="s">
        <v>1319</v>
      </c>
      <c r="G1265" t="s">
        <v>2271</v>
      </c>
      <c r="H1265" s="20">
        <v>46254</v>
      </c>
      <c r="I1265">
        <v>1500</v>
      </c>
      <c r="J1265">
        <v>82</v>
      </c>
      <c r="K1265">
        <v>64</v>
      </c>
      <c r="L1265">
        <v>47</v>
      </c>
      <c r="M1265">
        <v>43</v>
      </c>
      <c r="P1265" t="s">
        <v>2272</v>
      </c>
      <c r="R1265" t="s">
        <v>2273</v>
      </c>
      <c r="S1265">
        <v>5</v>
      </c>
      <c r="T1265" t="s">
        <v>2319</v>
      </c>
      <c r="U1265" t="s">
        <v>2320</v>
      </c>
    </row>
    <row r="1266" spans="1:21" x14ac:dyDescent="0.25">
      <c r="A1266" t="s">
        <v>3669</v>
      </c>
      <c r="B1266" t="s">
        <v>4</v>
      </c>
      <c r="C1266" t="s">
        <v>154</v>
      </c>
      <c r="D1266" t="s">
        <v>21</v>
      </c>
      <c r="E1266" t="s">
        <v>1793</v>
      </c>
      <c r="F1266" t="s">
        <v>165</v>
      </c>
      <c r="G1266" t="s">
        <v>2271</v>
      </c>
      <c r="H1266" s="20">
        <v>46254</v>
      </c>
      <c r="I1266">
        <v>1500</v>
      </c>
      <c r="J1266">
        <v>82</v>
      </c>
      <c r="K1266">
        <v>64</v>
      </c>
      <c r="L1266">
        <v>47</v>
      </c>
      <c r="M1266">
        <v>43</v>
      </c>
      <c r="P1266" t="s">
        <v>2272</v>
      </c>
      <c r="R1266" t="s">
        <v>2273</v>
      </c>
      <c r="S1266">
        <v>5</v>
      </c>
      <c r="T1266" t="s">
        <v>2319</v>
      </c>
      <c r="U1266" t="s">
        <v>2320</v>
      </c>
    </row>
    <row r="1267" spans="1:21" x14ac:dyDescent="0.25">
      <c r="A1267" t="s">
        <v>3670</v>
      </c>
      <c r="B1267" t="s">
        <v>4</v>
      </c>
      <c r="C1267" t="s">
        <v>154</v>
      </c>
      <c r="D1267" t="s">
        <v>21</v>
      </c>
      <c r="E1267" t="s">
        <v>1794</v>
      </c>
      <c r="F1267" t="s">
        <v>413</v>
      </c>
      <c r="G1267" t="s">
        <v>2271</v>
      </c>
      <c r="H1267" s="20">
        <v>46254</v>
      </c>
      <c r="I1267">
        <v>1500</v>
      </c>
      <c r="J1267">
        <v>82</v>
      </c>
      <c r="K1267">
        <v>64</v>
      </c>
      <c r="L1267">
        <v>47</v>
      </c>
      <c r="M1267">
        <v>43</v>
      </c>
      <c r="P1267" t="s">
        <v>2272</v>
      </c>
      <c r="R1267" t="s">
        <v>2273</v>
      </c>
      <c r="S1267">
        <v>5</v>
      </c>
      <c r="T1267" t="s">
        <v>2319</v>
      </c>
      <c r="U1267" t="s">
        <v>2320</v>
      </c>
    </row>
    <row r="1268" spans="1:21" x14ac:dyDescent="0.25">
      <c r="A1268" t="s">
        <v>3671</v>
      </c>
      <c r="B1268" t="s">
        <v>4</v>
      </c>
      <c r="C1268" t="s">
        <v>154</v>
      </c>
      <c r="D1268" t="s">
        <v>21</v>
      </c>
      <c r="E1268" t="s">
        <v>1795</v>
      </c>
      <c r="F1268" t="s">
        <v>413</v>
      </c>
      <c r="G1268" t="s">
        <v>2271</v>
      </c>
      <c r="H1268" s="20">
        <v>46254</v>
      </c>
      <c r="I1268">
        <v>1500</v>
      </c>
      <c r="J1268">
        <v>82</v>
      </c>
      <c r="K1268">
        <v>64</v>
      </c>
      <c r="L1268">
        <v>47</v>
      </c>
      <c r="M1268">
        <v>43</v>
      </c>
      <c r="P1268" t="s">
        <v>2272</v>
      </c>
      <c r="R1268" t="s">
        <v>2273</v>
      </c>
      <c r="S1268">
        <v>5</v>
      </c>
      <c r="T1268" t="s">
        <v>2319</v>
      </c>
      <c r="U1268" t="s">
        <v>2320</v>
      </c>
    </row>
    <row r="1269" spans="1:21" x14ac:dyDescent="0.25">
      <c r="A1269" t="s">
        <v>3672</v>
      </c>
      <c r="B1269" t="s">
        <v>4</v>
      </c>
      <c r="C1269" t="s">
        <v>154</v>
      </c>
      <c r="D1269" t="s">
        <v>21</v>
      </c>
      <c r="E1269" t="s">
        <v>405</v>
      </c>
      <c r="F1269" t="s">
        <v>293</v>
      </c>
      <c r="G1269" t="s">
        <v>2271</v>
      </c>
      <c r="H1269" s="20">
        <v>46254</v>
      </c>
      <c r="I1269">
        <v>1500</v>
      </c>
      <c r="J1269">
        <v>82</v>
      </c>
      <c r="K1269">
        <v>64</v>
      </c>
      <c r="L1269">
        <v>47</v>
      </c>
      <c r="M1269">
        <v>43</v>
      </c>
      <c r="P1269" t="s">
        <v>2272</v>
      </c>
      <c r="R1269" t="s">
        <v>2273</v>
      </c>
      <c r="S1269">
        <v>5</v>
      </c>
      <c r="T1269" t="s">
        <v>2319</v>
      </c>
      <c r="U1269" t="s">
        <v>2320</v>
      </c>
    </row>
    <row r="1270" spans="1:21" x14ac:dyDescent="0.25">
      <c r="A1270" t="s">
        <v>3673</v>
      </c>
      <c r="B1270" t="s">
        <v>4</v>
      </c>
      <c r="C1270" t="s">
        <v>154</v>
      </c>
      <c r="D1270" t="s">
        <v>21</v>
      </c>
      <c r="E1270" t="s">
        <v>1796</v>
      </c>
      <c r="F1270" t="s">
        <v>108</v>
      </c>
      <c r="G1270" t="s">
        <v>2271</v>
      </c>
      <c r="H1270" s="20">
        <v>46254</v>
      </c>
      <c r="I1270">
        <v>1500</v>
      </c>
      <c r="J1270">
        <v>82</v>
      </c>
      <c r="K1270">
        <v>64</v>
      </c>
      <c r="L1270">
        <v>47</v>
      </c>
      <c r="M1270">
        <v>43</v>
      </c>
      <c r="P1270" t="s">
        <v>2272</v>
      </c>
      <c r="R1270" t="s">
        <v>2273</v>
      </c>
      <c r="S1270">
        <v>5</v>
      </c>
      <c r="T1270" t="s">
        <v>2319</v>
      </c>
      <c r="U1270" t="s">
        <v>2320</v>
      </c>
    </row>
    <row r="1271" spans="1:21" x14ac:dyDescent="0.25">
      <c r="A1271" t="s">
        <v>3674</v>
      </c>
      <c r="B1271" t="s">
        <v>4</v>
      </c>
      <c r="C1271" t="s">
        <v>154</v>
      </c>
      <c r="D1271" t="s">
        <v>21</v>
      </c>
      <c r="E1271" t="s">
        <v>1797</v>
      </c>
      <c r="F1271" t="s">
        <v>317</v>
      </c>
      <c r="G1271" t="s">
        <v>2271</v>
      </c>
      <c r="H1271" s="20">
        <v>46254</v>
      </c>
      <c r="I1271">
        <v>1500</v>
      </c>
      <c r="J1271">
        <v>82</v>
      </c>
      <c r="K1271">
        <v>64</v>
      </c>
      <c r="L1271">
        <v>47</v>
      </c>
      <c r="M1271">
        <v>43</v>
      </c>
      <c r="P1271" t="s">
        <v>2272</v>
      </c>
      <c r="R1271" t="s">
        <v>2273</v>
      </c>
      <c r="S1271">
        <v>5</v>
      </c>
      <c r="T1271" t="s">
        <v>2319</v>
      </c>
      <c r="U1271" t="s">
        <v>2320</v>
      </c>
    </row>
    <row r="1272" spans="1:21" x14ac:dyDescent="0.25">
      <c r="A1272" t="s">
        <v>3675</v>
      </c>
      <c r="B1272" t="s">
        <v>4</v>
      </c>
      <c r="C1272" t="s">
        <v>154</v>
      </c>
      <c r="D1272" t="s">
        <v>21</v>
      </c>
      <c r="E1272" t="s">
        <v>1798</v>
      </c>
      <c r="F1272" t="s">
        <v>62</v>
      </c>
      <c r="G1272" t="s">
        <v>2271</v>
      </c>
      <c r="H1272" s="20">
        <v>46254</v>
      </c>
      <c r="I1272">
        <v>1500</v>
      </c>
      <c r="J1272">
        <v>82</v>
      </c>
      <c r="K1272">
        <v>64</v>
      </c>
      <c r="L1272">
        <v>47</v>
      </c>
      <c r="M1272">
        <v>43</v>
      </c>
      <c r="P1272" t="s">
        <v>2272</v>
      </c>
      <c r="R1272" t="s">
        <v>2273</v>
      </c>
      <c r="S1272">
        <v>5</v>
      </c>
      <c r="T1272" t="s">
        <v>2319</v>
      </c>
      <c r="U1272" t="s">
        <v>2320</v>
      </c>
    </row>
    <row r="1273" spans="1:21" x14ac:dyDescent="0.25">
      <c r="A1273" t="s">
        <v>3676</v>
      </c>
      <c r="B1273" t="s">
        <v>4</v>
      </c>
      <c r="C1273" t="s">
        <v>154</v>
      </c>
      <c r="D1273" t="s">
        <v>21</v>
      </c>
      <c r="E1273" t="s">
        <v>1799</v>
      </c>
      <c r="F1273" t="s">
        <v>1207</v>
      </c>
      <c r="G1273" t="s">
        <v>2271</v>
      </c>
      <c r="H1273" s="20">
        <v>46254</v>
      </c>
      <c r="I1273">
        <v>1500</v>
      </c>
      <c r="J1273">
        <v>82</v>
      </c>
      <c r="K1273">
        <v>64</v>
      </c>
      <c r="L1273">
        <v>47</v>
      </c>
      <c r="M1273">
        <v>43</v>
      </c>
      <c r="P1273" t="s">
        <v>2272</v>
      </c>
      <c r="R1273" t="s">
        <v>2273</v>
      </c>
      <c r="S1273">
        <v>5</v>
      </c>
      <c r="T1273" t="s">
        <v>2319</v>
      </c>
      <c r="U1273" t="s">
        <v>2320</v>
      </c>
    </row>
    <row r="1274" spans="1:21" x14ac:dyDescent="0.25">
      <c r="A1274" t="s">
        <v>3677</v>
      </c>
      <c r="B1274" t="s">
        <v>4</v>
      </c>
      <c r="C1274" t="s">
        <v>154</v>
      </c>
      <c r="D1274" t="s">
        <v>21</v>
      </c>
      <c r="E1274" t="s">
        <v>1800</v>
      </c>
      <c r="F1274" t="s">
        <v>1376</v>
      </c>
      <c r="G1274" t="s">
        <v>2271</v>
      </c>
      <c r="H1274" s="20">
        <v>46254</v>
      </c>
      <c r="I1274">
        <v>1500</v>
      </c>
      <c r="J1274">
        <v>82</v>
      </c>
      <c r="K1274">
        <v>64</v>
      </c>
      <c r="L1274">
        <v>47</v>
      </c>
      <c r="M1274">
        <v>43</v>
      </c>
      <c r="P1274" t="s">
        <v>2272</v>
      </c>
      <c r="R1274" t="s">
        <v>2273</v>
      </c>
      <c r="S1274">
        <v>5</v>
      </c>
      <c r="T1274" t="s">
        <v>2319</v>
      </c>
      <c r="U1274" t="s">
        <v>2320</v>
      </c>
    </row>
    <row r="1275" spans="1:21" x14ac:dyDescent="0.25">
      <c r="A1275" t="s">
        <v>3678</v>
      </c>
      <c r="B1275" t="s">
        <v>4</v>
      </c>
      <c r="C1275" t="s">
        <v>154</v>
      </c>
      <c r="D1275" t="s">
        <v>26</v>
      </c>
      <c r="E1275" t="s">
        <v>1801</v>
      </c>
      <c r="F1275" t="s">
        <v>711</v>
      </c>
      <c r="H1275" s="20"/>
      <c r="P1275" t="s">
        <v>2291</v>
      </c>
      <c r="R1275" t="s">
        <v>2292</v>
      </c>
    </row>
    <row r="1276" spans="1:21" x14ac:dyDescent="0.25">
      <c r="A1276" t="s">
        <v>3679</v>
      </c>
      <c r="B1276" t="s">
        <v>4</v>
      </c>
      <c r="C1276" t="s">
        <v>154</v>
      </c>
      <c r="D1276" t="s">
        <v>26</v>
      </c>
      <c r="E1276" t="s">
        <v>1802</v>
      </c>
      <c r="F1276" t="s">
        <v>400</v>
      </c>
      <c r="H1276" s="20"/>
      <c r="P1276" t="s">
        <v>2291</v>
      </c>
      <c r="R1276" t="s">
        <v>2292</v>
      </c>
    </row>
    <row r="1277" spans="1:21" x14ac:dyDescent="0.25">
      <c r="A1277" t="s">
        <v>3680</v>
      </c>
      <c r="B1277" t="s">
        <v>4</v>
      </c>
      <c r="C1277" t="s">
        <v>154</v>
      </c>
      <c r="D1277" t="s">
        <v>26</v>
      </c>
      <c r="E1277" t="s">
        <v>1803</v>
      </c>
      <c r="F1277" t="s">
        <v>72</v>
      </c>
      <c r="H1277" s="20"/>
      <c r="P1277" t="s">
        <v>2291</v>
      </c>
      <c r="R1277" t="s">
        <v>2292</v>
      </c>
    </row>
    <row r="1278" spans="1:21" x14ac:dyDescent="0.25">
      <c r="A1278" t="s">
        <v>3681</v>
      </c>
      <c r="B1278" t="s">
        <v>4</v>
      </c>
      <c r="C1278" t="s">
        <v>154</v>
      </c>
      <c r="D1278" t="s">
        <v>26</v>
      </c>
      <c r="E1278" t="s">
        <v>1804</v>
      </c>
      <c r="F1278" t="s">
        <v>1217</v>
      </c>
      <c r="H1278" s="20"/>
      <c r="P1278" t="s">
        <v>2291</v>
      </c>
      <c r="R1278" t="s">
        <v>2292</v>
      </c>
    </row>
    <row r="1279" spans="1:21" x14ac:dyDescent="0.25">
      <c r="A1279" t="s">
        <v>3682</v>
      </c>
      <c r="B1279" t="s">
        <v>4</v>
      </c>
      <c r="C1279" t="s">
        <v>154</v>
      </c>
      <c r="D1279" t="s">
        <v>26</v>
      </c>
      <c r="E1279" t="s">
        <v>1805</v>
      </c>
      <c r="F1279" t="s">
        <v>651</v>
      </c>
      <c r="H1279" s="20"/>
      <c r="P1279" t="s">
        <v>2291</v>
      </c>
      <c r="R1279" t="s">
        <v>2292</v>
      </c>
    </row>
    <row r="1280" spans="1:21" x14ac:dyDescent="0.25">
      <c r="A1280" t="s">
        <v>3683</v>
      </c>
      <c r="B1280" t="s">
        <v>4</v>
      </c>
      <c r="C1280" t="s">
        <v>154</v>
      </c>
      <c r="D1280" t="s">
        <v>26</v>
      </c>
      <c r="E1280" t="s">
        <v>1806</v>
      </c>
      <c r="F1280" t="s">
        <v>855</v>
      </c>
      <c r="H1280" s="20"/>
      <c r="P1280" t="s">
        <v>2291</v>
      </c>
      <c r="R1280" t="s">
        <v>2292</v>
      </c>
    </row>
    <row r="1281" spans="1:21" x14ac:dyDescent="0.25">
      <c r="A1281" t="s">
        <v>3684</v>
      </c>
      <c r="B1281" t="s">
        <v>4</v>
      </c>
      <c r="C1281" t="s">
        <v>154</v>
      </c>
      <c r="D1281" t="s">
        <v>21</v>
      </c>
      <c r="E1281" t="s">
        <v>1807</v>
      </c>
      <c r="F1281" t="s">
        <v>953</v>
      </c>
      <c r="G1281" t="s">
        <v>2444</v>
      </c>
      <c r="H1281" s="20">
        <v>46254</v>
      </c>
      <c r="I1281">
        <v>1500</v>
      </c>
      <c r="J1281">
        <v>82</v>
      </c>
      <c r="K1281">
        <v>72</v>
      </c>
      <c r="L1281">
        <v>56</v>
      </c>
      <c r="P1281" t="s">
        <v>2272</v>
      </c>
      <c r="Q1281" t="s">
        <v>3657</v>
      </c>
      <c r="R1281" t="s">
        <v>2446</v>
      </c>
      <c r="S1281">
        <v>9</v>
      </c>
      <c r="T1281" t="s">
        <v>3658</v>
      </c>
      <c r="U1281" t="s">
        <v>3659</v>
      </c>
    </row>
    <row r="1282" spans="1:21" x14ac:dyDescent="0.25">
      <c r="A1282" t="s">
        <v>3685</v>
      </c>
      <c r="B1282" t="s">
        <v>4</v>
      </c>
      <c r="C1282" t="s">
        <v>154</v>
      </c>
      <c r="D1282" t="s">
        <v>21</v>
      </c>
      <c r="E1282" t="s">
        <v>1808</v>
      </c>
      <c r="F1282" t="s">
        <v>419</v>
      </c>
      <c r="G1282" t="s">
        <v>2271</v>
      </c>
      <c r="H1282" s="20">
        <v>46254</v>
      </c>
      <c r="I1282">
        <v>1500</v>
      </c>
      <c r="J1282">
        <v>82</v>
      </c>
      <c r="K1282">
        <v>64</v>
      </c>
      <c r="L1282">
        <v>47</v>
      </c>
      <c r="M1282">
        <v>43</v>
      </c>
      <c r="P1282" t="s">
        <v>2272</v>
      </c>
      <c r="R1282" t="s">
        <v>2273</v>
      </c>
      <c r="S1282">
        <v>5</v>
      </c>
      <c r="T1282" t="s">
        <v>2319</v>
      </c>
      <c r="U1282" t="s">
        <v>2320</v>
      </c>
    </row>
    <row r="1283" spans="1:21" x14ac:dyDescent="0.25">
      <c r="A1283" t="s">
        <v>3686</v>
      </c>
      <c r="B1283" t="s">
        <v>4</v>
      </c>
      <c r="C1283" t="s">
        <v>154</v>
      </c>
      <c r="D1283" t="s">
        <v>21</v>
      </c>
      <c r="E1283" t="s">
        <v>1809</v>
      </c>
      <c r="F1283" t="s">
        <v>752</v>
      </c>
      <c r="G1283" t="s">
        <v>2271</v>
      </c>
      <c r="H1283" s="20">
        <v>46254</v>
      </c>
      <c r="I1283">
        <v>1500</v>
      </c>
      <c r="J1283">
        <v>82</v>
      </c>
      <c r="K1283">
        <v>64</v>
      </c>
      <c r="L1283">
        <v>47</v>
      </c>
      <c r="M1283">
        <v>43</v>
      </c>
      <c r="P1283" t="s">
        <v>2272</v>
      </c>
      <c r="R1283" t="s">
        <v>2273</v>
      </c>
      <c r="S1283">
        <v>5</v>
      </c>
      <c r="T1283" t="s">
        <v>2319</v>
      </c>
      <c r="U1283" t="s">
        <v>2320</v>
      </c>
    </row>
    <row r="1284" spans="1:21" x14ac:dyDescent="0.25">
      <c r="A1284" t="s">
        <v>3687</v>
      </c>
      <c r="B1284" t="s">
        <v>4</v>
      </c>
      <c r="C1284" t="s">
        <v>541</v>
      </c>
      <c r="D1284" t="s">
        <v>24</v>
      </c>
      <c r="E1284" t="s">
        <v>1811</v>
      </c>
      <c r="F1284" t="s">
        <v>451</v>
      </c>
      <c r="G1284" t="s">
        <v>2271</v>
      </c>
      <c r="H1284" s="20">
        <v>46250</v>
      </c>
      <c r="I1284">
        <v>1800</v>
      </c>
      <c r="J1284">
        <v>70</v>
      </c>
      <c r="K1284">
        <v>65</v>
      </c>
      <c r="L1284">
        <v>60</v>
      </c>
      <c r="P1284" t="s">
        <v>2272</v>
      </c>
      <c r="Q1284" t="s">
        <v>3345</v>
      </c>
      <c r="R1284" t="s">
        <v>2423</v>
      </c>
      <c r="S1284">
        <v>4</v>
      </c>
      <c r="T1284" t="s">
        <v>2274</v>
      </c>
      <c r="U1284" t="s">
        <v>2275</v>
      </c>
    </row>
    <row r="1285" spans="1:21" x14ac:dyDescent="0.25">
      <c r="A1285" t="s">
        <v>3688</v>
      </c>
      <c r="B1285" t="s">
        <v>4</v>
      </c>
      <c r="C1285" t="s">
        <v>541</v>
      </c>
      <c r="D1285" t="s">
        <v>24</v>
      </c>
      <c r="E1285" t="s">
        <v>1812</v>
      </c>
      <c r="F1285" t="s">
        <v>307</v>
      </c>
      <c r="G1285" t="s">
        <v>2271</v>
      </c>
      <c r="H1285" s="20">
        <v>46250</v>
      </c>
      <c r="I1285">
        <v>1800</v>
      </c>
      <c r="J1285">
        <v>70</v>
      </c>
      <c r="K1285">
        <v>65</v>
      </c>
      <c r="L1285">
        <v>60</v>
      </c>
      <c r="P1285" t="s">
        <v>2272</v>
      </c>
      <c r="Q1285" t="s">
        <v>3345</v>
      </c>
      <c r="R1285" t="s">
        <v>2423</v>
      </c>
      <c r="S1285">
        <v>4</v>
      </c>
      <c r="T1285" t="s">
        <v>2274</v>
      </c>
      <c r="U1285" t="s">
        <v>2275</v>
      </c>
    </row>
    <row r="1286" spans="1:21" x14ac:dyDescent="0.25">
      <c r="A1286" t="s">
        <v>3689</v>
      </c>
      <c r="B1286" t="s">
        <v>4</v>
      </c>
      <c r="C1286" t="s">
        <v>541</v>
      </c>
      <c r="D1286" t="s">
        <v>24</v>
      </c>
      <c r="E1286" t="s">
        <v>1813</v>
      </c>
      <c r="F1286" t="s">
        <v>953</v>
      </c>
      <c r="G1286" t="s">
        <v>2271</v>
      </c>
      <c r="H1286" s="20">
        <v>46250</v>
      </c>
      <c r="I1286">
        <v>1800</v>
      </c>
      <c r="J1286">
        <v>70</v>
      </c>
      <c r="K1286">
        <v>65</v>
      </c>
      <c r="L1286">
        <v>60</v>
      </c>
      <c r="P1286" t="s">
        <v>2272</v>
      </c>
      <c r="Q1286" t="s">
        <v>3345</v>
      </c>
      <c r="R1286" t="s">
        <v>2423</v>
      </c>
      <c r="S1286">
        <v>4</v>
      </c>
      <c r="T1286" t="s">
        <v>2274</v>
      </c>
      <c r="U1286" t="s">
        <v>2275</v>
      </c>
    </row>
    <row r="1287" spans="1:21" x14ac:dyDescent="0.25">
      <c r="A1287" t="s">
        <v>3690</v>
      </c>
      <c r="B1287" t="s">
        <v>4</v>
      </c>
      <c r="C1287" t="s">
        <v>541</v>
      </c>
      <c r="D1287" t="s">
        <v>24</v>
      </c>
      <c r="E1287" t="s">
        <v>1814</v>
      </c>
      <c r="F1287" t="s">
        <v>836</v>
      </c>
      <c r="G1287" t="s">
        <v>2425</v>
      </c>
      <c r="H1287" s="20">
        <v>46250</v>
      </c>
      <c r="I1287">
        <v>1800</v>
      </c>
      <c r="J1287">
        <v>70</v>
      </c>
      <c r="K1287">
        <v>65</v>
      </c>
      <c r="L1287">
        <v>55</v>
      </c>
      <c r="M1287">
        <v>44</v>
      </c>
      <c r="P1287" t="s">
        <v>2272</v>
      </c>
      <c r="Q1287" t="s">
        <v>3064</v>
      </c>
      <c r="R1287" t="s">
        <v>2423</v>
      </c>
      <c r="S1287">
        <v>4</v>
      </c>
      <c r="T1287" t="s">
        <v>2274</v>
      </c>
      <c r="U1287" t="s">
        <v>2275</v>
      </c>
    </row>
    <row r="1288" spans="1:21" x14ac:dyDescent="0.25">
      <c r="A1288" t="s">
        <v>3691</v>
      </c>
      <c r="B1288" t="s">
        <v>4</v>
      </c>
      <c r="C1288" t="s">
        <v>541</v>
      </c>
      <c r="D1288" t="s">
        <v>24</v>
      </c>
      <c r="E1288" t="s">
        <v>1815</v>
      </c>
      <c r="F1288" t="s">
        <v>237</v>
      </c>
      <c r="G1288" t="s">
        <v>2425</v>
      </c>
      <c r="H1288" s="20">
        <v>46250</v>
      </c>
      <c r="I1288">
        <v>1800</v>
      </c>
      <c r="J1288">
        <v>70</v>
      </c>
      <c r="K1288">
        <v>65</v>
      </c>
      <c r="L1288">
        <v>55</v>
      </c>
      <c r="M1288">
        <v>44</v>
      </c>
      <c r="P1288" t="s">
        <v>2272</v>
      </c>
      <c r="Q1288" t="s">
        <v>3064</v>
      </c>
      <c r="R1288" t="s">
        <v>2423</v>
      </c>
      <c r="S1288">
        <v>4</v>
      </c>
      <c r="T1288" t="s">
        <v>2274</v>
      </c>
      <c r="U1288" t="s">
        <v>2275</v>
      </c>
    </row>
    <row r="1289" spans="1:21" x14ac:dyDescent="0.25">
      <c r="A1289" t="s">
        <v>3692</v>
      </c>
      <c r="B1289" t="s">
        <v>4</v>
      </c>
      <c r="C1289" t="s">
        <v>541</v>
      </c>
      <c r="D1289" t="s">
        <v>24</v>
      </c>
      <c r="E1289" t="s">
        <v>1816</v>
      </c>
      <c r="F1289" t="s">
        <v>368</v>
      </c>
      <c r="G1289" t="s">
        <v>2425</v>
      </c>
      <c r="H1289" s="20">
        <v>46250</v>
      </c>
      <c r="I1289">
        <v>1800</v>
      </c>
      <c r="J1289">
        <v>70</v>
      </c>
      <c r="K1289">
        <v>65</v>
      </c>
      <c r="L1289">
        <v>55</v>
      </c>
      <c r="M1289">
        <v>44</v>
      </c>
      <c r="P1289" t="s">
        <v>2272</v>
      </c>
      <c r="Q1289" t="s">
        <v>3064</v>
      </c>
      <c r="R1289" t="s">
        <v>2423</v>
      </c>
      <c r="S1289">
        <v>4</v>
      </c>
      <c r="T1289" t="s">
        <v>2274</v>
      </c>
      <c r="U1289" t="s">
        <v>2275</v>
      </c>
    </row>
    <row r="1290" spans="1:21" x14ac:dyDescent="0.25">
      <c r="A1290" t="s">
        <v>3693</v>
      </c>
      <c r="B1290" t="s">
        <v>4</v>
      </c>
      <c r="C1290" t="s">
        <v>541</v>
      </c>
      <c r="D1290" t="s">
        <v>24</v>
      </c>
      <c r="E1290" t="s">
        <v>1817</v>
      </c>
      <c r="F1290" t="s">
        <v>195</v>
      </c>
      <c r="G1290" t="s">
        <v>2425</v>
      </c>
      <c r="H1290" s="20">
        <v>46250</v>
      </c>
      <c r="I1290">
        <v>1800</v>
      </c>
      <c r="J1290">
        <v>70</v>
      </c>
      <c r="K1290">
        <v>65</v>
      </c>
      <c r="L1290">
        <v>55</v>
      </c>
      <c r="M1290">
        <v>44</v>
      </c>
      <c r="P1290" t="s">
        <v>2272</v>
      </c>
      <c r="Q1290" t="s">
        <v>3064</v>
      </c>
      <c r="R1290" t="s">
        <v>2423</v>
      </c>
      <c r="S1290">
        <v>4</v>
      </c>
      <c r="T1290" t="s">
        <v>2274</v>
      </c>
      <c r="U1290" t="s">
        <v>2275</v>
      </c>
    </row>
    <row r="1291" spans="1:21" x14ac:dyDescent="0.25">
      <c r="A1291" t="s">
        <v>3694</v>
      </c>
      <c r="B1291" t="s">
        <v>4</v>
      </c>
      <c r="C1291" t="s">
        <v>541</v>
      </c>
      <c r="D1291" t="s">
        <v>24</v>
      </c>
      <c r="E1291" t="s">
        <v>1818</v>
      </c>
      <c r="F1291" t="s">
        <v>219</v>
      </c>
      <c r="G1291" t="s">
        <v>2425</v>
      </c>
      <c r="H1291" s="20">
        <v>46250</v>
      </c>
      <c r="I1291">
        <v>1800</v>
      </c>
      <c r="J1291">
        <v>70</v>
      </c>
      <c r="K1291">
        <v>65</v>
      </c>
      <c r="L1291">
        <v>55</v>
      </c>
      <c r="M1291">
        <v>44</v>
      </c>
      <c r="P1291" t="s">
        <v>2272</v>
      </c>
      <c r="Q1291" t="s">
        <v>3064</v>
      </c>
      <c r="R1291" t="s">
        <v>2423</v>
      </c>
      <c r="S1291">
        <v>4</v>
      </c>
      <c r="T1291" t="s">
        <v>2274</v>
      </c>
      <c r="U1291" t="s">
        <v>2275</v>
      </c>
    </row>
    <row r="1292" spans="1:21" x14ac:dyDescent="0.25">
      <c r="A1292" t="s">
        <v>3695</v>
      </c>
      <c r="B1292" t="s">
        <v>4</v>
      </c>
      <c r="C1292" t="s">
        <v>541</v>
      </c>
      <c r="D1292" t="s">
        <v>24</v>
      </c>
      <c r="E1292" t="s">
        <v>1819</v>
      </c>
      <c r="F1292" t="s">
        <v>49</v>
      </c>
      <c r="G1292" t="s">
        <v>2425</v>
      </c>
      <c r="H1292" s="20">
        <v>46250</v>
      </c>
      <c r="I1292">
        <v>1800</v>
      </c>
      <c r="J1292">
        <v>70</v>
      </c>
      <c r="K1292">
        <v>65</v>
      </c>
      <c r="L1292">
        <v>55</v>
      </c>
      <c r="M1292">
        <v>44</v>
      </c>
      <c r="P1292" t="s">
        <v>2272</v>
      </c>
      <c r="Q1292" t="s">
        <v>3064</v>
      </c>
      <c r="R1292" t="s">
        <v>2423</v>
      </c>
      <c r="S1292">
        <v>4</v>
      </c>
      <c r="T1292" t="s">
        <v>2274</v>
      </c>
      <c r="U1292" t="s">
        <v>2275</v>
      </c>
    </row>
    <row r="1293" spans="1:21" x14ac:dyDescent="0.25">
      <c r="A1293" t="s">
        <v>3696</v>
      </c>
      <c r="B1293" t="s">
        <v>4</v>
      </c>
      <c r="C1293" t="s">
        <v>541</v>
      </c>
      <c r="D1293" t="s">
        <v>24</v>
      </c>
      <c r="E1293" t="s">
        <v>1820</v>
      </c>
      <c r="F1293" t="s">
        <v>62</v>
      </c>
      <c r="G1293" t="s">
        <v>2425</v>
      </c>
      <c r="H1293" s="20">
        <v>46250</v>
      </c>
      <c r="I1293">
        <v>1800</v>
      </c>
      <c r="J1293">
        <v>70</v>
      </c>
      <c r="K1293">
        <v>65</v>
      </c>
      <c r="L1293">
        <v>55</v>
      </c>
      <c r="M1293">
        <v>44</v>
      </c>
      <c r="P1293" t="s">
        <v>2272</v>
      </c>
      <c r="Q1293" t="s">
        <v>3064</v>
      </c>
      <c r="R1293" t="s">
        <v>2423</v>
      </c>
      <c r="S1293">
        <v>4</v>
      </c>
      <c r="T1293" t="s">
        <v>2274</v>
      </c>
      <c r="U1293" t="s">
        <v>2275</v>
      </c>
    </row>
    <row r="1294" spans="1:21" x14ac:dyDescent="0.25">
      <c r="A1294" t="s">
        <v>3697</v>
      </c>
      <c r="B1294" t="s">
        <v>4</v>
      </c>
      <c r="C1294" t="s">
        <v>541</v>
      </c>
      <c r="D1294" t="s">
        <v>24</v>
      </c>
      <c r="E1294" t="s">
        <v>1821</v>
      </c>
      <c r="F1294" t="s">
        <v>974</v>
      </c>
      <c r="G1294" t="s">
        <v>2425</v>
      </c>
      <c r="H1294" s="20">
        <v>46250</v>
      </c>
      <c r="I1294">
        <v>1800</v>
      </c>
      <c r="J1294">
        <v>70</v>
      </c>
      <c r="K1294">
        <v>65</v>
      </c>
      <c r="L1294">
        <v>55</v>
      </c>
      <c r="M1294">
        <v>44</v>
      </c>
      <c r="P1294" t="s">
        <v>2272</v>
      </c>
      <c r="Q1294" t="s">
        <v>3064</v>
      </c>
      <c r="R1294" t="s">
        <v>2423</v>
      </c>
      <c r="S1294">
        <v>4</v>
      </c>
      <c r="T1294" t="s">
        <v>2274</v>
      </c>
      <c r="U1294" t="s">
        <v>2275</v>
      </c>
    </row>
    <row r="1295" spans="1:21" x14ac:dyDescent="0.25">
      <c r="A1295" t="s">
        <v>3698</v>
      </c>
      <c r="B1295" t="s">
        <v>4</v>
      </c>
      <c r="C1295" t="s">
        <v>541</v>
      </c>
      <c r="D1295" t="s">
        <v>24</v>
      </c>
      <c r="E1295" t="s">
        <v>1822</v>
      </c>
      <c r="F1295" t="s">
        <v>1108</v>
      </c>
      <c r="G1295" t="s">
        <v>2425</v>
      </c>
      <c r="H1295" s="20">
        <v>46250</v>
      </c>
      <c r="I1295">
        <v>1800</v>
      </c>
      <c r="J1295">
        <v>70</v>
      </c>
      <c r="K1295">
        <v>65</v>
      </c>
      <c r="L1295">
        <v>55</v>
      </c>
      <c r="M1295">
        <v>44</v>
      </c>
      <c r="P1295" t="s">
        <v>2272</v>
      </c>
      <c r="Q1295" t="s">
        <v>3064</v>
      </c>
      <c r="R1295" t="s">
        <v>2423</v>
      </c>
      <c r="S1295">
        <v>4</v>
      </c>
      <c r="T1295" t="s">
        <v>2274</v>
      </c>
      <c r="U1295" t="s">
        <v>2275</v>
      </c>
    </row>
    <row r="1296" spans="1:21" x14ac:dyDescent="0.25">
      <c r="A1296" t="s">
        <v>3699</v>
      </c>
      <c r="B1296" t="s">
        <v>4</v>
      </c>
      <c r="C1296" t="s">
        <v>541</v>
      </c>
      <c r="D1296" t="s">
        <v>21</v>
      </c>
      <c r="E1296" t="s">
        <v>1823</v>
      </c>
      <c r="F1296" t="s">
        <v>1185</v>
      </c>
      <c r="G1296" t="s">
        <v>2271</v>
      </c>
      <c r="H1296" s="20">
        <v>46254</v>
      </c>
      <c r="I1296">
        <v>1500</v>
      </c>
      <c r="J1296">
        <v>68</v>
      </c>
      <c r="K1296">
        <v>50</v>
      </c>
      <c r="L1296">
        <v>43</v>
      </c>
      <c r="M1296">
        <v>40</v>
      </c>
      <c r="P1296" t="s">
        <v>2272</v>
      </c>
      <c r="R1296" t="s">
        <v>2273</v>
      </c>
      <c r="S1296">
        <v>5</v>
      </c>
      <c r="T1296" t="s">
        <v>2319</v>
      </c>
      <c r="U1296" t="s">
        <v>2320</v>
      </c>
    </row>
    <row r="1297" spans="1:21" x14ac:dyDescent="0.25">
      <c r="A1297" t="s">
        <v>3700</v>
      </c>
      <c r="B1297" t="s">
        <v>4</v>
      </c>
      <c r="C1297" t="s">
        <v>541</v>
      </c>
      <c r="D1297" t="s">
        <v>21</v>
      </c>
      <c r="E1297" t="s">
        <v>1824</v>
      </c>
      <c r="F1297" t="s">
        <v>1825</v>
      </c>
      <c r="G1297" t="s">
        <v>2271</v>
      </c>
      <c r="H1297" s="20">
        <v>46254</v>
      </c>
      <c r="I1297">
        <v>1500</v>
      </c>
      <c r="J1297">
        <v>68</v>
      </c>
      <c r="K1297">
        <v>50</v>
      </c>
      <c r="L1297">
        <v>43</v>
      </c>
      <c r="M1297">
        <v>40</v>
      </c>
      <c r="P1297" t="s">
        <v>2272</v>
      </c>
      <c r="R1297" t="s">
        <v>2273</v>
      </c>
      <c r="S1297">
        <v>5</v>
      </c>
      <c r="T1297" t="s">
        <v>2319</v>
      </c>
      <c r="U1297" t="s">
        <v>2320</v>
      </c>
    </row>
    <row r="1298" spans="1:21" x14ac:dyDescent="0.25">
      <c r="A1298" t="s">
        <v>3701</v>
      </c>
      <c r="B1298" t="s">
        <v>4</v>
      </c>
      <c r="C1298" t="s">
        <v>541</v>
      </c>
      <c r="D1298" t="s">
        <v>21</v>
      </c>
      <c r="E1298" t="s">
        <v>1826</v>
      </c>
      <c r="F1298" t="s">
        <v>1827</v>
      </c>
      <c r="G1298" t="s">
        <v>2444</v>
      </c>
      <c r="H1298" s="20">
        <v>46254</v>
      </c>
      <c r="I1298">
        <v>1500</v>
      </c>
      <c r="J1298">
        <v>78</v>
      </c>
      <c r="K1298">
        <v>58</v>
      </c>
      <c r="L1298">
        <v>52</v>
      </c>
      <c r="P1298" t="s">
        <v>2272</v>
      </c>
      <c r="Q1298" t="s">
        <v>3702</v>
      </c>
      <c r="R1298" t="s">
        <v>2446</v>
      </c>
      <c r="S1298">
        <v>8</v>
      </c>
      <c r="T1298" t="s">
        <v>2660</v>
      </c>
      <c r="U1298" t="s">
        <v>2661</v>
      </c>
    </row>
    <row r="1299" spans="1:21" x14ac:dyDescent="0.25">
      <c r="A1299" t="s">
        <v>3703</v>
      </c>
      <c r="B1299" t="s">
        <v>4</v>
      </c>
      <c r="C1299" t="s">
        <v>541</v>
      </c>
      <c r="D1299" t="s">
        <v>21</v>
      </c>
      <c r="E1299" t="s">
        <v>1828</v>
      </c>
      <c r="F1299" t="s">
        <v>86</v>
      </c>
      <c r="G1299" t="s">
        <v>2444</v>
      </c>
      <c r="H1299" s="20">
        <v>46254</v>
      </c>
      <c r="I1299">
        <v>1500</v>
      </c>
      <c r="J1299">
        <v>78</v>
      </c>
      <c r="K1299">
        <v>58</v>
      </c>
      <c r="L1299">
        <v>52</v>
      </c>
      <c r="P1299" t="s">
        <v>2272</v>
      </c>
      <c r="Q1299" t="s">
        <v>3702</v>
      </c>
      <c r="R1299" t="s">
        <v>2446</v>
      </c>
      <c r="S1299">
        <v>8</v>
      </c>
      <c r="T1299" t="s">
        <v>2660</v>
      </c>
      <c r="U1299" t="s">
        <v>2661</v>
      </c>
    </row>
    <row r="1300" spans="1:21" x14ac:dyDescent="0.25">
      <c r="A1300" t="s">
        <v>3704</v>
      </c>
      <c r="B1300" t="s">
        <v>4</v>
      </c>
      <c r="C1300" t="s">
        <v>541</v>
      </c>
      <c r="D1300" t="s">
        <v>21</v>
      </c>
      <c r="E1300" t="s">
        <v>1828</v>
      </c>
      <c r="F1300" t="s">
        <v>676</v>
      </c>
      <c r="G1300" t="s">
        <v>2444</v>
      </c>
      <c r="H1300" s="20">
        <v>46254</v>
      </c>
      <c r="I1300">
        <v>1500</v>
      </c>
      <c r="J1300">
        <v>78</v>
      </c>
      <c r="K1300">
        <v>58</v>
      </c>
      <c r="L1300">
        <v>52</v>
      </c>
      <c r="P1300" t="s">
        <v>2272</v>
      </c>
      <c r="Q1300" t="s">
        <v>3702</v>
      </c>
      <c r="R1300" t="s">
        <v>2446</v>
      </c>
      <c r="S1300">
        <v>8</v>
      </c>
      <c r="T1300" t="s">
        <v>2660</v>
      </c>
      <c r="U1300" t="s">
        <v>2661</v>
      </c>
    </row>
    <row r="1301" spans="1:21" x14ac:dyDescent="0.25">
      <c r="A1301" t="s">
        <v>3705</v>
      </c>
      <c r="B1301" t="s">
        <v>4</v>
      </c>
      <c r="C1301" t="s">
        <v>541</v>
      </c>
      <c r="D1301" t="s">
        <v>21</v>
      </c>
      <c r="E1301" t="s">
        <v>1829</v>
      </c>
      <c r="F1301" t="s">
        <v>157</v>
      </c>
      <c r="G1301" t="s">
        <v>2444</v>
      </c>
      <c r="H1301" s="20">
        <v>46254</v>
      </c>
      <c r="I1301">
        <v>1500</v>
      </c>
      <c r="J1301">
        <v>78</v>
      </c>
      <c r="K1301">
        <v>58</v>
      </c>
      <c r="L1301">
        <v>52</v>
      </c>
      <c r="P1301" t="s">
        <v>2272</v>
      </c>
      <c r="Q1301" t="s">
        <v>3702</v>
      </c>
      <c r="R1301" t="s">
        <v>2446</v>
      </c>
      <c r="S1301">
        <v>8</v>
      </c>
      <c r="T1301" t="s">
        <v>2660</v>
      </c>
      <c r="U1301" t="s">
        <v>2661</v>
      </c>
    </row>
    <row r="1302" spans="1:21" x14ac:dyDescent="0.25">
      <c r="A1302" t="s">
        <v>3706</v>
      </c>
      <c r="B1302" t="s">
        <v>4</v>
      </c>
      <c r="C1302" t="s">
        <v>541</v>
      </c>
      <c r="D1302" t="s">
        <v>21</v>
      </c>
      <c r="E1302" t="s">
        <v>1830</v>
      </c>
      <c r="F1302" t="s">
        <v>1030</v>
      </c>
      <c r="G1302" t="s">
        <v>2271</v>
      </c>
      <c r="H1302" s="20">
        <v>46254</v>
      </c>
      <c r="I1302">
        <v>1500</v>
      </c>
      <c r="J1302">
        <v>68</v>
      </c>
      <c r="K1302">
        <v>50</v>
      </c>
      <c r="L1302">
        <v>43</v>
      </c>
      <c r="M1302">
        <v>40</v>
      </c>
      <c r="P1302" t="s">
        <v>2272</v>
      </c>
      <c r="R1302" t="s">
        <v>2273</v>
      </c>
      <c r="S1302">
        <v>5</v>
      </c>
      <c r="T1302" t="s">
        <v>2319</v>
      </c>
      <c r="U1302" t="s">
        <v>2320</v>
      </c>
    </row>
    <row r="1303" spans="1:21" x14ac:dyDescent="0.25">
      <c r="A1303" t="s">
        <v>3707</v>
      </c>
      <c r="B1303" t="s">
        <v>4</v>
      </c>
      <c r="C1303" t="s">
        <v>541</v>
      </c>
      <c r="D1303" t="s">
        <v>21</v>
      </c>
      <c r="E1303" t="s">
        <v>1830</v>
      </c>
      <c r="F1303" t="s">
        <v>382</v>
      </c>
      <c r="G1303" t="s">
        <v>2271</v>
      </c>
      <c r="H1303" s="20">
        <v>46254</v>
      </c>
      <c r="I1303">
        <v>1500</v>
      </c>
      <c r="J1303">
        <v>68</v>
      </c>
      <c r="K1303">
        <v>50</v>
      </c>
      <c r="L1303">
        <v>43</v>
      </c>
      <c r="M1303">
        <v>40</v>
      </c>
      <c r="P1303" t="s">
        <v>2272</v>
      </c>
      <c r="R1303" t="s">
        <v>2273</v>
      </c>
      <c r="S1303">
        <v>5</v>
      </c>
      <c r="T1303" t="s">
        <v>2319</v>
      </c>
      <c r="U1303" t="s">
        <v>2320</v>
      </c>
    </row>
    <row r="1304" spans="1:21" x14ac:dyDescent="0.25">
      <c r="A1304" t="s">
        <v>3708</v>
      </c>
      <c r="B1304" t="s">
        <v>4</v>
      </c>
      <c r="C1304" t="s">
        <v>541</v>
      </c>
      <c r="D1304" t="s">
        <v>21</v>
      </c>
      <c r="E1304" t="s">
        <v>1831</v>
      </c>
      <c r="F1304" t="s">
        <v>443</v>
      </c>
      <c r="G1304" t="s">
        <v>2271</v>
      </c>
      <c r="H1304" s="20">
        <v>46254</v>
      </c>
      <c r="I1304">
        <v>1500</v>
      </c>
      <c r="J1304">
        <v>68</v>
      </c>
      <c r="K1304">
        <v>50</v>
      </c>
      <c r="L1304">
        <v>43</v>
      </c>
      <c r="M1304">
        <v>40</v>
      </c>
      <c r="P1304" t="s">
        <v>2272</v>
      </c>
      <c r="R1304" t="s">
        <v>2273</v>
      </c>
      <c r="S1304">
        <v>5</v>
      </c>
      <c r="T1304" t="s">
        <v>2319</v>
      </c>
      <c r="U1304" t="s">
        <v>2320</v>
      </c>
    </row>
    <row r="1305" spans="1:21" x14ac:dyDescent="0.25">
      <c r="A1305" t="s">
        <v>3709</v>
      </c>
      <c r="B1305" t="s">
        <v>4</v>
      </c>
      <c r="C1305" t="s">
        <v>541</v>
      </c>
      <c r="D1305" t="s">
        <v>21</v>
      </c>
      <c r="E1305" t="s">
        <v>1832</v>
      </c>
      <c r="F1305" t="s">
        <v>1319</v>
      </c>
      <c r="G1305" t="s">
        <v>2271</v>
      </c>
      <c r="H1305" s="20">
        <v>46254</v>
      </c>
      <c r="I1305">
        <v>1500</v>
      </c>
      <c r="J1305">
        <v>68</v>
      </c>
      <c r="K1305">
        <v>50</v>
      </c>
      <c r="L1305">
        <v>43</v>
      </c>
      <c r="M1305">
        <v>40</v>
      </c>
      <c r="P1305" t="s">
        <v>2272</v>
      </c>
      <c r="R1305" t="s">
        <v>2273</v>
      </c>
      <c r="S1305">
        <v>5</v>
      </c>
      <c r="T1305" t="s">
        <v>2319</v>
      </c>
      <c r="U1305" t="s">
        <v>2320</v>
      </c>
    </row>
    <row r="1306" spans="1:21" x14ac:dyDescent="0.25">
      <c r="A1306" t="s">
        <v>3710</v>
      </c>
      <c r="B1306" t="s">
        <v>4</v>
      </c>
      <c r="C1306" t="s">
        <v>541</v>
      </c>
      <c r="D1306" t="s">
        <v>21</v>
      </c>
      <c r="E1306" t="s">
        <v>1833</v>
      </c>
      <c r="F1306" t="s">
        <v>1319</v>
      </c>
      <c r="G1306" t="s">
        <v>2271</v>
      </c>
      <c r="H1306" s="20">
        <v>46254</v>
      </c>
      <c r="I1306">
        <v>1500</v>
      </c>
      <c r="J1306">
        <v>68</v>
      </c>
      <c r="K1306">
        <v>50</v>
      </c>
      <c r="L1306">
        <v>43</v>
      </c>
      <c r="M1306">
        <v>40</v>
      </c>
      <c r="P1306" t="s">
        <v>2272</v>
      </c>
      <c r="R1306" t="s">
        <v>2273</v>
      </c>
      <c r="S1306">
        <v>5</v>
      </c>
      <c r="T1306" t="s">
        <v>2319</v>
      </c>
      <c r="U1306" t="s">
        <v>2320</v>
      </c>
    </row>
    <row r="1307" spans="1:21" x14ac:dyDescent="0.25">
      <c r="A1307" t="s">
        <v>3711</v>
      </c>
      <c r="B1307" t="s">
        <v>4</v>
      </c>
      <c r="C1307" t="s">
        <v>541</v>
      </c>
      <c r="D1307" t="s">
        <v>21</v>
      </c>
      <c r="E1307" t="s">
        <v>1834</v>
      </c>
      <c r="F1307" t="s">
        <v>60</v>
      </c>
      <c r="G1307" t="s">
        <v>2271</v>
      </c>
      <c r="H1307" s="20">
        <v>46254</v>
      </c>
      <c r="I1307">
        <v>1500</v>
      </c>
      <c r="J1307">
        <v>68</v>
      </c>
      <c r="K1307">
        <v>50</v>
      </c>
      <c r="L1307">
        <v>43</v>
      </c>
      <c r="M1307">
        <v>40</v>
      </c>
      <c r="P1307" t="s">
        <v>2272</v>
      </c>
      <c r="R1307" t="s">
        <v>2273</v>
      </c>
      <c r="S1307">
        <v>5</v>
      </c>
      <c r="T1307" t="s">
        <v>2319</v>
      </c>
      <c r="U1307" t="s">
        <v>2320</v>
      </c>
    </row>
    <row r="1308" spans="1:21" x14ac:dyDescent="0.25">
      <c r="A1308" t="s">
        <v>3712</v>
      </c>
      <c r="B1308" t="s">
        <v>4</v>
      </c>
      <c r="C1308" t="s">
        <v>541</v>
      </c>
      <c r="D1308" t="s">
        <v>21</v>
      </c>
      <c r="E1308" t="s">
        <v>1835</v>
      </c>
      <c r="F1308" t="s">
        <v>293</v>
      </c>
      <c r="G1308" t="s">
        <v>2271</v>
      </c>
      <c r="H1308" s="20">
        <v>46254</v>
      </c>
      <c r="I1308">
        <v>1500</v>
      </c>
      <c r="J1308">
        <v>68</v>
      </c>
      <c r="K1308">
        <v>50</v>
      </c>
      <c r="L1308">
        <v>43</v>
      </c>
      <c r="M1308">
        <v>40</v>
      </c>
      <c r="P1308" t="s">
        <v>2272</v>
      </c>
      <c r="R1308" t="s">
        <v>2273</v>
      </c>
      <c r="S1308">
        <v>5</v>
      </c>
      <c r="T1308" t="s">
        <v>2319</v>
      </c>
      <c r="U1308" t="s">
        <v>2320</v>
      </c>
    </row>
    <row r="1309" spans="1:21" x14ac:dyDescent="0.25">
      <c r="A1309" t="s">
        <v>3713</v>
      </c>
      <c r="B1309" t="s">
        <v>4</v>
      </c>
      <c r="C1309" t="s">
        <v>541</v>
      </c>
      <c r="D1309" t="s">
        <v>21</v>
      </c>
      <c r="E1309" t="s">
        <v>1836</v>
      </c>
      <c r="F1309" t="s">
        <v>232</v>
      </c>
      <c r="G1309" t="s">
        <v>2271</v>
      </c>
      <c r="H1309" s="20">
        <v>46254</v>
      </c>
      <c r="I1309">
        <v>1500</v>
      </c>
      <c r="J1309">
        <v>68</v>
      </c>
      <c r="K1309">
        <v>50</v>
      </c>
      <c r="L1309">
        <v>43</v>
      </c>
      <c r="M1309">
        <v>40</v>
      </c>
      <c r="P1309" t="s">
        <v>2272</v>
      </c>
      <c r="R1309" t="s">
        <v>2273</v>
      </c>
      <c r="S1309">
        <v>5</v>
      </c>
      <c r="T1309" t="s">
        <v>2319</v>
      </c>
      <c r="U1309" t="s">
        <v>2320</v>
      </c>
    </row>
    <row r="1310" spans="1:21" x14ac:dyDescent="0.25">
      <c r="A1310" t="s">
        <v>3714</v>
      </c>
      <c r="B1310" t="s">
        <v>4</v>
      </c>
      <c r="C1310" t="s">
        <v>541</v>
      </c>
      <c r="D1310" t="s">
        <v>21</v>
      </c>
      <c r="E1310" t="s">
        <v>1836</v>
      </c>
      <c r="F1310" t="s">
        <v>693</v>
      </c>
      <c r="G1310" t="s">
        <v>2271</v>
      </c>
      <c r="H1310" s="20">
        <v>46254</v>
      </c>
      <c r="I1310">
        <v>1500</v>
      </c>
      <c r="J1310">
        <v>68</v>
      </c>
      <c r="K1310">
        <v>50</v>
      </c>
      <c r="L1310">
        <v>43</v>
      </c>
      <c r="M1310">
        <v>40</v>
      </c>
      <c r="P1310" t="s">
        <v>2272</v>
      </c>
      <c r="R1310" t="s">
        <v>2273</v>
      </c>
      <c r="S1310">
        <v>5</v>
      </c>
      <c r="T1310" t="s">
        <v>2319</v>
      </c>
      <c r="U1310" t="s">
        <v>2320</v>
      </c>
    </row>
    <row r="1311" spans="1:21" x14ac:dyDescent="0.25">
      <c r="A1311" t="s">
        <v>3715</v>
      </c>
      <c r="B1311" t="s">
        <v>4</v>
      </c>
      <c r="C1311" t="s">
        <v>541</v>
      </c>
      <c r="D1311" t="s">
        <v>21</v>
      </c>
      <c r="E1311" t="s">
        <v>1837</v>
      </c>
      <c r="F1311" t="s">
        <v>303</v>
      </c>
      <c r="G1311" t="s">
        <v>2271</v>
      </c>
      <c r="H1311" s="20">
        <v>46254</v>
      </c>
      <c r="I1311">
        <v>1500</v>
      </c>
      <c r="J1311">
        <v>68</v>
      </c>
      <c r="K1311">
        <v>50</v>
      </c>
      <c r="L1311">
        <v>43</v>
      </c>
      <c r="M1311">
        <v>40</v>
      </c>
      <c r="P1311" t="s">
        <v>2272</v>
      </c>
      <c r="R1311" t="s">
        <v>2273</v>
      </c>
      <c r="S1311">
        <v>5</v>
      </c>
      <c r="T1311" t="s">
        <v>2319</v>
      </c>
      <c r="U1311" t="s">
        <v>2320</v>
      </c>
    </row>
    <row r="1312" spans="1:21" x14ac:dyDescent="0.25">
      <c r="A1312" t="s">
        <v>3716</v>
      </c>
      <c r="B1312" t="s">
        <v>4</v>
      </c>
      <c r="C1312" t="s">
        <v>541</v>
      </c>
      <c r="D1312" t="s">
        <v>21</v>
      </c>
      <c r="E1312" t="s">
        <v>1838</v>
      </c>
      <c r="F1312" t="s">
        <v>1212</v>
      </c>
      <c r="G1312" t="s">
        <v>2271</v>
      </c>
      <c r="H1312" s="20">
        <v>46254</v>
      </c>
      <c r="I1312">
        <v>1500</v>
      </c>
      <c r="J1312">
        <v>68</v>
      </c>
      <c r="K1312">
        <v>50</v>
      </c>
      <c r="L1312">
        <v>43</v>
      </c>
      <c r="M1312">
        <v>40</v>
      </c>
      <c r="P1312" t="s">
        <v>2272</v>
      </c>
      <c r="R1312" t="s">
        <v>2273</v>
      </c>
      <c r="S1312">
        <v>5</v>
      </c>
      <c r="T1312" t="s">
        <v>2319</v>
      </c>
      <c r="U1312" t="s">
        <v>2320</v>
      </c>
    </row>
    <row r="1313" spans="1:21" x14ac:dyDescent="0.25">
      <c r="A1313" t="s">
        <v>3717</v>
      </c>
      <c r="B1313" t="s">
        <v>4</v>
      </c>
      <c r="C1313" t="s">
        <v>541</v>
      </c>
      <c r="D1313" t="s">
        <v>29</v>
      </c>
      <c r="E1313" t="s">
        <v>1839</v>
      </c>
      <c r="F1313" t="s">
        <v>72</v>
      </c>
      <c r="H1313" s="20"/>
      <c r="P1313" t="s">
        <v>2291</v>
      </c>
      <c r="R1313" t="s">
        <v>2292</v>
      </c>
    </row>
    <row r="1314" spans="1:21" x14ac:dyDescent="0.25">
      <c r="A1314" t="s">
        <v>3718</v>
      </c>
      <c r="B1314" t="s">
        <v>4</v>
      </c>
      <c r="C1314" t="s">
        <v>541</v>
      </c>
      <c r="D1314" t="s">
        <v>26</v>
      </c>
      <c r="E1314" t="s">
        <v>1840</v>
      </c>
      <c r="F1314" t="s">
        <v>319</v>
      </c>
      <c r="H1314" s="20"/>
      <c r="P1314" t="s">
        <v>2291</v>
      </c>
      <c r="R1314" t="s">
        <v>2292</v>
      </c>
    </row>
    <row r="1315" spans="1:21" x14ac:dyDescent="0.25">
      <c r="A1315" t="s">
        <v>3719</v>
      </c>
      <c r="B1315" t="s">
        <v>4</v>
      </c>
      <c r="C1315" t="s">
        <v>541</v>
      </c>
      <c r="D1315" t="s">
        <v>26</v>
      </c>
      <c r="E1315" t="s">
        <v>1841</v>
      </c>
      <c r="F1315" t="s">
        <v>466</v>
      </c>
      <c r="H1315" s="20"/>
      <c r="P1315" t="s">
        <v>2291</v>
      </c>
      <c r="R1315" t="s">
        <v>2292</v>
      </c>
    </row>
    <row r="1316" spans="1:21" x14ac:dyDescent="0.25">
      <c r="A1316" t="s">
        <v>3720</v>
      </c>
      <c r="B1316" t="s">
        <v>4</v>
      </c>
      <c r="C1316" t="s">
        <v>541</v>
      </c>
      <c r="D1316" t="s">
        <v>26</v>
      </c>
      <c r="E1316" t="s">
        <v>1841</v>
      </c>
      <c r="F1316" t="s">
        <v>378</v>
      </c>
      <c r="H1316" s="20"/>
      <c r="P1316" t="s">
        <v>2291</v>
      </c>
      <c r="R1316" t="s">
        <v>2292</v>
      </c>
    </row>
    <row r="1317" spans="1:21" x14ac:dyDescent="0.25">
      <c r="A1317" t="s">
        <v>3721</v>
      </c>
      <c r="B1317" t="s">
        <v>4</v>
      </c>
      <c r="C1317" t="s">
        <v>904</v>
      </c>
      <c r="D1317" t="s">
        <v>24</v>
      </c>
      <c r="E1317" t="s">
        <v>1843</v>
      </c>
      <c r="F1317" t="s">
        <v>1844</v>
      </c>
      <c r="G1317" t="s">
        <v>2271</v>
      </c>
      <c r="H1317" s="20">
        <v>46250</v>
      </c>
      <c r="I1317">
        <v>1800</v>
      </c>
      <c r="J1317">
        <v>74</v>
      </c>
      <c r="K1317">
        <v>64</v>
      </c>
      <c r="L1317">
        <v>60</v>
      </c>
      <c r="P1317" t="s">
        <v>2272</v>
      </c>
      <c r="Q1317" t="s">
        <v>3345</v>
      </c>
      <c r="R1317" t="s">
        <v>2423</v>
      </c>
      <c r="S1317">
        <v>4</v>
      </c>
      <c r="T1317" t="s">
        <v>2274</v>
      </c>
      <c r="U1317" t="s">
        <v>2275</v>
      </c>
    </row>
    <row r="1318" spans="1:21" x14ac:dyDescent="0.25">
      <c r="A1318" t="s">
        <v>3722</v>
      </c>
      <c r="B1318" t="s">
        <v>4</v>
      </c>
      <c r="C1318" t="s">
        <v>904</v>
      </c>
      <c r="D1318" t="s">
        <v>24</v>
      </c>
      <c r="E1318" t="s">
        <v>1845</v>
      </c>
      <c r="F1318" t="s">
        <v>215</v>
      </c>
      <c r="G1318" t="s">
        <v>2271</v>
      </c>
      <c r="H1318" s="20">
        <v>46250</v>
      </c>
      <c r="I1318">
        <v>1800</v>
      </c>
      <c r="J1318">
        <v>74</v>
      </c>
      <c r="K1318">
        <v>64</v>
      </c>
      <c r="L1318">
        <v>60</v>
      </c>
      <c r="P1318" t="s">
        <v>2272</v>
      </c>
      <c r="Q1318" t="s">
        <v>3345</v>
      </c>
      <c r="R1318" t="s">
        <v>2423</v>
      </c>
      <c r="S1318">
        <v>4</v>
      </c>
      <c r="T1318" t="s">
        <v>2274</v>
      </c>
      <c r="U1318" t="s">
        <v>2275</v>
      </c>
    </row>
    <row r="1319" spans="1:21" x14ac:dyDescent="0.25">
      <c r="A1319" t="s">
        <v>3723</v>
      </c>
      <c r="B1319" t="s">
        <v>4</v>
      </c>
      <c r="C1319" t="s">
        <v>904</v>
      </c>
      <c r="D1319" t="s">
        <v>24</v>
      </c>
      <c r="E1319" t="s">
        <v>1846</v>
      </c>
      <c r="F1319" t="s">
        <v>953</v>
      </c>
      <c r="G1319" t="s">
        <v>2271</v>
      </c>
      <c r="H1319" s="20">
        <v>46250</v>
      </c>
      <c r="I1319">
        <v>1800</v>
      </c>
      <c r="J1319">
        <v>74</v>
      </c>
      <c r="K1319">
        <v>64</v>
      </c>
      <c r="L1319">
        <v>60</v>
      </c>
      <c r="P1319" t="s">
        <v>2272</v>
      </c>
      <c r="Q1319" t="s">
        <v>3345</v>
      </c>
      <c r="R1319" t="s">
        <v>2423</v>
      </c>
      <c r="S1319">
        <v>4</v>
      </c>
      <c r="T1319" t="s">
        <v>2274</v>
      </c>
      <c r="U1319" t="s">
        <v>2275</v>
      </c>
    </row>
    <row r="1320" spans="1:21" x14ac:dyDescent="0.25">
      <c r="A1320" t="s">
        <v>3724</v>
      </c>
      <c r="B1320" t="s">
        <v>4</v>
      </c>
      <c r="C1320" t="s">
        <v>904</v>
      </c>
      <c r="D1320" t="s">
        <v>24</v>
      </c>
      <c r="E1320" t="s">
        <v>1847</v>
      </c>
      <c r="F1320" t="s">
        <v>382</v>
      </c>
      <c r="G1320" t="s">
        <v>2425</v>
      </c>
      <c r="H1320" s="20">
        <v>46250</v>
      </c>
      <c r="I1320">
        <v>1800</v>
      </c>
      <c r="J1320">
        <v>74</v>
      </c>
      <c r="K1320">
        <v>64</v>
      </c>
      <c r="L1320">
        <v>55</v>
      </c>
      <c r="M1320">
        <v>47</v>
      </c>
      <c r="P1320" t="s">
        <v>2272</v>
      </c>
      <c r="Q1320" t="s">
        <v>3064</v>
      </c>
      <c r="R1320" t="s">
        <v>2423</v>
      </c>
      <c r="S1320">
        <v>4</v>
      </c>
      <c r="T1320" t="s">
        <v>2274</v>
      </c>
      <c r="U1320" t="s">
        <v>2275</v>
      </c>
    </row>
    <row r="1321" spans="1:21" x14ac:dyDescent="0.25">
      <c r="A1321" t="s">
        <v>3725</v>
      </c>
      <c r="B1321" t="s">
        <v>4</v>
      </c>
      <c r="C1321" t="s">
        <v>904</v>
      </c>
      <c r="D1321" t="s">
        <v>24</v>
      </c>
      <c r="E1321" t="s">
        <v>1848</v>
      </c>
      <c r="F1321" t="s">
        <v>235</v>
      </c>
      <c r="G1321" t="s">
        <v>2425</v>
      </c>
      <c r="H1321" s="20">
        <v>46250</v>
      </c>
      <c r="I1321">
        <v>1800</v>
      </c>
      <c r="J1321">
        <v>74</v>
      </c>
      <c r="K1321">
        <v>64</v>
      </c>
      <c r="L1321">
        <v>55</v>
      </c>
      <c r="M1321">
        <v>47</v>
      </c>
      <c r="P1321" t="s">
        <v>2272</v>
      </c>
      <c r="Q1321" t="s">
        <v>3064</v>
      </c>
      <c r="R1321" t="s">
        <v>2423</v>
      </c>
      <c r="S1321">
        <v>4</v>
      </c>
      <c r="T1321" t="s">
        <v>2274</v>
      </c>
      <c r="U1321" t="s">
        <v>2275</v>
      </c>
    </row>
    <row r="1322" spans="1:21" x14ac:dyDescent="0.25">
      <c r="A1322" t="s">
        <v>3726</v>
      </c>
      <c r="B1322" t="s">
        <v>4</v>
      </c>
      <c r="C1322" t="s">
        <v>904</v>
      </c>
      <c r="D1322" t="s">
        <v>24</v>
      </c>
      <c r="E1322" t="s">
        <v>1849</v>
      </c>
      <c r="F1322" t="s">
        <v>204</v>
      </c>
      <c r="G1322" t="s">
        <v>2425</v>
      </c>
      <c r="H1322" s="20">
        <v>46250</v>
      </c>
      <c r="I1322">
        <v>1800</v>
      </c>
      <c r="J1322">
        <v>74</v>
      </c>
      <c r="K1322">
        <v>64</v>
      </c>
      <c r="L1322">
        <v>55</v>
      </c>
      <c r="M1322">
        <v>47</v>
      </c>
      <c r="P1322" t="s">
        <v>2272</v>
      </c>
      <c r="Q1322" t="s">
        <v>3064</v>
      </c>
      <c r="R1322" t="s">
        <v>2423</v>
      </c>
      <c r="S1322">
        <v>4</v>
      </c>
      <c r="T1322" t="s">
        <v>2274</v>
      </c>
      <c r="U1322" t="s">
        <v>2275</v>
      </c>
    </row>
    <row r="1323" spans="1:21" x14ac:dyDescent="0.25">
      <c r="A1323" t="s">
        <v>3727</v>
      </c>
      <c r="B1323" t="s">
        <v>4</v>
      </c>
      <c r="C1323" t="s">
        <v>904</v>
      </c>
      <c r="D1323" t="s">
        <v>24</v>
      </c>
      <c r="E1323" t="s">
        <v>1850</v>
      </c>
      <c r="F1323" t="s">
        <v>147</v>
      </c>
      <c r="G1323" t="s">
        <v>2425</v>
      </c>
      <c r="H1323" s="20">
        <v>46250</v>
      </c>
      <c r="I1323">
        <v>1800</v>
      </c>
      <c r="J1323">
        <v>74</v>
      </c>
      <c r="K1323">
        <v>64</v>
      </c>
      <c r="L1323">
        <v>55</v>
      </c>
      <c r="M1323">
        <v>47</v>
      </c>
      <c r="P1323" t="s">
        <v>2272</v>
      </c>
      <c r="Q1323" t="s">
        <v>3064</v>
      </c>
      <c r="R1323" t="s">
        <v>2423</v>
      </c>
      <c r="S1323">
        <v>4</v>
      </c>
      <c r="T1323" t="s">
        <v>2274</v>
      </c>
      <c r="U1323" t="s">
        <v>2275</v>
      </c>
    </row>
    <row r="1324" spans="1:21" x14ac:dyDescent="0.25">
      <c r="A1324" t="s">
        <v>3728</v>
      </c>
      <c r="B1324" t="s">
        <v>4</v>
      </c>
      <c r="C1324" t="s">
        <v>904</v>
      </c>
      <c r="D1324" t="s">
        <v>24</v>
      </c>
      <c r="E1324" t="s">
        <v>1851</v>
      </c>
      <c r="F1324" t="s">
        <v>60</v>
      </c>
      <c r="G1324" t="s">
        <v>2425</v>
      </c>
      <c r="H1324" s="20">
        <v>46250</v>
      </c>
      <c r="I1324">
        <v>1800</v>
      </c>
      <c r="J1324">
        <v>74</v>
      </c>
      <c r="K1324">
        <v>64</v>
      </c>
      <c r="L1324">
        <v>55</v>
      </c>
      <c r="M1324">
        <v>47</v>
      </c>
      <c r="P1324" t="s">
        <v>2272</v>
      </c>
      <c r="Q1324" t="s">
        <v>3064</v>
      </c>
      <c r="R1324" t="s">
        <v>2423</v>
      </c>
      <c r="S1324">
        <v>4</v>
      </c>
      <c r="T1324" t="s">
        <v>2274</v>
      </c>
      <c r="U1324" t="s">
        <v>2275</v>
      </c>
    </row>
    <row r="1325" spans="1:21" x14ac:dyDescent="0.25">
      <c r="A1325" t="s">
        <v>3729</v>
      </c>
      <c r="B1325" t="s">
        <v>4</v>
      </c>
      <c r="C1325" t="s">
        <v>904</v>
      </c>
      <c r="D1325" t="s">
        <v>24</v>
      </c>
      <c r="E1325" t="s">
        <v>1852</v>
      </c>
      <c r="F1325" t="s">
        <v>49</v>
      </c>
      <c r="G1325" t="s">
        <v>2425</v>
      </c>
      <c r="H1325" s="20">
        <v>46250</v>
      </c>
      <c r="I1325">
        <v>1800</v>
      </c>
      <c r="J1325">
        <v>74</v>
      </c>
      <c r="K1325">
        <v>64</v>
      </c>
      <c r="L1325">
        <v>55</v>
      </c>
      <c r="M1325">
        <v>47</v>
      </c>
      <c r="P1325" t="s">
        <v>2272</v>
      </c>
      <c r="Q1325" t="s">
        <v>3064</v>
      </c>
      <c r="R1325" t="s">
        <v>2423</v>
      </c>
      <c r="S1325">
        <v>4</v>
      </c>
      <c r="T1325" t="s">
        <v>2274</v>
      </c>
      <c r="U1325" t="s">
        <v>2275</v>
      </c>
    </row>
    <row r="1326" spans="1:21" x14ac:dyDescent="0.25">
      <c r="A1326" t="s">
        <v>3730</v>
      </c>
      <c r="B1326" t="s">
        <v>4</v>
      </c>
      <c r="C1326" t="s">
        <v>904</v>
      </c>
      <c r="D1326" t="s">
        <v>24</v>
      </c>
      <c r="E1326" t="s">
        <v>1853</v>
      </c>
      <c r="F1326" t="s">
        <v>742</v>
      </c>
      <c r="G1326" t="s">
        <v>2425</v>
      </c>
      <c r="H1326" s="20">
        <v>46250</v>
      </c>
      <c r="I1326">
        <v>1800</v>
      </c>
      <c r="J1326">
        <v>74</v>
      </c>
      <c r="K1326">
        <v>64</v>
      </c>
      <c r="L1326">
        <v>55</v>
      </c>
      <c r="M1326">
        <v>47</v>
      </c>
      <c r="P1326" t="s">
        <v>2272</v>
      </c>
      <c r="Q1326" t="s">
        <v>3064</v>
      </c>
      <c r="R1326" t="s">
        <v>2423</v>
      </c>
      <c r="S1326">
        <v>4</v>
      </c>
      <c r="T1326" t="s">
        <v>2274</v>
      </c>
      <c r="U1326" t="s">
        <v>2275</v>
      </c>
    </row>
    <row r="1327" spans="1:21" x14ac:dyDescent="0.25">
      <c r="A1327" t="s">
        <v>3731</v>
      </c>
      <c r="B1327" t="s">
        <v>4</v>
      </c>
      <c r="C1327" t="s">
        <v>904</v>
      </c>
      <c r="D1327" t="s">
        <v>24</v>
      </c>
      <c r="E1327" t="s">
        <v>1854</v>
      </c>
      <c r="F1327" t="s">
        <v>303</v>
      </c>
      <c r="G1327" t="s">
        <v>2425</v>
      </c>
      <c r="H1327" s="20">
        <v>46250</v>
      </c>
      <c r="I1327">
        <v>1800</v>
      </c>
      <c r="J1327">
        <v>74</v>
      </c>
      <c r="K1327">
        <v>64</v>
      </c>
      <c r="L1327">
        <v>55</v>
      </c>
      <c r="M1327">
        <v>47</v>
      </c>
      <c r="P1327" t="s">
        <v>2272</v>
      </c>
      <c r="Q1327" t="s">
        <v>3064</v>
      </c>
      <c r="R1327" t="s">
        <v>2423</v>
      </c>
      <c r="S1327">
        <v>4</v>
      </c>
      <c r="T1327" t="s">
        <v>2274</v>
      </c>
      <c r="U1327" t="s">
        <v>2275</v>
      </c>
    </row>
    <row r="1328" spans="1:21" x14ac:dyDescent="0.25">
      <c r="A1328" t="s">
        <v>3732</v>
      </c>
      <c r="B1328" t="s">
        <v>4</v>
      </c>
      <c r="C1328" t="s">
        <v>904</v>
      </c>
      <c r="D1328" t="s">
        <v>24</v>
      </c>
      <c r="E1328" t="s">
        <v>1855</v>
      </c>
      <c r="F1328" t="s">
        <v>1167</v>
      </c>
      <c r="G1328" t="s">
        <v>2425</v>
      </c>
      <c r="H1328" s="20">
        <v>46250</v>
      </c>
      <c r="I1328">
        <v>1800</v>
      </c>
      <c r="J1328">
        <v>74</v>
      </c>
      <c r="K1328">
        <v>64</v>
      </c>
      <c r="L1328">
        <v>55</v>
      </c>
      <c r="M1328">
        <v>47</v>
      </c>
      <c r="P1328" t="s">
        <v>2272</v>
      </c>
      <c r="Q1328" t="s">
        <v>3064</v>
      </c>
      <c r="R1328" t="s">
        <v>2423</v>
      </c>
      <c r="S1328">
        <v>4</v>
      </c>
      <c r="T1328" t="s">
        <v>2274</v>
      </c>
      <c r="U1328" t="s">
        <v>2275</v>
      </c>
    </row>
    <row r="1329" spans="1:21" x14ac:dyDescent="0.25">
      <c r="A1329" t="s">
        <v>3733</v>
      </c>
      <c r="B1329" t="s">
        <v>4</v>
      </c>
      <c r="C1329" t="s">
        <v>904</v>
      </c>
      <c r="D1329" t="s">
        <v>21</v>
      </c>
      <c r="E1329" t="s">
        <v>1856</v>
      </c>
      <c r="F1329" t="s">
        <v>1857</v>
      </c>
      <c r="G1329" t="s">
        <v>2444</v>
      </c>
      <c r="H1329" s="20">
        <v>46254</v>
      </c>
      <c r="I1329">
        <v>1500</v>
      </c>
      <c r="J1329">
        <v>78</v>
      </c>
      <c r="K1329">
        <v>61</v>
      </c>
      <c r="L1329">
        <v>59</v>
      </c>
      <c r="P1329" t="s">
        <v>2272</v>
      </c>
      <c r="Q1329" t="s">
        <v>3734</v>
      </c>
      <c r="R1329" t="s">
        <v>2446</v>
      </c>
      <c r="S1329">
        <v>5</v>
      </c>
      <c r="T1329" t="s">
        <v>2319</v>
      </c>
      <c r="U1329" t="s">
        <v>2320</v>
      </c>
    </row>
    <row r="1330" spans="1:21" x14ac:dyDescent="0.25">
      <c r="A1330" t="s">
        <v>3735</v>
      </c>
      <c r="B1330" t="s">
        <v>4</v>
      </c>
      <c r="C1330" t="s">
        <v>904</v>
      </c>
      <c r="D1330" t="s">
        <v>21</v>
      </c>
      <c r="E1330" t="s">
        <v>1858</v>
      </c>
      <c r="F1330" t="s">
        <v>746</v>
      </c>
      <c r="G1330" t="s">
        <v>2444</v>
      </c>
      <c r="H1330" s="20">
        <v>46254</v>
      </c>
      <c r="I1330">
        <v>1500</v>
      </c>
      <c r="J1330">
        <v>78</v>
      </c>
      <c r="K1330">
        <v>61</v>
      </c>
      <c r="L1330">
        <v>59</v>
      </c>
      <c r="P1330" t="s">
        <v>2272</v>
      </c>
      <c r="Q1330" t="s">
        <v>3734</v>
      </c>
      <c r="R1330" t="s">
        <v>2446</v>
      </c>
      <c r="S1330">
        <v>5</v>
      </c>
      <c r="T1330" t="s">
        <v>2319</v>
      </c>
      <c r="U1330" t="s">
        <v>2320</v>
      </c>
    </row>
    <row r="1331" spans="1:21" x14ac:dyDescent="0.25">
      <c r="A1331" t="s">
        <v>3736</v>
      </c>
      <c r="B1331" t="s">
        <v>4</v>
      </c>
      <c r="C1331" t="s">
        <v>904</v>
      </c>
      <c r="D1331" t="s">
        <v>21</v>
      </c>
      <c r="E1331" t="s">
        <v>1859</v>
      </c>
      <c r="F1331" t="s">
        <v>985</v>
      </c>
      <c r="G1331" t="s">
        <v>2444</v>
      </c>
      <c r="H1331" s="20">
        <v>46254</v>
      </c>
      <c r="I1331">
        <v>1500</v>
      </c>
      <c r="J1331">
        <v>78</v>
      </c>
      <c r="K1331">
        <v>61</v>
      </c>
      <c r="L1331">
        <v>59</v>
      </c>
      <c r="P1331" t="s">
        <v>2272</v>
      </c>
      <c r="Q1331" t="s">
        <v>3734</v>
      </c>
      <c r="R1331" t="s">
        <v>2446</v>
      </c>
      <c r="S1331">
        <v>5</v>
      </c>
      <c r="T1331" t="s">
        <v>2319</v>
      </c>
      <c r="U1331" t="s">
        <v>2320</v>
      </c>
    </row>
    <row r="1332" spans="1:21" x14ac:dyDescent="0.25">
      <c r="A1332" t="s">
        <v>3737</v>
      </c>
      <c r="B1332" t="s">
        <v>4</v>
      </c>
      <c r="C1332" t="s">
        <v>904</v>
      </c>
      <c r="D1332" t="s">
        <v>21</v>
      </c>
      <c r="E1332" t="s">
        <v>1860</v>
      </c>
      <c r="F1332" t="s">
        <v>1861</v>
      </c>
      <c r="G1332" t="s">
        <v>2271</v>
      </c>
      <c r="H1332" s="20">
        <v>46254</v>
      </c>
      <c r="I1332">
        <v>1500</v>
      </c>
      <c r="J1332">
        <v>78</v>
      </c>
      <c r="K1332">
        <v>61</v>
      </c>
      <c r="L1332">
        <v>40</v>
      </c>
      <c r="P1332" t="s">
        <v>2272</v>
      </c>
      <c r="R1332" t="s">
        <v>2273</v>
      </c>
      <c r="S1332">
        <v>7</v>
      </c>
      <c r="T1332" t="s">
        <v>2612</v>
      </c>
      <c r="U1332" t="s">
        <v>2613</v>
      </c>
    </row>
    <row r="1333" spans="1:21" x14ac:dyDescent="0.25">
      <c r="A1333" t="s">
        <v>3738</v>
      </c>
      <c r="B1333" t="s">
        <v>4</v>
      </c>
      <c r="C1333" t="s">
        <v>904</v>
      </c>
      <c r="D1333" t="s">
        <v>21</v>
      </c>
      <c r="E1333" t="s">
        <v>1862</v>
      </c>
      <c r="F1333" t="s">
        <v>309</v>
      </c>
      <c r="G1333" t="s">
        <v>2271</v>
      </c>
      <c r="H1333" s="20">
        <v>46254</v>
      </c>
      <c r="I1333">
        <v>1500</v>
      </c>
      <c r="J1333">
        <v>78</v>
      </c>
      <c r="K1333">
        <v>61</v>
      </c>
      <c r="L1333">
        <v>40</v>
      </c>
      <c r="P1333" t="s">
        <v>2272</v>
      </c>
      <c r="R1333" t="s">
        <v>2273</v>
      </c>
      <c r="S1333">
        <v>7</v>
      </c>
      <c r="T1333" t="s">
        <v>2612</v>
      </c>
      <c r="U1333" t="s">
        <v>2613</v>
      </c>
    </row>
    <row r="1334" spans="1:21" x14ac:dyDescent="0.25">
      <c r="A1334" t="s">
        <v>3739</v>
      </c>
      <c r="B1334" t="s">
        <v>4</v>
      </c>
      <c r="C1334" t="s">
        <v>904</v>
      </c>
      <c r="D1334" t="s">
        <v>21</v>
      </c>
      <c r="E1334" t="s">
        <v>1863</v>
      </c>
      <c r="F1334" t="s">
        <v>76</v>
      </c>
      <c r="G1334" t="s">
        <v>2271</v>
      </c>
      <c r="H1334" s="20">
        <v>46254</v>
      </c>
      <c r="I1334">
        <v>1500</v>
      </c>
      <c r="J1334">
        <v>78</v>
      </c>
      <c r="K1334">
        <v>61</v>
      </c>
      <c r="L1334">
        <v>40</v>
      </c>
      <c r="P1334" t="s">
        <v>2272</v>
      </c>
      <c r="R1334" t="s">
        <v>2273</v>
      </c>
      <c r="S1334">
        <v>7</v>
      </c>
      <c r="T1334" t="s">
        <v>2612</v>
      </c>
      <c r="U1334" t="s">
        <v>2613</v>
      </c>
    </row>
    <row r="1335" spans="1:21" x14ac:dyDescent="0.25">
      <c r="A1335" t="s">
        <v>3740</v>
      </c>
      <c r="B1335" t="s">
        <v>4</v>
      </c>
      <c r="C1335" t="s">
        <v>904</v>
      </c>
      <c r="D1335" t="s">
        <v>21</v>
      </c>
      <c r="E1335" t="s">
        <v>1864</v>
      </c>
      <c r="F1335" t="s">
        <v>376</v>
      </c>
      <c r="G1335" t="s">
        <v>2271</v>
      </c>
      <c r="H1335" s="20">
        <v>46254</v>
      </c>
      <c r="I1335">
        <v>1500</v>
      </c>
      <c r="J1335">
        <v>78</v>
      </c>
      <c r="K1335">
        <v>61</v>
      </c>
      <c r="L1335">
        <v>40</v>
      </c>
      <c r="P1335" t="s">
        <v>2272</v>
      </c>
      <c r="R1335" t="s">
        <v>2273</v>
      </c>
      <c r="S1335">
        <v>7</v>
      </c>
      <c r="T1335" t="s">
        <v>2612</v>
      </c>
      <c r="U1335" t="s">
        <v>2613</v>
      </c>
    </row>
    <row r="1336" spans="1:21" x14ac:dyDescent="0.25">
      <c r="A1336" t="s">
        <v>3741</v>
      </c>
      <c r="B1336" t="s">
        <v>4</v>
      </c>
      <c r="C1336" t="s">
        <v>904</v>
      </c>
      <c r="D1336" t="s">
        <v>21</v>
      </c>
      <c r="E1336" t="s">
        <v>1865</v>
      </c>
      <c r="F1336" t="s">
        <v>678</v>
      </c>
      <c r="G1336" t="s">
        <v>2271</v>
      </c>
      <c r="H1336" s="20">
        <v>46254</v>
      </c>
      <c r="I1336">
        <v>1500</v>
      </c>
      <c r="J1336">
        <v>78</v>
      </c>
      <c r="K1336">
        <v>61</v>
      </c>
      <c r="L1336">
        <v>40</v>
      </c>
      <c r="P1336" t="s">
        <v>2272</v>
      </c>
      <c r="R1336" t="s">
        <v>2273</v>
      </c>
      <c r="S1336">
        <v>7</v>
      </c>
      <c r="T1336" t="s">
        <v>2612</v>
      </c>
      <c r="U1336" t="s">
        <v>2613</v>
      </c>
    </row>
    <row r="1337" spans="1:21" x14ac:dyDescent="0.25">
      <c r="A1337" t="s">
        <v>3742</v>
      </c>
      <c r="B1337" t="s">
        <v>4</v>
      </c>
      <c r="C1337" t="s">
        <v>904</v>
      </c>
      <c r="D1337" t="s">
        <v>21</v>
      </c>
      <c r="E1337" t="s">
        <v>1866</v>
      </c>
      <c r="F1337" t="s">
        <v>219</v>
      </c>
      <c r="G1337" t="s">
        <v>2271</v>
      </c>
      <c r="H1337" s="20">
        <v>46254</v>
      </c>
      <c r="I1337">
        <v>1500</v>
      </c>
      <c r="J1337">
        <v>78</v>
      </c>
      <c r="K1337">
        <v>61</v>
      </c>
      <c r="L1337">
        <v>40</v>
      </c>
      <c r="P1337" t="s">
        <v>2272</v>
      </c>
      <c r="R1337" t="s">
        <v>2273</v>
      </c>
      <c r="S1337">
        <v>7</v>
      </c>
      <c r="T1337" t="s">
        <v>2612</v>
      </c>
      <c r="U1337" t="s">
        <v>2613</v>
      </c>
    </row>
    <row r="1338" spans="1:21" x14ac:dyDescent="0.25">
      <c r="A1338" t="s">
        <v>3743</v>
      </c>
      <c r="B1338" t="s">
        <v>4</v>
      </c>
      <c r="C1338" t="s">
        <v>904</v>
      </c>
      <c r="D1338" t="s">
        <v>21</v>
      </c>
      <c r="E1338" t="s">
        <v>1867</v>
      </c>
      <c r="F1338" t="s">
        <v>293</v>
      </c>
      <c r="G1338" t="s">
        <v>2271</v>
      </c>
      <c r="H1338" s="20">
        <v>46254</v>
      </c>
      <c r="I1338">
        <v>1500</v>
      </c>
      <c r="J1338">
        <v>78</v>
      </c>
      <c r="K1338">
        <v>61</v>
      </c>
      <c r="L1338">
        <v>40</v>
      </c>
      <c r="P1338" t="s">
        <v>2272</v>
      </c>
      <c r="R1338" t="s">
        <v>2273</v>
      </c>
      <c r="S1338">
        <v>7</v>
      </c>
      <c r="T1338" t="s">
        <v>2612</v>
      </c>
      <c r="U1338" t="s">
        <v>2613</v>
      </c>
    </row>
    <row r="1339" spans="1:21" x14ac:dyDescent="0.25">
      <c r="A1339" t="s">
        <v>3744</v>
      </c>
      <c r="B1339" t="s">
        <v>4</v>
      </c>
      <c r="C1339" t="s">
        <v>904</v>
      </c>
      <c r="D1339" t="s">
        <v>21</v>
      </c>
      <c r="E1339" t="s">
        <v>1868</v>
      </c>
      <c r="F1339" t="s">
        <v>62</v>
      </c>
      <c r="G1339" t="s">
        <v>2271</v>
      </c>
      <c r="H1339" s="20">
        <v>46254</v>
      </c>
      <c r="I1339">
        <v>1500</v>
      </c>
      <c r="J1339">
        <v>78</v>
      </c>
      <c r="K1339">
        <v>61</v>
      </c>
      <c r="L1339">
        <v>40</v>
      </c>
      <c r="P1339" t="s">
        <v>2272</v>
      </c>
      <c r="R1339" t="s">
        <v>2273</v>
      </c>
      <c r="S1339">
        <v>7</v>
      </c>
      <c r="T1339" t="s">
        <v>2612</v>
      </c>
      <c r="U1339" t="s">
        <v>2613</v>
      </c>
    </row>
    <row r="1340" spans="1:21" x14ac:dyDescent="0.25">
      <c r="A1340" t="s">
        <v>3745</v>
      </c>
      <c r="B1340" t="s">
        <v>4</v>
      </c>
      <c r="C1340" t="s">
        <v>904</v>
      </c>
      <c r="D1340" t="s">
        <v>21</v>
      </c>
      <c r="E1340" t="s">
        <v>1869</v>
      </c>
      <c r="F1340" t="s">
        <v>303</v>
      </c>
      <c r="G1340" t="s">
        <v>2271</v>
      </c>
      <c r="H1340" s="20">
        <v>46254</v>
      </c>
      <c r="I1340">
        <v>1500</v>
      </c>
      <c r="J1340">
        <v>78</v>
      </c>
      <c r="K1340">
        <v>61</v>
      </c>
      <c r="L1340">
        <v>40</v>
      </c>
      <c r="P1340" t="s">
        <v>2272</v>
      </c>
      <c r="R1340" t="s">
        <v>2273</v>
      </c>
      <c r="S1340">
        <v>7</v>
      </c>
      <c r="T1340" t="s">
        <v>2612</v>
      </c>
      <c r="U1340" t="s">
        <v>2613</v>
      </c>
    </row>
    <row r="1341" spans="1:21" x14ac:dyDescent="0.25">
      <c r="A1341" t="s">
        <v>3746</v>
      </c>
      <c r="B1341" t="s">
        <v>4</v>
      </c>
      <c r="C1341" t="s">
        <v>904</v>
      </c>
      <c r="D1341" t="s">
        <v>21</v>
      </c>
      <c r="E1341" t="s">
        <v>1870</v>
      </c>
      <c r="F1341" t="s">
        <v>1212</v>
      </c>
      <c r="G1341" t="s">
        <v>2271</v>
      </c>
      <c r="H1341" s="20">
        <v>46254</v>
      </c>
      <c r="I1341">
        <v>1500</v>
      </c>
      <c r="J1341">
        <v>78</v>
      </c>
      <c r="K1341">
        <v>61</v>
      </c>
      <c r="L1341">
        <v>40</v>
      </c>
      <c r="P1341" t="s">
        <v>2272</v>
      </c>
      <c r="Q1341" t="s">
        <v>3747</v>
      </c>
      <c r="R1341" t="s">
        <v>2446</v>
      </c>
      <c r="S1341">
        <v>10</v>
      </c>
      <c r="T1341" t="s">
        <v>2609</v>
      </c>
      <c r="U1341" t="s">
        <v>2610</v>
      </c>
    </row>
    <row r="1342" spans="1:21" x14ac:dyDescent="0.25">
      <c r="A1342" t="s">
        <v>3748</v>
      </c>
      <c r="B1342" t="s">
        <v>4</v>
      </c>
      <c r="C1342" t="s">
        <v>904</v>
      </c>
      <c r="D1342" t="s">
        <v>21</v>
      </c>
      <c r="E1342" t="s">
        <v>1871</v>
      </c>
      <c r="F1342" t="s">
        <v>352</v>
      </c>
      <c r="G1342" t="s">
        <v>2271</v>
      </c>
      <c r="H1342" s="20">
        <v>46254</v>
      </c>
      <c r="I1342">
        <v>1500</v>
      </c>
      <c r="J1342">
        <v>78</v>
      </c>
      <c r="K1342">
        <v>61</v>
      </c>
      <c r="L1342">
        <v>40</v>
      </c>
      <c r="P1342" t="s">
        <v>2272</v>
      </c>
      <c r="Q1342" t="s">
        <v>3747</v>
      </c>
      <c r="R1342" t="s">
        <v>2446</v>
      </c>
      <c r="S1342">
        <v>10</v>
      </c>
      <c r="T1342" t="s">
        <v>2609</v>
      </c>
      <c r="U1342" t="s">
        <v>2610</v>
      </c>
    </row>
    <row r="1343" spans="1:21" x14ac:dyDescent="0.25">
      <c r="A1343" t="s">
        <v>3749</v>
      </c>
      <c r="B1343" t="s">
        <v>4</v>
      </c>
      <c r="C1343" t="s">
        <v>904</v>
      </c>
      <c r="D1343" t="s">
        <v>26</v>
      </c>
      <c r="E1343" t="s">
        <v>1872</v>
      </c>
      <c r="F1343" t="s">
        <v>806</v>
      </c>
      <c r="H1343" s="20"/>
      <c r="P1343" t="s">
        <v>2291</v>
      </c>
      <c r="R1343" t="s">
        <v>2292</v>
      </c>
    </row>
    <row r="1344" spans="1:21" x14ac:dyDescent="0.25">
      <c r="A1344" t="s">
        <v>3750</v>
      </c>
      <c r="B1344" t="s">
        <v>4</v>
      </c>
      <c r="C1344" t="s">
        <v>904</v>
      </c>
      <c r="D1344" t="s">
        <v>26</v>
      </c>
      <c r="E1344" t="s">
        <v>1873</v>
      </c>
      <c r="F1344" t="s">
        <v>359</v>
      </c>
      <c r="H1344" s="20"/>
      <c r="P1344" t="s">
        <v>2291</v>
      </c>
      <c r="R1344" t="s">
        <v>2292</v>
      </c>
    </row>
    <row r="1345" spans="1:21" x14ac:dyDescent="0.25">
      <c r="A1345" t="s">
        <v>3751</v>
      </c>
      <c r="B1345" t="s">
        <v>4</v>
      </c>
      <c r="C1345" t="s">
        <v>1004</v>
      </c>
      <c r="D1345" t="s">
        <v>24</v>
      </c>
      <c r="E1345" t="s">
        <v>1875</v>
      </c>
      <c r="F1345" t="s">
        <v>488</v>
      </c>
      <c r="G1345" t="s">
        <v>2271</v>
      </c>
      <c r="H1345" s="20">
        <v>46250</v>
      </c>
      <c r="I1345">
        <v>1800</v>
      </c>
      <c r="J1345">
        <v>81</v>
      </c>
      <c r="K1345">
        <v>75</v>
      </c>
      <c r="L1345">
        <v>70</v>
      </c>
      <c r="P1345" t="s">
        <v>2272</v>
      </c>
      <c r="R1345" t="s">
        <v>2273</v>
      </c>
      <c r="S1345">
        <v>4</v>
      </c>
      <c r="T1345" t="s">
        <v>2274</v>
      </c>
      <c r="U1345" t="s">
        <v>2275</v>
      </c>
    </row>
    <row r="1346" spans="1:21" x14ac:dyDescent="0.25">
      <c r="A1346" t="s">
        <v>3752</v>
      </c>
      <c r="B1346" t="s">
        <v>4</v>
      </c>
      <c r="C1346" t="s">
        <v>1004</v>
      </c>
      <c r="D1346" t="s">
        <v>24</v>
      </c>
      <c r="E1346" t="s">
        <v>1876</v>
      </c>
      <c r="F1346" t="s">
        <v>476</v>
      </c>
      <c r="G1346" t="s">
        <v>2271</v>
      </c>
      <c r="H1346" s="20">
        <v>46250</v>
      </c>
      <c r="I1346">
        <v>1800</v>
      </c>
      <c r="J1346">
        <v>81</v>
      </c>
      <c r="K1346">
        <v>75</v>
      </c>
      <c r="L1346">
        <v>70</v>
      </c>
      <c r="P1346" t="s">
        <v>2272</v>
      </c>
      <c r="R1346" t="s">
        <v>2273</v>
      </c>
      <c r="S1346">
        <v>4</v>
      </c>
      <c r="T1346" t="s">
        <v>2274</v>
      </c>
      <c r="U1346" t="s">
        <v>2275</v>
      </c>
    </row>
    <row r="1347" spans="1:21" x14ac:dyDescent="0.25">
      <c r="A1347" t="s">
        <v>3753</v>
      </c>
      <c r="B1347" t="s">
        <v>4</v>
      </c>
      <c r="C1347" t="s">
        <v>1004</v>
      </c>
      <c r="D1347" t="s">
        <v>24</v>
      </c>
      <c r="E1347" t="s">
        <v>1877</v>
      </c>
      <c r="F1347" t="s">
        <v>832</v>
      </c>
      <c r="G1347" t="s">
        <v>2271</v>
      </c>
      <c r="H1347" s="20">
        <v>46250</v>
      </c>
      <c r="I1347">
        <v>1800</v>
      </c>
      <c r="J1347">
        <v>81</v>
      </c>
      <c r="K1347">
        <v>75</v>
      </c>
      <c r="L1347">
        <v>70</v>
      </c>
      <c r="P1347" t="s">
        <v>2272</v>
      </c>
      <c r="R1347" t="s">
        <v>2273</v>
      </c>
      <c r="S1347">
        <v>4</v>
      </c>
      <c r="T1347" t="s">
        <v>2274</v>
      </c>
      <c r="U1347" t="s">
        <v>2275</v>
      </c>
    </row>
    <row r="1348" spans="1:21" x14ac:dyDescent="0.25">
      <c r="A1348" t="s">
        <v>3754</v>
      </c>
      <c r="B1348" t="s">
        <v>4</v>
      </c>
      <c r="C1348" t="s">
        <v>1004</v>
      </c>
      <c r="D1348" t="s">
        <v>24</v>
      </c>
      <c r="E1348" t="s">
        <v>1878</v>
      </c>
      <c r="F1348" t="s">
        <v>170</v>
      </c>
      <c r="G1348" t="s">
        <v>2271</v>
      </c>
      <c r="H1348" s="20">
        <v>46250</v>
      </c>
      <c r="I1348">
        <v>1800</v>
      </c>
      <c r="J1348">
        <v>81</v>
      </c>
      <c r="K1348">
        <v>75</v>
      </c>
      <c r="L1348">
        <v>70</v>
      </c>
      <c r="P1348" t="s">
        <v>2272</v>
      </c>
      <c r="R1348" t="s">
        <v>2273</v>
      </c>
      <c r="S1348">
        <v>4</v>
      </c>
      <c r="T1348" t="s">
        <v>2274</v>
      </c>
      <c r="U1348" t="s">
        <v>2275</v>
      </c>
    </row>
    <row r="1349" spans="1:21" x14ac:dyDescent="0.25">
      <c r="A1349" t="s">
        <v>3755</v>
      </c>
      <c r="B1349" t="s">
        <v>4</v>
      </c>
      <c r="C1349" t="s">
        <v>1004</v>
      </c>
      <c r="D1349" t="s">
        <v>24</v>
      </c>
      <c r="E1349" t="s">
        <v>1879</v>
      </c>
      <c r="F1349" t="s">
        <v>180</v>
      </c>
      <c r="G1349" t="s">
        <v>2271</v>
      </c>
      <c r="H1349" s="20">
        <v>46250</v>
      </c>
      <c r="I1349">
        <v>1800</v>
      </c>
      <c r="J1349">
        <v>81</v>
      </c>
      <c r="K1349">
        <v>75</v>
      </c>
      <c r="L1349">
        <v>70</v>
      </c>
      <c r="P1349" t="s">
        <v>2272</v>
      </c>
      <c r="R1349" t="s">
        <v>2273</v>
      </c>
      <c r="S1349">
        <v>4</v>
      </c>
      <c r="T1349" t="s">
        <v>2274</v>
      </c>
      <c r="U1349" t="s">
        <v>2275</v>
      </c>
    </row>
    <row r="1350" spans="1:21" x14ac:dyDescent="0.25">
      <c r="A1350" t="s">
        <v>3756</v>
      </c>
      <c r="B1350" t="s">
        <v>4</v>
      </c>
      <c r="C1350" t="s">
        <v>1004</v>
      </c>
      <c r="D1350" t="s">
        <v>24</v>
      </c>
      <c r="E1350" t="s">
        <v>1880</v>
      </c>
      <c r="F1350" t="s">
        <v>400</v>
      </c>
      <c r="G1350" t="s">
        <v>2271</v>
      </c>
      <c r="H1350" s="20">
        <v>46250</v>
      </c>
      <c r="I1350">
        <v>1800</v>
      </c>
      <c r="J1350">
        <v>81</v>
      </c>
      <c r="K1350">
        <v>75</v>
      </c>
      <c r="L1350">
        <v>70</v>
      </c>
      <c r="P1350" t="s">
        <v>2272</v>
      </c>
      <c r="R1350" t="s">
        <v>2273</v>
      </c>
      <c r="S1350">
        <v>4</v>
      </c>
      <c r="T1350" t="s">
        <v>2274</v>
      </c>
      <c r="U1350" t="s">
        <v>2275</v>
      </c>
    </row>
    <row r="1351" spans="1:21" x14ac:dyDescent="0.25">
      <c r="A1351" t="s">
        <v>3757</v>
      </c>
      <c r="B1351" t="s">
        <v>4</v>
      </c>
      <c r="C1351" t="s">
        <v>1004</v>
      </c>
      <c r="D1351" t="s">
        <v>24</v>
      </c>
      <c r="E1351" t="s">
        <v>1881</v>
      </c>
      <c r="F1351" t="s">
        <v>435</v>
      </c>
      <c r="G1351" t="s">
        <v>2271</v>
      </c>
      <c r="H1351" s="20">
        <v>46250</v>
      </c>
      <c r="I1351">
        <v>1800</v>
      </c>
      <c r="J1351">
        <v>81</v>
      </c>
      <c r="K1351">
        <v>75</v>
      </c>
      <c r="L1351">
        <v>70</v>
      </c>
      <c r="P1351" t="s">
        <v>2272</v>
      </c>
      <c r="R1351" t="s">
        <v>2273</v>
      </c>
      <c r="S1351">
        <v>4</v>
      </c>
      <c r="T1351" t="s">
        <v>2274</v>
      </c>
      <c r="U1351" t="s">
        <v>2275</v>
      </c>
    </row>
    <row r="1352" spans="1:21" x14ac:dyDescent="0.25">
      <c r="A1352" t="s">
        <v>3758</v>
      </c>
      <c r="B1352" t="s">
        <v>4</v>
      </c>
      <c r="C1352" t="s">
        <v>1004</v>
      </c>
      <c r="D1352" t="s">
        <v>24</v>
      </c>
      <c r="E1352" t="s">
        <v>1882</v>
      </c>
      <c r="F1352" t="s">
        <v>272</v>
      </c>
      <c r="G1352" t="s">
        <v>2271</v>
      </c>
      <c r="H1352" s="20">
        <v>46250</v>
      </c>
      <c r="I1352">
        <v>1800</v>
      </c>
      <c r="J1352">
        <v>81</v>
      </c>
      <c r="K1352">
        <v>75</v>
      </c>
      <c r="L1352">
        <v>70</v>
      </c>
      <c r="P1352" t="s">
        <v>2272</v>
      </c>
      <c r="R1352" t="s">
        <v>2273</v>
      </c>
      <c r="S1352">
        <v>4</v>
      </c>
      <c r="T1352" t="s">
        <v>2274</v>
      </c>
      <c r="U1352" t="s">
        <v>2275</v>
      </c>
    </row>
    <row r="1353" spans="1:21" x14ac:dyDescent="0.25">
      <c r="A1353" t="s">
        <v>3759</v>
      </c>
      <c r="B1353" t="s">
        <v>4</v>
      </c>
      <c r="C1353" t="s">
        <v>1004</v>
      </c>
      <c r="D1353" t="s">
        <v>24</v>
      </c>
      <c r="E1353" t="s">
        <v>1883</v>
      </c>
      <c r="F1353" t="s">
        <v>855</v>
      </c>
      <c r="G1353" t="s">
        <v>2271</v>
      </c>
      <c r="H1353" s="20">
        <v>46250</v>
      </c>
      <c r="I1353">
        <v>1800</v>
      </c>
      <c r="J1353">
        <v>81</v>
      </c>
      <c r="K1353">
        <v>75</v>
      </c>
      <c r="L1353">
        <v>70</v>
      </c>
      <c r="P1353" t="s">
        <v>2272</v>
      </c>
      <c r="R1353" t="s">
        <v>2273</v>
      </c>
      <c r="S1353">
        <v>4</v>
      </c>
      <c r="T1353" t="s">
        <v>2274</v>
      </c>
      <c r="U1353" t="s">
        <v>2275</v>
      </c>
    </row>
    <row r="1354" spans="1:21" x14ac:dyDescent="0.25">
      <c r="A1354" t="s">
        <v>3760</v>
      </c>
      <c r="B1354" t="s">
        <v>4</v>
      </c>
      <c r="C1354" t="s">
        <v>1004</v>
      </c>
      <c r="D1354" t="s">
        <v>21</v>
      </c>
      <c r="E1354" t="s">
        <v>1884</v>
      </c>
      <c r="F1354" t="s">
        <v>1129</v>
      </c>
      <c r="G1354" t="s">
        <v>2444</v>
      </c>
      <c r="H1354" s="20">
        <v>46254</v>
      </c>
      <c r="I1354">
        <v>1500</v>
      </c>
      <c r="J1354">
        <v>85</v>
      </c>
      <c r="K1354">
        <v>75</v>
      </c>
      <c r="L1354">
        <v>65</v>
      </c>
      <c r="P1354" t="s">
        <v>2272</v>
      </c>
      <c r="Q1354" t="s">
        <v>3761</v>
      </c>
      <c r="R1354" t="s">
        <v>2446</v>
      </c>
      <c r="S1354">
        <v>15</v>
      </c>
      <c r="T1354" t="s">
        <v>2624</v>
      </c>
      <c r="U1354" t="s">
        <v>2625</v>
      </c>
    </row>
    <row r="1355" spans="1:21" x14ac:dyDescent="0.25">
      <c r="A1355" t="s">
        <v>3762</v>
      </c>
      <c r="B1355" t="s">
        <v>4</v>
      </c>
      <c r="C1355" t="s">
        <v>1004</v>
      </c>
      <c r="D1355" t="s">
        <v>21</v>
      </c>
      <c r="E1355" t="s">
        <v>1885</v>
      </c>
      <c r="F1355" t="s">
        <v>746</v>
      </c>
      <c r="G1355" t="s">
        <v>2444</v>
      </c>
      <c r="H1355" s="20">
        <v>46254</v>
      </c>
      <c r="I1355">
        <v>1500</v>
      </c>
      <c r="J1355">
        <v>85</v>
      </c>
      <c r="K1355">
        <v>75</v>
      </c>
      <c r="L1355">
        <v>65</v>
      </c>
      <c r="P1355" t="s">
        <v>2272</v>
      </c>
      <c r="Q1355" t="s">
        <v>3761</v>
      </c>
      <c r="R1355" t="s">
        <v>2446</v>
      </c>
      <c r="S1355">
        <v>15</v>
      </c>
      <c r="T1355" t="s">
        <v>2624</v>
      </c>
      <c r="U1355" t="s">
        <v>2625</v>
      </c>
    </row>
    <row r="1356" spans="1:21" x14ac:dyDescent="0.25">
      <c r="A1356" t="s">
        <v>3763</v>
      </c>
      <c r="B1356" t="s">
        <v>4</v>
      </c>
      <c r="C1356" t="s">
        <v>1004</v>
      </c>
      <c r="D1356" t="s">
        <v>21</v>
      </c>
      <c r="E1356" t="s">
        <v>1886</v>
      </c>
      <c r="F1356" t="s">
        <v>157</v>
      </c>
      <c r="G1356" t="s">
        <v>2444</v>
      </c>
      <c r="H1356" s="20">
        <v>46254</v>
      </c>
      <c r="I1356">
        <v>1500</v>
      </c>
      <c r="J1356">
        <v>85</v>
      </c>
      <c r="K1356">
        <v>75</v>
      </c>
      <c r="L1356">
        <v>65</v>
      </c>
      <c r="P1356" t="s">
        <v>2272</v>
      </c>
      <c r="Q1356" t="s">
        <v>3761</v>
      </c>
      <c r="R1356" t="s">
        <v>2446</v>
      </c>
      <c r="S1356">
        <v>15</v>
      </c>
      <c r="T1356" t="s">
        <v>2624</v>
      </c>
      <c r="U1356" t="s">
        <v>2625</v>
      </c>
    </row>
    <row r="1357" spans="1:21" x14ac:dyDescent="0.25">
      <c r="A1357" t="s">
        <v>3764</v>
      </c>
      <c r="B1357" t="s">
        <v>4</v>
      </c>
      <c r="C1357" t="s">
        <v>1004</v>
      </c>
      <c r="D1357" t="s">
        <v>21</v>
      </c>
      <c r="E1357" t="s">
        <v>1887</v>
      </c>
      <c r="F1357" t="s">
        <v>228</v>
      </c>
      <c r="G1357" t="s">
        <v>2444</v>
      </c>
      <c r="H1357" s="20">
        <v>46254</v>
      </c>
      <c r="I1357">
        <v>1500</v>
      </c>
      <c r="J1357">
        <v>85</v>
      </c>
      <c r="K1357">
        <v>75</v>
      </c>
      <c r="L1357">
        <v>65</v>
      </c>
      <c r="P1357" t="s">
        <v>2272</v>
      </c>
      <c r="Q1357" t="s">
        <v>3761</v>
      </c>
      <c r="R1357" t="s">
        <v>2446</v>
      </c>
      <c r="S1357">
        <v>15</v>
      </c>
      <c r="T1357" t="s">
        <v>2624</v>
      </c>
      <c r="U1357" t="s">
        <v>2625</v>
      </c>
    </row>
    <row r="1358" spans="1:21" x14ac:dyDescent="0.25">
      <c r="A1358" t="s">
        <v>3765</v>
      </c>
      <c r="B1358" t="s">
        <v>4</v>
      </c>
      <c r="C1358" t="s">
        <v>1004</v>
      </c>
      <c r="D1358" t="s">
        <v>21</v>
      </c>
      <c r="E1358" t="s">
        <v>1888</v>
      </c>
      <c r="F1358" t="s">
        <v>484</v>
      </c>
      <c r="G1358" t="s">
        <v>2271</v>
      </c>
      <c r="H1358" s="20">
        <v>46254</v>
      </c>
      <c r="I1358">
        <v>1500</v>
      </c>
      <c r="J1358">
        <v>85</v>
      </c>
      <c r="K1358">
        <v>75</v>
      </c>
      <c r="L1358">
        <v>63</v>
      </c>
      <c r="P1358" t="s">
        <v>2272</v>
      </c>
      <c r="R1358" t="s">
        <v>2273</v>
      </c>
      <c r="S1358">
        <v>15</v>
      </c>
      <c r="T1358" t="s">
        <v>2345</v>
      </c>
      <c r="U1358" t="s">
        <v>2346</v>
      </c>
    </row>
    <row r="1359" spans="1:21" x14ac:dyDescent="0.25">
      <c r="A1359" t="s">
        <v>3766</v>
      </c>
      <c r="B1359" t="s">
        <v>4</v>
      </c>
      <c r="C1359" t="s">
        <v>1004</v>
      </c>
      <c r="D1359" t="s">
        <v>21</v>
      </c>
      <c r="E1359" t="s">
        <v>1889</v>
      </c>
      <c r="F1359" t="s">
        <v>368</v>
      </c>
      <c r="G1359" t="s">
        <v>2271</v>
      </c>
      <c r="H1359" s="20">
        <v>46254</v>
      </c>
      <c r="I1359">
        <v>1500</v>
      </c>
      <c r="J1359">
        <v>85</v>
      </c>
      <c r="K1359">
        <v>75</v>
      </c>
      <c r="L1359">
        <v>63</v>
      </c>
      <c r="P1359" t="s">
        <v>2272</v>
      </c>
      <c r="R1359" t="s">
        <v>2273</v>
      </c>
      <c r="S1359">
        <v>15</v>
      </c>
      <c r="T1359" t="s">
        <v>2345</v>
      </c>
      <c r="U1359" t="s">
        <v>2346</v>
      </c>
    </row>
    <row r="1360" spans="1:21" x14ac:dyDescent="0.25">
      <c r="A1360" t="s">
        <v>3767</v>
      </c>
      <c r="B1360" t="s">
        <v>4</v>
      </c>
      <c r="C1360" t="s">
        <v>1004</v>
      </c>
      <c r="D1360" t="s">
        <v>21</v>
      </c>
      <c r="E1360" t="s">
        <v>1890</v>
      </c>
      <c r="F1360" t="s">
        <v>364</v>
      </c>
      <c r="G1360" t="s">
        <v>2444</v>
      </c>
      <c r="H1360" s="20">
        <v>46254</v>
      </c>
      <c r="I1360">
        <v>1500</v>
      </c>
      <c r="J1360">
        <v>85</v>
      </c>
      <c r="K1360">
        <v>75</v>
      </c>
      <c r="L1360">
        <v>65</v>
      </c>
      <c r="P1360" t="s">
        <v>2272</v>
      </c>
      <c r="Q1360" t="s">
        <v>3761</v>
      </c>
      <c r="R1360" t="s">
        <v>2446</v>
      </c>
      <c r="S1360">
        <v>15</v>
      </c>
      <c r="T1360" t="s">
        <v>2624</v>
      </c>
      <c r="U1360" t="s">
        <v>2625</v>
      </c>
    </row>
    <row r="1361" spans="1:21" x14ac:dyDescent="0.25">
      <c r="A1361" t="s">
        <v>3768</v>
      </c>
      <c r="B1361" t="s">
        <v>4</v>
      </c>
      <c r="C1361" t="s">
        <v>1004</v>
      </c>
      <c r="D1361" t="s">
        <v>21</v>
      </c>
      <c r="E1361" t="s">
        <v>1891</v>
      </c>
      <c r="F1361" t="s">
        <v>62</v>
      </c>
      <c r="G1361" t="s">
        <v>2271</v>
      </c>
      <c r="H1361" s="20">
        <v>46254</v>
      </c>
      <c r="I1361">
        <v>1500</v>
      </c>
      <c r="J1361">
        <v>85</v>
      </c>
      <c r="K1361">
        <v>75</v>
      </c>
      <c r="L1361">
        <v>63</v>
      </c>
      <c r="P1361" t="s">
        <v>2272</v>
      </c>
      <c r="R1361" t="s">
        <v>2273</v>
      </c>
      <c r="S1361">
        <v>15</v>
      </c>
      <c r="T1361" t="s">
        <v>2345</v>
      </c>
      <c r="U1361" t="s">
        <v>2346</v>
      </c>
    </row>
    <row r="1362" spans="1:21" x14ac:dyDescent="0.25">
      <c r="A1362" t="s">
        <v>3769</v>
      </c>
      <c r="B1362" t="s">
        <v>4</v>
      </c>
      <c r="C1362" t="s">
        <v>1004</v>
      </c>
      <c r="D1362" t="s">
        <v>21</v>
      </c>
      <c r="E1362" t="s">
        <v>1892</v>
      </c>
      <c r="F1362" t="s">
        <v>674</v>
      </c>
      <c r="G1362" t="s">
        <v>2271</v>
      </c>
      <c r="H1362" s="20">
        <v>46254</v>
      </c>
      <c r="I1362">
        <v>1500</v>
      </c>
      <c r="J1362">
        <v>85</v>
      </c>
      <c r="K1362">
        <v>75</v>
      </c>
      <c r="L1362">
        <v>63</v>
      </c>
      <c r="P1362" t="s">
        <v>2272</v>
      </c>
      <c r="R1362" t="s">
        <v>2273</v>
      </c>
      <c r="S1362">
        <v>15</v>
      </c>
      <c r="T1362" t="s">
        <v>2345</v>
      </c>
      <c r="U1362" t="s">
        <v>2346</v>
      </c>
    </row>
    <row r="1363" spans="1:21" x14ac:dyDescent="0.25">
      <c r="A1363" t="s">
        <v>3770</v>
      </c>
      <c r="B1363" t="s">
        <v>4</v>
      </c>
      <c r="C1363" t="s">
        <v>1004</v>
      </c>
      <c r="D1363" t="s">
        <v>21</v>
      </c>
      <c r="E1363" t="s">
        <v>1893</v>
      </c>
      <c r="F1363" t="s">
        <v>974</v>
      </c>
      <c r="G1363" t="s">
        <v>2444</v>
      </c>
      <c r="H1363" s="20">
        <v>46254</v>
      </c>
      <c r="I1363">
        <v>1500</v>
      </c>
      <c r="J1363">
        <v>85</v>
      </c>
      <c r="K1363">
        <v>75</v>
      </c>
      <c r="L1363">
        <v>65</v>
      </c>
      <c r="P1363" t="s">
        <v>2272</v>
      </c>
      <c r="Q1363" t="s">
        <v>3761</v>
      </c>
      <c r="R1363" t="s">
        <v>2446</v>
      </c>
      <c r="S1363">
        <v>15</v>
      </c>
      <c r="T1363" t="s">
        <v>2624</v>
      </c>
      <c r="U1363" t="s">
        <v>2625</v>
      </c>
    </row>
    <row r="1364" spans="1:21" x14ac:dyDescent="0.25">
      <c r="A1364" t="s">
        <v>3771</v>
      </c>
      <c r="B1364" t="s">
        <v>4</v>
      </c>
      <c r="C1364" t="s">
        <v>1079</v>
      </c>
      <c r="D1364" t="s">
        <v>24</v>
      </c>
      <c r="E1364" t="s">
        <v>1895</v>
      </c>
      <c r="F1364" t="s">
        <v>1650</v>
      </c>
      <c r="G1364" t="s">
        <v>2271</v>
      </c>
      <c r="H1364" s="20">
        <v>46250</v>
      </c>
      <c r="I1364">
        <v>1800</v>
      </c>
      <c r="J1364">
        <v>79</v>
      </c>
      <c r="K1364">
        <v>69</v>
      </c>
      <c r="L1364">
        <v>61</v>
      </c>
      <c r="P1364" t="s">
        <v>2272</v>
      </c>
      <c r="Q1364" t="s">
        <v>3345</v>
      </c>
      <c r="R1364" t="s">
        <v>2423</v>
      </c>
      <c r="S1364">
        <v>4</v>
      </c>
      <c r="T1364" t="s">
        <v>2274</v>
      </c>
      <c r="U1364" t="s">
        <v>2275</v>
      </c>
    </row>
    <row r="1365" spans="1:21" x14ac:dyDescent="0.25">
      <c r="A1365" t="s">
        <v>3772</v>
      </c>
      <c r="B1365" t="s">
        <v>4</v>
      </c>
      <c r="C1365" t="s">
        <v>1079</v>
      </c>
      <c r="D1365" t="s">
        <v>24</v>
      </c>
      <c r="E1365" t="s">
        <v>1896</v>
      </c>
      <c r="F1365" t="s">
        <v>269</v>
      </c>
      <c r="G1365" t="s">
        <v>2271</v>
      </c>
      <c r="H1365" s="20">
        <v>46250</v>
      </c>
      <c r="I1365">
        <v>1800</v>
      </c>
      <c r="J1365">
        <v>79</v>
      </c>
      <c r="K1365">
        <v>69</v>
      </c>
      <c r="L1365">
        <v>61</v>
      </c>
      <c r="P1365" t="s">
        <v>2272</v>
      </c>
      <c r="Q1365" t="s">
        <v>3345</v>
      </c>
      <c r="R1365" t="s">
        <v>2423</v>
      </c>
      <c r="S1365">
        <v>4</v>
      </c>
      <c r="T1365" t="s">
        <v>2274</v>
      </c>
      <c r="U1365" t="s">
        <v>2275</v>
      </c>
    </row>
    <row r="1366" spans="1:21" x14ac:dyDescent="0.25">
      <c r="A1366" t="s">
        <v>3773</v>
      </c>
      <c r="B1366" t="s">
        <v>4</v>
      </c>
      <c r="C1366" t="s">
        <v>1079</v>
      </c>
      <c r="D1366" t="s">
        <v>24</v>
      </c>
      <c r="E1366" t="s">
        <v>1897</v>
      </c>
      <c r="F1366" t="s">
        <v>326</v>
      </c>
      <c r="G1366" t="s">
        <v>2271</v>
      </c>
      <c r="H1366" s="20">
        <v>46250</v>
      </c>
      <c r="I1366">
        <v>1800</v>
      </c>
      <c r="J1366">
        <v>79</v>
      </c>
      <c r="K1366">
        <v>69</v>
      </c>
      <c r="L1366">
        <v>61</v>
      </c>
      <c r="P1366" t="s">
        <v>2272</v>
      </c>
      <c r="Q1366" t="s">
        <v>3345</v>
      </c>
      <c r="R1366" t="s">
        <v>2423</v>
      </c>
      <c r="S1366">
        <v>4</v>
      </c>
      <c r="T1366" t="s">
        <v>2274</v>
      </c>
      <c r="U1366" t="s">
        <v>2275</v>
      </c>
    </row>
    <row r="1367" spans="1:21" x14ac:dyDescent="0.25">
      <c r="A1367" t="s">
        <v>3774</v>
      </c>
      <c r="B1367" t="s">
        <v>4</v>
      </c>
      <c r="C1367" t="s">
        <v>1079</v>
      </c>
      <c r="D1367" t="s">
        <v>24</v>
      </c>
      <c r="E1367" t="s">
        <v>1898</v>
      </c>
      <c r="F1367" t="s">
        <v>1861</v>
      </c>
      <c r="G1367" t="s">
        <v>2425</v>
      </c>
      <c r="H1367" s="20">
        <v>46250</v>
      </c>
      <c r="I1367">
        <v>1800</v>
      </c>
      <c r="J1367">
        <v>79</v>
      </c>
      <c r="K1367">
        <v>69</v>
      </c>
      <c r="L1367">
        <v>53</v>
      </c>
      <c r="M1367">
        <v>50</v>
      </c>
      <c r="P1367" t="s">
        <v>2272</v>
      </c>
      <c r="Q1367" t="s">
        <v>3064</v>
      </c>
      <c r="R1367" t="s">
        <v>2423</v>
      </c>
      <c r="S1367">
        <v>4</v>
      </c>
      <c r="T1367" t="s">
        <v>2274</v>
      </c>
      <c r="U1367" t="s">
        <v>2275</v>
      </c>
    </row>
    <row r="1368" spans="1:21" x14ac:dyDescent="0.25">
      <c r="A1368" t="s">
        <v>3775</v>
      </c>
      <c r="B1368" t="s">
        <v>4</v>
      </c>
      <c r="C1368" t="s">
        <v>1079</v>
      </c>
      <c r="D1368" t="s">
        <v>24</v>
      </c>
      <c r="E1368" t="s">
        <v>1815</v>
      </c>
      <c r="F1368" t="s">
        <v>237</v>
      </c>
      <c r="G1368" t="s">
        <v>2425</v>
      </c>
      <c r="H1368" s="20">
        <v>46250</v>
      </c>
      <c r="I1368">
        <v>1800</v>
      </c>
      <c r="J1368">
        <v>79</v>
      </c>
      <c r="K1368">
        <v>69</v>
      </c>
      <c r="L1368">
        <v>53</v>
      </c>
      <c r="M1368">
        <v>50</v>
      </c>
      <c r="P1368" t="s">
        <v>2272</v>
      </c>
      <c r="Q1368" t="s">
        <v>3064</v>
      </c>
      <c r="R1368" t="s">
        <v>2423</v>
      </c>
      <c r="S1368">
        <v>4</v>
      </c>
      <c r="T1368" t="s">
        <v>2274</v>
      </c>
      <c r="U1368" t="s">
        <v>2275</v>
      </c>
    </row>
    <row r="1369" spans="1:21" x14ac:dyDescent="0.25">
      <c r="A1369" t="s">
        <v>3776</v>
      </c>
      <c r="B1369" t="s">
        <v>4</v>
      </c>
      <c r="C1369" t="s">
        <v>1079</v>
      </c>
      <c r="D1369" t="s">
        <v>24</v>
      </c>
      <c r="E1369" t="s">
        <v>1899</v>
      </c>
      <c r="F1369" t="s">
        <v>729</v>
      </c>
      <c r="G1369" t="s">
        <v>2425</v>
      </c>
      <c r="H1369" s="20">
        <v>46250</v>
      </c>
      <c r="I1369">
        <v>1800</v>
      </c>
      <c r="J1369">
        <v>79</v>
      </c>
      <c r="K1369">
        <v>69</v>
      </c>
      <c r="L1369">
        <v>53</v>
      </c>
      <c r="M1369">
        <v>50</v>
      </c>
      <c r="P1369" t="s">
        <v>2272</v>
      </c>
      <c r="Q1369" t="s">
        <v>3064</v>
      </c>
      <c r="R1369" t="s">
        <v>2423</v>
      </c>
      <c r="S1369">
        <v>4</v>
      </c>
      <c r="T1369" t="s">
        <v>2274</v>
      </c>
      <c r="U1369" t="s">
        <v>2275</v>
      </c>
    </row>
    <row r="1370" spans="1:21" x14ac:dyDescent="0.25">
      <c r="A1370" t="s">
        <v>3777</v>
      </c>
      <c r="B1370" t="s">
        <v>4</v>
      </c>
      <c r="C1370" t="s">
        <v>1079</v>
      </c>
      <c r="D1370" t="s">
        <v>24</v>
      </c>
      <c r="E1370" t="s">
        <v>1900</v>
      </c>
      <c r="F1370" t="s">
        <v>435</v>
      </c>
      <c r="G1370" t="s">
        <v>2425</v>
      </c>
      <c r="H1370" s="20">
        <v>46250</v>
      </c>
      <c r="I1370">
        <v>1800</v>
      </c>
      <c r="J1370">
        <v>79</v>
      </c>
      <c r="K1370">
        <v>69</v>
      </c>
      <c r="L1370">
        <v>53</v>
      </c>
      <c r="M1370">
        <v>50</v>
      </c>
      <c r="P1370" t="s">
        <v>2272</v>
      </c>
      <c r="Q1370" t="s">
        <v>3064</v>
      </c>
      <c r="R1370" t="s">
        <v>2423</v>
      </c>
      <c r="S1370">
        <v>4</v>
      </c>
      <c r="T1370" t="s">
        <v>2274</v>
      </c>
      <c r="U1370" t="s">
        <v>2275</v>
      </c>
    </row>
    <row r="1371" spans="1:21" x14ac:dyDescent="0.25">
      <c r="A1371" t="s">
        <v>3778</v>
      </c>
      <c r="B1371" t="s">
        <v>4</v>
      </c>
      <c r="C1371" t="s">
        <v>1079</v>
      </c>
      <c r="D1371" t="s">
        <v>24</v>
      </c>
      <c r="E1371" t="s">
        <v>1901</v>
      </c>
      <c r="F1371" t="s">
        <v>1082</v>
      </c>
      <c r="G1371" t="s">
        <v>2425</v>
      </c>
      <c r="H1371" s="20">
        <v>46250</v>
      </c>
      <c r="I1371">
        <v>1800</v>
      </c>
      <c r="J1371">
        <v>79</v>
      </c>
      <c r="K1371">
        <v>69</v>
      </c>
      <c r="L1371">
        <v>53</v>
      </c>
      <c r="M1371">
        <v>50</v>
      </c>
      <c r="P1371" t="s">
        <v>2272</v>
      </c>
      <c r="Q1371" t="s">
        <v>3064</v>
      </c>
      <c r="R1371" t="s">
        <v>2423</v>
      </c>
      <c r="S1371">
        <v>4</v>
      </c>
      <c r="T1371" t="s">
        <v>2274</v>
      </c>
      <c r="U1371" t="s">
        <v>2275</v>
      </c>
    </row>
    <row r="1372" spans="1:21" x14ac:dyDescent="0.25">
      <c r="A1372" t="s">
        <v>3779</v>
      </c>
      <c r="B1372" t="s">
        <v>4</v>
      </c>
      <c r="C1372" t="s">
        <v>1079</v>
      </c>
      <c r="D1372" t="s">
        <v>24</v>
      </c>
      <c r="E1372" t="s">
        <v>1902</v>
      </c>
      <c r="F1372" t="s">
        <v>352</v>
      </c>
      <c r="G1372" t="s">
        <v>2425</v>
      </c>
      <c r="H1372" s="20">
        <v>46250</v>
      </c>
      <c r="I1372">
        <v>1800</v>
      </c>
      <c r="J1372">
        <v>79</v>
      </c>
      <c r="K1372">
        <v>69</v>
      </c>
      <c r="L1372">
        <v>53</v>
      </c>
      <c r="M1372">
        <v>50</v>
      </c>
      <c r="P1372" t="s">
        <v>2272</v>
      </c>
      <c r="Q1372" t="s">
        <v>3064</v>
      </c>
      <c r="R1372" t="s">
        <v>2423</v>
      </c>
      <c r="S1372">
        <v>4</v>
      </c>
      <c r="T1372" t="s">
        <v>2274</v>
      </c>
      <c r="U1372" t="s">
        <v>2275</v>
      </c>
    </row>
    <row r="1373" spans="1:21" x14ac:dyDescent="0.25">
      <c r="A1373" t="s">
        <v>3780</v>
      </c>
      <c r="B1373" t="s">
        <v>4</v>
      </c>
      <c r="C1373" t="s">
        <v>1079</v>
      </c>
      <c r="D1373" t="s">
        <v>21</v>
      </c>
      <c r="E1373" t="s">
        <v>1903</v>
      </c>
      <c r="F1373" t="s">
        <v>1904</v>
      </c>
      <c r="G1373" t="s">
        <v>2271</v>
      </c>
      <c r="H1373" s="20">
        <v>46254</v>
      </c>
      <c r="I1373">
        <v>1500</v>
      </c>
      <c r="J1373">
        <v>68</v>
      </c>
      <c r="K1373">
        <v>61</v>
      </c>
      <c r="L1373">
        <v>47</v>
      </c>
      <c r="P1373" t="s">
        <v>2272</v>
      </c>
      <c r="R1373" t="s">
        <v>2273</v>
      </c>
      <c r="S1373">
        <v>7</v>
      </c>
      <c r="T1373" t="s">
        <v>2612</v>
      </c>
      <c r="U1373" t="s">
        <v>2613</v>
      </c>
    </row>
    <row r="1374" spans="1:21" x14ac:dyDescent="0.25">
      <c r="A1374" t="s">
        <v>3781</v>
      </c>
      <c r="B1374" t="s">
        <v>4</v>
      </c>
      <c r="C1374" t="s">
        <v>1079</v>
      </c>
      <c r="D1374" t="s">
        <v>21</v>
      </c>
      <c r="E1374" t="s">
        <v>1903</v>
      </c>
      <c r="F1374" t="s">
        <v>1857</v>
      </c>
      <c r="G1374" t="s">
        <v>2271</v>
      </c>
      <c r="H1374" s="20">
        <v>46254</v>
      </c>
      <c r="I1374">
        <v>1500</v>
      </c>
      <c r="J1374">
        <v>68</v>
      </c>
      <c r="K1374">
        <v>61</v>
      </c>
      <c r="L1374">
        <v>47</v>
      </c>
      <c r="P1374" t="s">
        <v>2272</v>
      </c>
      <c r="R1374" t="s">
        <v>2273</v>
      </c>
      <c r="S1374">
        <v>7</v>
      </c>
      <c r="T1374" t="s">
        <v>2612</v>
      </c>
      <c r="U1374" t="s">
        <v>2613</v>
      </c>
    </row>
    <row r="1375" spans="1:21" x14ac:dyDescent="0.25">
      <c r="A1375" t="s">
        <v>3782</v>
      </c>
      <c r="B1375" t="s">
        <v>4</v>
      </c>
      <c r="C1375" t="s">
        <v>1079</v>
      </c>
      <c r="D1375" t="s">
        <v>21</v>
      </c>
      <c r="E1375" t="s">
        <v>1905</v>
      </c>
      <c r="F1375" t="s">
        <v>451</v>
      </c>
      <c r="G1375" t="s">
        <v>2444</v>
      </c>
      <c r="H1375" s="20">
        <v>46254</v>
      </c>
      <c r="I1375">
        <v>1500</v>
      </c>
      <c r="J1375">
        <v>73</v>
      </c>
      <c r="K1375">
        <v>63</v>
      </c>
      <c r="L1375">
        <v>53</v>
      </c>
      <c r="P1375" t="s">
        <v>2272</v>
      </c>
      <c r="Q1375" t="s">
        <v>3783</v>
      </c>
      <c r="R1375" t="s">
        <v>2446</v>
      </c>
      <c r="S1375">
        <v>7</v>
      </c>
      <c r="T1375" t="s">
        <v>3784</v>
      </c>
      <c r="U1375" t="s">
        <v>3785</v>
      </c>
    </row>
    <row r="1376" spans="1:21" x14ac:dyDescent="0.25">
      <c r="A1376" t="s">
        <v>3786</v>
      </c>
      <c r="B1376" t="s">
        <v>4</v>
      </c>
      <c r="C1376" t="s">
        <v>1079</v>
      </c>
      <c r="D1376" t="s">
        <v>21</v>
      </c>
      <c r="E1376" t="s">
        <v>1906</v>
      </c>
      <c r="F1376" t="s">
        <v>464</v>
      </c>
      <c r="G1376" t="s">
        <v>2444</v>
      </c>
      <c r="H1376" s="20">
        <v>46254</v>
      </c>
      <c r="I1376">
        <v>1500</v>
      </c>
      <c r="J1376">
        <v>73</v>
      </c>
      <c r="K1376">
        <v>63</v>
      </c>
      <c r="L1376">
        <v>53</v>
      </c>
      <c r="P1376" t="s">
        <v>2272</v>
      </c>
      <c r="Q1376" t="s">
        <v>3783</v>
      </c>
      <c r="R1376" t="s">
        <v>2446</v>
      </c>
      <c r="S1376">
        <v>7</v>
      </c>
      <c r="T1376" t="s">
        <v>3784</v>
      </c>
      <c r="U1376" t="s">
        <v>3785</v>
      </c>
    </row>
    <row r="1377" spans="1:21" x14ac:dyDescent="0.25">
      <c r="A1377" t="s">
        <v>3787</v>
      </c>
      <c r="B1377" t="s">
        <v>4</v>
      </c>
      <c r="C1377" t="s">
        <v>1079</v>
      </c>
      <c r="D1377" t="s">
        <v>21</v>
      </c>
      <c r="E1377" t="s">
        <v>1907</v>
      </c>
      <c r="F1377" t="s">
        <v>170</v>
      </c>
      <c r="G1377" t="s">
        <v>2271</v>
      </c>
      <c r="H1377" s="20">
        <v>46254</v>
      </c>
      <c r="I1377">
        <v>1500</v>
      </c>
      <c r="J1377">
        <v>68</v>
      </c>
      <c r="K1377">
        <v>61</v>
      </c>
      <c r="L1377">
        <v>47</v>
      </c>
      <c r="P1377" t="s">
        <v>2272</v>
      </c>
      <c r="R1377" t="s">
        <v>2273</v>
      </c>
      <c r="S1377">
        <v>7</v>
      </c>
      <c r="T1377" t="s">
        <v>2612</v>
      </c>
      <c r="U1377" t="s">
        <v>2613</v>
      </c>
    </row>
    <row r="1378" spans="1:21" x14ac:dyDescent="0.25">
      <c r="A1378" t="s">
        <v>3788</v>
      </c>
      <c r="B1378" t="s">
        <v>4</v>
      </c>
      <c r="C1378" t="s">
        <v>1079</v>
      </c>
      <c r="D1378" t="s">
        <v>21</v>
      </c>
      <c r="E1378" t="s">
        <v>1907</v>
      </c>
      <c r="F1378" t="s">
        <v>1319</v>
      </c>
      <c r="G1378" t="s">
        <v>2271</v>
      </c>
      <c r="H1378" s="20">
        <v>46254</v>
      </c>
      <c r="I1378">
        <v>1500</v>
      </c>
      <c r="J1378">
        <v>68</v>
      </c>
      <c r="K1378">
        <v>61</v>
      </c>
      <c r="L1378">
        <v>47</v>
      </c>
      <c r="P1378" t="s">
        <v>2272</v>
      </c>
      <c r="R1378" t="s">
        <v>2273</v>
      </c>
      <c r="S1378">
        <v>7</v>
      </c>
      <c r="T1378" t="s">
        <v>2612</v>
      </c>
      <c r="U1378" t="s">
        <v>2613</v>
      </c>
    </row>
    <row r="1379" spans="1:21" x14ac:dyDescent="0.25">
      <c r="A1379" t="s">
        <v>3789</v>
      </c>
      <c r="B1379" t="s">
        <v>4</v>
      </c>
      <c r="C1379" t="s">
        <v>1079</v>
      </c>
      <c r="D1379" t="s">
        <v>21</v>
      </c>
      <c r="E1379" t="s">
        <v>1908</v>
      </c>
      <c r="F1379" t="s">
        <v>219</v>
      </c>
      <c r="G1379" t="s">
        <v>2271</v>
      </c>
      <c r="H1379" s="20">
        <v>46254</v>
      </c>
      <c r="I1379">
        <v>1500</v>
      </c>
      <c r="J1379">
        <v>68</v>
      </c>
      <c r="K1379">
        <v>61</v>
      </c>
      <c r="L1379">
        <v>47</v>
      </c>
      <c r="P1379" t="s">
        <v>2272</v>
      </c>
      <c r="R1379" t="s">
        <v>2273</v>
      </c>
      <c r="S1379">
        <v>7</v>
      </c>
      <c r="T1379" t="s">
        <v>2612</v>
      </c>
      <c r="U1379" t="s">
        <v>2613</v>
      </c>
    </row>
    <row r="1380" spans="1:21" x14ac:dyDescent="0.25">
      <c r="A1380" t="s">
        <v>3790</v>
      </c>
      <c r="B1380" t="s">
        <v>4</v>
      </c>
      <c r="C1380" t="s">
        <v>1079</v>
      </c>
      <c r="D1380" t="s">
        <v>21</v>
      </c>
      <c r="E1380" t="s">
        <v>1909</v>
      </c>
      <c r="F1380" t="s">
        <v>182</v>
      </c>
      <c r="G1380" t="s">
        <v>2271</v>
      </c>
      <c r="H1380" s="20">
        <v>46254</v>
      </c>
      <c r="I1380">
        <v>1500</v>
      </c>
      <c r="J1380">
        <v>68</v>
      </c>
      <c r="K1380">
        <v>61</v>
      </c>
      <c r="L1380">
        <v>47</v>
      </c>
      <c r="P1380" t="s">
        <v>2272</v>
      </c>
      <c r="R1380" t="s">
        <v>2273</v>
      </c>
      <c r="S1380">
        <v>7</v>
      </c>
      <c r="T1380" t="s">
        <v>2612</v>
      </c>
      <c r="U1380" t="s">
        <v>2613</v>
      </c>
    </row>
    <row r="1381" spans="1:21" x14ac:dyDescent="0.25">
      <c r="A1381" t="s">
        <v>3791</v>
      </c>
      <c r="B1381" t="s">
        <v>4</v>
      </c>
      <c r="C1381" t="s">
        <v>1079</v>
      </c>
      <c r="D1381" t="s">
        <v>21</v>
      </c>
      <c r="E1381" t="s">
        <v>1910</v>
      </c>
      <c r="F1381" t="s">
        <v>182</v>
      </c>
      <c r="G1381" t="s">
        <v>2271</v>
      </c>
      <c r="H1381" s="20">
        <v>46254</v>
      </c>
      <c r="I1381">
        <v>1500</v>
      </c>
      <c r="J1381">
        <v>68</v>
      </c>
      <c r="K1381">
        <v>61</v>
      </c>
      <c r="L1381">
        <v>47</v>
      </c>
      <c r="P1381" t="s">
        <v>2272</v>
      </c>
      <c r="R1381" t="s">
        <v>2273</v>
      </c>
      <c r="S1381">
        <v>7</v>
      </c>
      <c r="T1381" t="s">
        <v>2612</v>
      </c>
      <c r="U1381" t="s">
        <v>2613</v>
      </c>
    </row>
    <row r="1382" spans="1:21" x14ac:dyDescent="0.25">
      <c r="A1382" t="s">
        <v>3792</v>
      </c>
      <c r="B1382" t="s">
        <v>4</v>
      </c>
      <c r="C1382" t="s">
        <v>1079</v>
      </c>
      <c r="D1382" t="s">
        <v>21</v>
      </c>
      <c r="E1382" t="s">
        <v>1911</v>
      </c>
      <c r="F1382" t="s">
        <v>232</v>
      </c>
      <c r="G1382" t="s">
        <v>2271</v>
      </c>
      <c r="H1382" s="20">
        <v>46254</v>
      </c>
      <c r="I1382">
        <v>1500</v>
      </c>
      <c r="J1382">
        <v>68</v>
      </c>
      <c r="K1382">
        <v>61</v>
      </c>
      <c r="L1382">
        <v>47</v>
      </c>
      <c r="P1382" t="s">
        <v>2272</v>
      </c>
      <c r="R1382" t="s">
        <v>2273</v>
      </c>
      <c r="S1382">
        <v>7</v>
      </c>
      <c r="T1382" t="s">
        <v>2612</v>
      </c>
      <c r="U1382" t="s">
        <v>2613</v>
      </c>
    </row>
    <row r="1383" spans="1:21" x14ac:dyDescent="0.25">
      <c r="A1383" t="s">
        <v>3793</v>
      </c>
      <c r="B1383" t="s">
        <v>4</v>
      </c>
      <c r="C1383" t="s">
        <v>1079</v>
      </c>
      <c r="D1383" t="s">
        <v>21</v>
      </c>
      <c r="E1383" t="s">
        <v>1912</v>
      </c>
      <c r="F1383" t="s">
        <v>193</v>
      </c>
      <c r="G1383" t="s">
        <v>2271</v>
      </c>
      <c r="H1383" s="20">
        <v>46254</v>
      </c>
      <c r="I1383">
        <v>1500</v>
      </c>
      <c r="J1383">
        <v>68</v>
      </c>
      <c r="K1383">
        <v>61</v>
      </c>
      <c r="L1383">
        <v>47</v>
      </c>
      <c r="P1383" t="s">
        <v>2272</v>
      </c>
      <c r="R1383" t="s">
        <v>2273</v>
      </c>
      <c r="S1383">
        <v>7</v>
      </c>
      <c r="T1383" t="s">
        <v>2612</v>
      </c>
      <c r="U1383" t="s">
        <v>2613</v>
      </c>
    </row>
    <row r="1384" spans="1:21" x14ac:dyDescent="0.25">
      <c r="A1384" t="s">
        <v>3794</v>
      </c>
      <c r="B1384" t="s">
        <v>4</v>
      </c>
      <c r="C1384" t="s">
        <v>1079</v>
      </c>
      <c r="D1384" t="s">
        <v>21</v>
      </c>
      <c r="E1384" t="s">
        <v>1913</v>
      </c>
      <c r="F1384" t="s">
        <v>1914</v>
      </c>
      <c r="G1384" t="s">
        <v>2271</v>
      </c>
      <c r="H1384" s="20">
        <v>46254</v>
      </c>
      <c r="I1384">
        <v>1500</v>
      </c>
      <c r="J1384">
        <v>68</v>
      </c>
      <c r="K1384">
        <v>61</v>
      </c>
      <c r="L1384">
        <v>47</v>
      </c>
      <c r="P1384" t="s">
        <v>2272</v>
      </c>
      <c r="R1384" t="s">
        <v>2273</v>
      </c>
      <c r="S1384">
        <v>7</v>
      </c>
      <c r="T1384" t="s">
        <v>2612</v>
      </c>
      <c r="U1384" t="s">
        <v>2613</v>
      </c>
    </row>
    <row r="1385" spans="1:21" x14ac:dyDescent="0.25">
      <c r="A1385" t="s">
        <v>3795</v>
      </c>
      <c r="B1385" t="s">
        <v>4</v>
      </c>
      <c r="C1385" t="s">
        <v>1079</v>
      </c>
      <c r="D1385" t="s">
        <v>29</v>
      </c>
      <c r="E1385" t="s">
        <v>1915</v>
      </c>
      <c r="F1385" t="s">
        <v>225</v>
      </c>
      <c r="H1385" s="20"/>
      <c r="P1385" t="s">
        <v>2291</v>
      </c>
      <c r="R1385" t="s">
        <v>2292</v>
      </c>
    </row>
    <row r="1386" spans="1:21" x14ac:dyDescent="0.25">
      <c r="A1386" t="s">
        <v>3796</v>
      </c>
      <c r="B1386" t="s">
        <v>4</v>
      </c>
      <c r="C1386" t="s">
        <v>1079</v>
      </c>
      <c r="D1386" t="s">
        <v>29</v>
      </c>
      <c r="E1386" t="s">
        <v>1916</v>
      </c>
      <c r="F1386" t="s">
        <v>121</v>
      </c>
      <c r="H1386" s="20"/>
      <c r="P1386" t="s">
        <v>2291</v>
      </c>
      <c r="R1386" t="s">
        <v>2292</v>
      </c>
    </row>
    <row r="1387" spans="1:21" x14ac:dyDescent="0.25">
      <c r="A1387" t="s">
        <v>3797</v>
      </c>
      <c r="B1387" t="s">
        <v>4</v>
      </c>
      <c r="C1387" t="s">
        <v>1079</v>
      </c>
      <c r="D1387" t="s">
        <v>26</v>
      </c>
      <c r="E1387" t="s">
        <v>1917</v>
      </c>
      <c r="F1387" t="s">
        <v>443</v>
      </c>
      <c r="H1387" s="20"/>
      <c r="P1387" t="s">
        <v>2291</v>
      </c>
      <c r="R1387" t="s">
        <v>2292</v>
      </c>
    </row>
    <row r="1388" spans="1:21" x14ac:dyDescent="0.25">
      <c r="A1388" t="s">
        <v>3798</v>
      </c>
      <c r="B1388" t="s">
        <v>4</v>
      </c>
      <c r="C1388" t="s">
        <v>1079</v>
      </c>
      <c r="D1388" t="s">
        <v>26</v>
      </c>
      <c r="E1388" t="s">
        <v>1918</v>
      </c>
      <c r="F1388" t="s">
        <v>165</v>
      </c>
      <c r="H1388" s="20"/>
      <c r="P1388" t="s">
        <v>2291</v>
      </c>
      <c r="R1388" t="s">
        <v>2292</v>
      </c>
    </row>
    <row r="1389" spans="1:21" x14ac:dyDescent="0.25">
      <c r="A1389" t="s">
        <v>3799</v>
      </c>
      <c r="B1389" t="s">
        <v>4</v>
      </c>
      <c r="C1389" t="s">
        <v>1079</v>
      </c>
      <c r="D1389" t="s">
        <v>26</v>
      </c>
      <c r="E1389" t="s">
        <v>1919</v>
      </c>
      <c r="F1389" t="s">
        <v>685</v>
      </c>
      <c r="H1389" s="20"/>
      <c r="P1389" t="s">
        <v>2291</v>
      </c>
      <c r="R1389" t="s">
        <v>2292</v>
      </c>
    </row>
    <row r="1390" spans="1:21" x14ac:dyDescent="0.25">
      <c r="A1390" t="s">
        <v>3800</v>
      </c>
      <c r="B1390" t="s">
        <v>4</v>
      </c>
      <c r="C1390" t="s">
        <v>1079</v>
      </c>
      <c r="D1390" t="s">
        <v>21</v>
      </c>
      <c r="E1390" t="s">
        <v>1920</v>
      </c>
      <c r="F1390" t="s">
        <v>1921</v>
      </c>
      <c r="G1390" t="s">
        <v>2444</v>
      </c>
      <c r="H1390" s="20">
        <v>46254</v>
      </c>
      <c r="I1390">
        <v>1500</v>
      </c>
      <c r="J1390">
        <v>73</v>
      </c>
      <c r="K1390">
        <v>63</v>
      </c>
      <c r="L1390">
        <v>53</v>
      </c>
      <c r="P1390" t="s">
        <v>2272</v>
      </c>
      <c r="Q1390" t="s">
        <v>3783</v>
      </c>
      <c r="R1390" t="s">
        <v>2446</v>
      </c>
      <c r="S1390">
        <v>7</v>
      </c>
      <c r="T1390" t="s">
        <v>3784</v>
      </c>
      <c r="U1390" t="s">
        <v>3785</v>
      </c>
    </row>
    <row r="1391" spans="1:21" x14ac:dyDescent="0.25">
      <c r="A1391" t="s">
        <v>3801</v>
      </c>
      <c r="B1391" t="s">
        <v>4</v>
      </c>
      <c r="C1391" t="s">
        <v>1079</v>
      </c>
      <c r="D1391" t="s">
        <v>21</v>
      </c>
      <c r="E1391" t="s">
        <v>1920</v>
      </c>
      <c r="F1391" t="s">
        <v>269</v>
      </c>
      <c r="G1391" t="s">
        <v>2444</v>
      </c>
      <c r="H1391" s="20">
        <v>46254</v>
      </c>
      <c r="I1391">
        <v>1500</v>
      </c>
      <c r="J1391">
        <v>73</v>
      </c>
      <c r="K1391">
        <v>63</v>
      </c>
      <c r="L1391">
        <v>53</v>
      </c>
      <c r="P1391" t="s">
        <v>2272</v>
      </c>
      <c r="Q1391" t="s">
        <v>3783</v>
      </c>
      <c r="R1391" t="s">
        <v>2446</v>
      </c>
      <c r="S1391">
        <v>7</v>
      </c>
      <c r="T1391" t="s">
        <v>3784</v>
      </c>
      <c r="U1391" t="s">
        <v>3785</v>
      </c>
    </row>
    <row r="1392" spans="1:21" x14ac:dyDescent="0.25">
      <c r="A1392" t="s">
        <v>3802</v>
      </c>
      <c r="B1392" t="s">
        <v>4</v>
      </c>
      <c r="C1392" t="s">
        <v>1079</v>
      </c>
      <c r="D1392" t="s">
        <v>21</v>
      </c>
      <c r="E1392" t="s">
        <v>1922</v>
      </c>
      <c r="F1392" t="s">
        <v>1923</v>
      </c>
      <c r="G1392" t="s">
        <v>2271</v>
      </c>
      <c r="H1392" s="20">
        <v>46254</v>
      </c>
      <c r="I1392">
        <v>1500</v>
      </c>
      <c r="J1392">
        <v>68</v>
      </c>
      <c r="K1392">
        <v>61</v>
      </c>
      <c r="L1392">
        <v>47</v>
      </c>
      <c r="P1392" t="s">
        <v>2272</v>
      </c>
      <c r="R1392" t="s">
        <v>2273</v>
      </c>
      <c r="S1392">
        <v>7</v>
      </c>
      <c r="T1392" t="s">
        <v>2612</v>
      </c>
      <c r="U1392" t="s">
        <v>2613</v>
      </c>
    </row>
    <row r="1393" spans="1:21" x14ac:dyDescent="0.25">
      <c r="A1393" t="s">
        <v>3803</v>
      </c>
      <c r="B1393" t="s">
        <v>904</v>
      </c>
      <c r="C1393" t="s">
        <v>2</v>
      </c>
      <c r="D1393" t="s">
        <v>24</v>
      </c>
      <c r="E1393" t="s">
        <v>1925</v>
      </c>
      <c r="F1393" t="s">
        <v>573</v>
      </c>
      <c r="G1393" t="s">
        <v>2425</v>
      </c>
      <c r="H1393" s="20">
        <v>46250</v>
      </c>
      <c r="I1393">
        <v>1800</v>
      </c>
      <c r="J1393">
        <v>63</v>
      </c>
      <c r="K1393">
        <v>54</v>
      </c>
      <c r="L1393">
        <v>32</v>
      </c>
      <c r="M1393">
        <v>28</v>
      </c>
      <c r="P1393" t="s">
        <v>2272</v>
      </c>
      <c r="Q1393" t="s">
        <v>3056</v>
      </c>
      <c r="R1393" t="s">
        <v>2423</v>
      </c>
      <c r="S1393">
        <v>4</v>
      </c>
      <c r="T1393" t="s">
        <v>2274</v>
      </c>
      <c r="U1393" t="s">
        <v>2275</v>
      </c>
    </row>
    <row r="1394" spans="1:21" x14ac:dyDescent="0.25">
      <c r="A1394" t="s">
        <v>3804</v>
      </c>
      <c r="B1394" t="s">
        <v>904</v>
      </c>
      <c r="C1394" t="s">
        <v>2</v>
      </c>
      <c r="D1394" t="s">
        <v>24</v>
      </c>
      <c r="E1394" t="s">
        <v>918</v>
      </c>
      <c r="F1394" t="s">
        <v>376</v>
      </c>
      <c r="G1394" t="s">
        <v>2425</v>
      </c>
      <c r="H1394" s="20">
        <v>46250</v>
      </c>
      <c r="I1394">
        <v>1800</v>
      </c>
      <c r="J1394">
        <v>63</v>
      </c>
      <c r="K1394">
        <v>54</v>
      </c>
      <c r="L1394">
        <v>32</v>
      </c>
      <c r="M1394">
        <v>28</v>
      </c>
      <c r="P1394" t="s">
        <v>2272</v>
      </c>
      <c r="Q1394" t="s">
        <v>3056</v>
      </c>
      <c r="R1394" t="s">
        <v>2423</v>
      </c>
      <c r="S1394">
        <v>4</v>
      </c>
      <c r="T1394" t="s">
        <v>2274</v>
      </c>
      <c r="U1394" t="s">
        <v>2275</v>
      </c>
    </row>
    <row r="1395" spans="1:21" x14ac:dyDescent="0.25">
      <c r="A1395" t="s">
        <v>3805</v>
      </c>
      <c r="B1395" t="s">
        <v>904</v>
      </c>
      <c r="C1395" t="s">
        <v>2</v>
      </c>
      <c r="D1395" t="s">
        <v>24</v>
      </c>
      <c r="E1395" t="s">
        <v>1926</v>
      </c>
      <c r="F1395" t="s">
        <v>435</v>
      </c>
      <c r="G1395" t="s">
        <v>2425</v>
      </c>
      <c r="H1395" s="20">
        <v>46250</v>
      </c>
      <c r="I1395">
        <v>1800</v>
      </c>
      <c r="J1395">
        <v>63</v>
      </c>
      <c r="K1395">
        <v>54</v>
      </c>
      <c r="L1395">
        <v>32</v>
      </c>
      <c r="M1395">
        <v>28</v>
      </c>
      <c r="P1395" t="s">
        <v>2272</v>
      </c>
      <c r="Q1395" t="s">
        <v>3056</v>
      </c>
      <c r="R1395" t="s">
        <v>2423</v>
      </c>
      <c r="S1395">
        <v>4</v>
      </c>
      <c r="T1395" t="s">
        <v>2274</v>
      </c>
      <c r="U1395" t="s">
        <v>2275</v>
      </c>
    </row>
    <row r="1396" spans="1:21" x14ac:dyDescent="0.25">
      <c r="A1396" t="s">
        <v>3806</v>
      </c>
      <c r="B1396" t="s">
        <v>904</v>
      </c>
      <c r="C1396" t="s">
        <v>2</v>
      </c>
      <c r="D1396" t="s">
        <v>24</v>
      </c>
      <c r="E1396" t="s">
        <v>1927</v>
      </c>
      <c r="F1396" t="s">
        <v>1082</v>
      </c>
      <c r="G1396" t="s">
        <v>2425</v>
      </c>
      <c r="H1396" s="20">
        <v>46250</v>
      </c>
      <c r="I1396">
        <v>1800</v>
      </c>
      <c r="J1396">
        <v>63</v>
      </c>
      <c r="K1396">
        <v>54</v>
      </c>
      <c r="L1396">
        <v>32</v>
      </c>
      <c r="M1396">
        <v>28</v>
      </c>
      <c r="P1396" t="s">
        <v>2272</v>
      </c>
      <c r="Q1396" t="s">
        <v>3056</v>
      </c>
      <c r="R1396" t="s">
        <v>2423</v>
      </c>
      <c r="S1396">
        <v>4</v>
      </c>
      <c r="T1396" t="s">
        <v>2274</v>
      </c>
      <c r="U1396" t="s">
        <v>2275</v>
      </c>
    </row>
    <row r="1397" spans="1:21" x14ac:dyDescent="0.25">
      <c r="A1397" t="s">
        <v>3807</v>
      </c>
      <c r="B1397" t="s">
        <v>904</v>
      </c>
      <c r="C1397" t="s">
        <v>353</v>
      </c>
      <c r="D1397" t="s">
        <v>24</v>
      </c>
      <c r="E1397" t="s">
        <v>1929</v>
      </c>
      <c r="F1397" t="s">
        <v>1129</v>
      </c>
      <c r="G1397" t="s">
        <v>2425</v>
      </c>
      <c r="H1397" s="20">
        <v>46250</v>
      </c>
      <c r="I1397">
        <v>1800</v>
      </c>
      <c r="J1397">
        <v>47</v>
      </c>
      <c r="K1397">
        <v>39</v>
      </c>
      <c r="L1397">
        <v>23</v>
      </c>
      <c r="M1397">
        <v>21</v>
      </c>
      <c r="N1397">
        <v>18</v>
      </c>
      <c r="P1397" t="s">
        <v>2272</v>
      </c>
      <c r="Q1397" t="s">
        <v>3808</v>
      </c>
      <c r="R1397" t="s">
        <v>2472</v>
      </c>
      <c r="S1397">
        <v>4</v>
      </c>
      <c r="T1397" t="s">
        <v>2274</v>
      </c>
      <c r="U1397" t="s">
        <v>2275</v>
      </c>
    </row>
    <row r="1398" spans="1:21" x14ac:dyDescent="0.25">
      <c r="A1398" t="s">
        <v>3809</v>
      </c>
      <c r="B1398" t="s">
        <v>904</v>
      </c>
      <c r="C1398" t="s">
        <v>353</v>
      </c>
      <c r="D1398" t="s">
        <v>24</v>
      </c>
      <c r="E1398" t="s">
        <v>1930</v>
      </c>
      <c r="F1398" t="s">
        <v>395</v>
      </c>
      <c r="G1398" t="s">
        <v>2271</v>
      </c>
      <c r="H1398" s="20">
        <v>46250</v>
      </c>
      <c r="I1398">
        <v>1800</v>
      </c>
      <c r="J1398">
        <v>49</v>
      </c>
      <c r="K1398">
        <v>41</v>
      </c>
      <c r="L1398">
        <v>25</v>
      </c>
      <c r="P1398" t="s">
        <v>2272</v>
      </c>
      <c r="Q1398" t="s">
        <v>3810</v>
      </c>
      <c r="R1398" t="s">
        <v>2446</v>
      </c>
      <c r="S1398">
        <v>4</v>
      </c>
      <c r="T1398" t="s">
        <v>2274</v>
      </c>
      <c r="U1398" t="s">
        <v>2275</v>
      </c>
    </row>
    <row r="1399" spans="1:21" x14ac:dyDescent="0.25">
      <c r="A1399" t="s">
        <v>3811</v>
      </c>
      <c r="B1399" t="s">
        <v>904</v>
      </c>
      <c r="C1399" t="s">
        <v>353</v>
      </c>
      <c r="D1399" t="s">
        <v>24</v>
      </c>
      <c r="E1399" t="s">
        <v>1931</v>
      </c>
      <c r="F1399" t="s">
        <v>515</v>
      </c>
      <c r="G1399" t="s">
        <v>2425</v>
      </c>
      <c r="H1399" s="20">
        <v>46250</v>
      </c>
      <c r="I1399">
        <v>1800</v>
      </c>
      <c r="J1399">
        <v>47</v>
      </c>
      <c r="K1399">
        <v>39</v>
      </c>
      <c r="L1399">
        <v>23</v>
      </c>
      <c r="M1399">
        <v>21</v>
      </c>
      <c r="N1399">
        <v>18</v>
      </c>
      <c r="P1399" t="s">
        <v>2272</v>
      </c>
      <c r="Q1399" t="s">
        <v>3808</v>
      </c>
      <c r="R1399" t="s">
        <v>2472</v>
      </c>
      <c r="S1399">
        <v>4</v>
      </c>
      <c r="T1399" t="s">
        <v>2274</v>
      </c>
      <c r="U1399" t="s">
        <v>2275</v>
      </c>
    </row>
    <row r="1400" spans="1:21" x14ac:dyDescent="0.25">
      <c r="A1400" t="s">
        <v>3812</v>
      </c>
      <c r="B1400" t="s">
        <v>904</v>
      </c>
      <c r="C1400" t="s">
        <v>353</v>
      </c>
      <c r="D1400" t="s">
        <v>24</v>
      </c>
      <c r="E1400" t="s">
        <v>1932</v>
      </c>
      <c r="F1400" t="s">
        <v>772</v>
      </c>
      <c r="G1400" t="s">
        <v>2425</v>
      </c>
      <c r="H1400" s="20">
        <v>46250</v>
      </c>
      <c r="I1400">
        <v>1800</v>
      </c>
      <c r="J1400">
        <v>47</v>
      </c>
      <c r="K1400">
        <v>39</v>
      </c>
      <c r="L1400">
        <v>23</v>
      </c>
      <c r="M1400">
        <v>21</v>
      </c>
      <c r="N1400">
        <v>18</v>
      </c>
      <c r="P1400" t="s">
        <v>2272</v>
      </c>
      <c r="Q1400" t="s">
        <v>3808</v>
      </c>
      <c r="R1400" t="s">
        <v>2472</v>
      </c>
      <c r="S1400">
        <v>4</v>
      </c>
      <c r="T1400" t="s">
        <v>2274</v>
      </c>
      <c r="U1400" t="s">
        <v>2275</v>
      </c>
    </row>
    <row r="1401" spans="1:21" x14ac:dyDescent="0.25">
      <c r="A1401" t="s">
        <v>3813</v>
      </c>
      <c r="B1401" t="s">
        <v>904</v>
      </c>
      <c r="C1401" t="s">
        <v>353</v>
      </c>
      <c r="D1401" t="s">
        <v>24</v>
      </c>
      <c r="E1401" t="s">
        <v>1933</v>
      </c>
      <c r="F1401" t="s">
        <v>1030</v>
      </c>
      <c r="G1401" t="s">
        <v>2425</v>
      </c>
      <c r="H1401" s="20">
        <v>46250</v>
      </c>
      <c r="I1401">
        <v>1800</v>
      </c>
      <c r="J1401">
        <v>47</v>
      </c>
      <c r="K1401">
        <v>39</v>
      </c>
      <c r="L1401">
        <v>23</v>
      </c>
      <c r="M1401">
        <v>21</v>
      </c>
      <c r="N1401">
        <v>18</v>
      </c>
      <c r="P1401" t="s">
        <v>2272</v>
      </c>
      <c r="Q1401" t="s">
        <v>3808</v>
      </c>
      <c r="R1401" t="s">
        <v>2472</v>
      </c>
      <c r="S1401">
        <v>4</v>
      </c>
      <c r="T1401" t="s">
        <v>2274</v>
      </c>
      <c r="U1401" t="s">
        <v>2275</v>
      </c>
    </row>
    <row r="1402" spans="1:21" x14ac:dyDescent="0.25">
      <c r="A1402" t="s">
        <v>3814</v>
      </c>
      <c r="B1402" t="s">
        <v>904</v>
      </c>
      <c r="C1402" t="s">
        <v>353</v>
      </c>
      <c r="D1402" t="s">
        <v>24</v>
      </c>
      <c r="E1402" t="s">
        <v>1934</v>
      </c>
      <c r="F1402" t="s">
        <v>289</v>
      </c>
      <c r="G1402" t="s">
        <v>2425</v>
      </c>
      <c r="H1402" s="20">
        <v>46250</v>
      </c>
      <c r="I1402">
        <v>1800</v>
      </c>
      <c r="J1402">
        <v>47</v>
      </c>
      <c r="K1402">
        <v>39</v>
      </c>
      <c r="L1402">
        <v>23</v>
      </c>
      <c r="M1402">
        <v>21</v>
      </c>
      <c r="N1402">
        <v>18</v>
      </c>
      <c r="P1402" t="s">
        <v>2272</v>
      </c>
      <c r="Q1402" t="s">
        <v>3808</v>
      </c>
      <c r="R1402" t="s">
        <v>2472</v>
      </c>
      <c r="S1402">
        <v>4</v>
      </c>
      <c r="T1402" t="s">
        <v>2274</v>
      </c>
      <c r="U1402" t="s">
        <v>2275</v>
      </c>
    </row>
    <row r="1403" spans="1:21" x14ac:dyDescent="0.25">
      <c r="A1403" t="s">
        <v>3815</v>
      </c>
      <c r="B1403" t="s">
        <v>904</v>
      </c>
      <c r="C1403" t="s">
        <v>353</v>
      </c>
      <c r="D1403" t="s">
        <v>24</v>
      </c>
      <c r="E1403" t="s">
        <v>1935</v>
      </c>
      <c r="F1403" t="s">
        <v>96</v>
      </c>
      <c r="G1403" t="s">
        <v>2425</v>
      </c>
      <c r="H1403" s="20">
        <v>46250</v>
      </c>
      <c r="I1403">
        <v>1800</v>
      </c>
      <c r="J1403">
        <v>47</v>
      </c>
      <c r="K1403">
        <v>39</v>
      </c>
      <c r="L1403">
        <v>23</v>
      </c>
      <c r="M1403">
        <v>21</v>
      </c>
      <c r="N1403">
        <v>18</v>
      </c>
      <c r="P1403" t="s">
        <v>2272</v>
      </c>
      <c r="Q1403" t="s">
        <v>3808</v>
      </c>
      <c r="R1403" t="s">
        <v>2472</v>
      </c>
      <c r="S1403">
        <v>4</v>
      </c>
      <c r="T1403" t="s">
        <v>2274</v>
      </c>
      <c r="U1403" t="s">
        <v>2275</v>
      </c>
    </row>
    <row r="1404" spans="1:21" x14ac:dyDescent="0.25">
      <c r="A1404" t="s">
        <v>3816</v>
      </c>
      <c r="B1404" t="s">
        <v>904</v>
      </c>
      <c r="C1404" t="s">
        <v>353</v>
      </c>
      <c r="D1404" t="s">
        <v>24</v>
      </c>
      <c r="E1404" t="s">
        <v>1936</v>
      </c>
      <c r="F1404" t="s">
        <v>188</v>
      </c>
      <c r="G1404" t="s">
        <v>2425</v>
      </c>
      <c r="H1404" s="20">
        <v>46250</v>
      </c>
      <c r="I1404">
        <v>1800</v>
      </c>
      <c r="J1404">
        <v>47</v>
      </c>
      <c r="K1404">
        <v>39</v>
      </c>
      <c r="L1404">
        <v>23</v>
      </c>
      <c r="M1404">
        <v>21</v>
      </c>
      <c r="N1404">
        <v>18</v>
      </c>
      <c r="P1404" t="s">
        <v>2272</v>
      </c>
      <c r="Q1404" t="s">
        <v>3808</v>
      </c>
      <c r="R1404" t="s">
        <v>2472</v>
      </c>
      <c r="S1404">
        <v>4</v>
      </c>
      <c r="T1404" t="s">
        <v>2274</v>
      </c>
      <c r="U1404" t="s">
        <v>2275</v>
      </c>
    </row>
    <row r="1405" spans="1:21" x14ac:dyDescent="0.25">
      <c r="A1405" t="s">
        <v>3817</v>
      </c>
      <c r="B1405" t="s">
        <v>904</v>
      </c>
      <c r="C1405" t="s">
        <v>353</v>
      </c>
      <c r="D1405" t="s">
        <v>24</v>
      </c>
      <c r="E1405" t="s">
        <v>1937</v>
      </c>
      <c r="F1405" t="s">
        <v>317</v>
      </c>
      <c r="G1405" t="s">
        <v>2425</v>
      </c>
      <c r="H1405" s="20">
        <v>46250</v>
      </c>
      <c r="I1405">
        <v>1800</v>
      </c>
      <c r="J1405">
        <v>47</v>
      </c>
      <c r="K1405">
        <v>39</v>
      </c>
      <c r="L1405">
        <v>23</v>
      </c>
      <c r="M1405">
        <v>21</v>
      </c>
      <c r="N1405">
        <v>18</v>
      </c>
      <c r="P1405" t="s">
        <v>2272</v>
      </c>
      <c r="Q1405" t="s">
        <v>3808</v>
      </c>
      <c r="R1405" t="s">
        <v>2472</v>
      </c>
      <c r="S1405">
        <v>4</v>
      </c>
      <c r="T1405" t="s">
        <v>2274</v>
      </c>
      <c r="U1405" t="s">
        <v>2275</v>
      </c>
    </row>
    <row r="1406" spans="1:21" x14ac:dyDescent="0.25">
      <c r="A1406" t="s">
        <v>3818</v>
      </c>
      <c r="B1406" t="s">
        <v>904</v>
      </c>
      <c r="C1406" t="s">
        <v>353</v>
      </c>
      <c r="D1406" t="s">
        <v>24</v>
      </c>
      <c r="E1406" t="s">
        <v>1938</v>
      </c>
      <c r="F1406" t="s">
        <v>1939</v>
      </c>
      <c r="G1406" t="s">
        <v>2425</v>
      </c>
      <c r="H1406" s="20">
        <v>46250</v>
      </c>
      <c r="I1406">
        <v>1800</v>
      </c>
      <c r="J1406">
        <v>47</v>
      </c>
      <c r="K1406">
        <v>39</v>
      </c>
      <c r="L1406">
        <v>23</v>
      </c>
      <c r="M1406">
        <v>21</v>
      </c>
      <c r="N1406">
        <v>18</v>
      </c>
      <c r="P1406" t="s">
        <v>2272</v>
      </c>
      <c r="Q1406" t="s">
        <v>3808</v>
      </c>
      <c r="R1406" t="s">
        <v>2472</v>
      </c>
      <c r="S1406">
        <v>4</v>
      </c>
      <c r="T1406" t="s">
        <v>2274</v>
      </c>
      <c r="U1406" t="s">
        <v>2275</v>
      </c>
    </row>
    <row r="1407" spans="1:21" x14ac:dyDescent="0.25">
      <c r="A1407" t="s">
        <v>3819</v>
      </c>
      <c r="B1407" t="s">
        <v>904</v>
      </c>
      <c r="C1407" t="s">
        <v>353</v>
      </c>
      <c r="D1407" t="s">
        <v>24</v>
      </c>
      <c r="E1407" t="s">
        <v>1940</v>
      </c>
      <c r="F1407" t="s">
        <v>1108</v>
      </c>
      <c r="G1407" t="s">
        <v>2425</v>
      </c>
      <c r="H1407" s="20">
        <v>46250</v>
      </c>
      <c r="I1407">
        <v>1800</v>
      </c>
      <c r="J1407">
        <v>47</v>
      </c>
      <c r="K1407">
        <v>39</v>
      </c>
      <c r="L1407">
        <v>23</v>
      </c>
      <c r="M1407">
        <v>21</v>
      </c>
      <c r="N1407">
        <v>18</v>
      </c>
      <c r="P1407" t="s">
        <v>2272</v>
      </c>
      <c r="Q1407" t="s">
        <v>3808</v>
      </c>
      <c r="R1407" t="s">
        <v>2472</v>
      </c>
      <c r="S1407">
        <v>4</v>
      </c>
      <c r="T1407" t="s">
        <v>2274</v>
      </c>
      <c r="U1407" t="s">
        <v>2275</v>
      </c>
    </row>
    <row r="1408" spans="1:21" x14ac:dyDescent="0.25">
      <c r="A1408" t="s">
        <v>3820</v>
      </c>
      <c r="B1408" t="s">
        <v>904</v>
      </c>
      <c r="C1408" t="s">
        <v>353</v>
      </c>
      <c r="D1408" t="s">
        <v>21</v>
      </c>
      <c r="E1408" t="s">
        <v>1941</v>
      </c>
      <c r="F1408" t="s">
        <v>143</v>
      </c>
      <c r="G1408" t="s">
        <v>2271</v>
      </c>
      <c r="H1408" s="20">
        <v>46254</v>
      </c>
      <c r="I1408">
        <v>1500</v>
      </c>
      <c r="J1408">
        <v>64</v>
      </c>
      <c r="K1408">
        <v>42</v>
      </c>
      <c r="L1408">
        <v>10</v>
      </c>
      <c r="P1408" t="s">
        <v>2272</v>
      </c>
      <c r="R1408" t="s">
        <v>2273</v>
      </c>
      <c r="S1408">
        <v>11</v>
      </c>
      <c r="T1408" t="s">
        <v>3010</v>
      </c>
      <c r="U1408" t="s">
        <v>3011</v>
      </c>
    </row>
    <row r="1409" spans="1:21" x14ac:dyDescent="0.25">
      <c r="A1409" t="s">
        <v>3821</v>
      </c>
      <c r="B1409" t="s">
        <v>904</v>
      </c>
      <c r="C1409" t="s">
        <v>353</v>
      </c>
      <c r="D1409" t="s">
        <v>21</v>
      </c>
      <c r="E1409" t="s">
        <v>1942</v>
      </c>
      <c r="F1409" t="s">
        <v>422</v>
      </c>
      <c r="G1409" t="s">
        <v>2271</v>
      </c>
      <c r="H1409" s="20">
        <v>46254</v>
      </c>
      <c r="I1409">
        <v>1500</v>
      </c>
      <c r="J1409">
        <v>64</v>
      </c>
      <c r="K1409">
        <v>42</v>
      </c>
      <c r="L1409">
        <v>10</v>
      </c>
      <c r="P1409" t="s">
        <v>2272</v>
      </c>
      <c r="R1409" t="s">
        <v>2273</v>
      </c>
      <c r="S1409">
        <v>11</v>
      </c>
      <c r="T1409" t="s">
        <v>3010</v>
      </c>
      <c r="U1409" t="s">
        <v>3011</v>
      </c>
    </row>
    <row r="1410" spans="1:21" x14ac:dyDescent="0.25">
      <c r="A1410" t="s">
        <v>3822</v>
      </c>
      <c r="B1410" t="s">
        <v>904</v>
      </c>
      <c r="C1410" t="s">
        <v>353</v>
      </c>
      <c r="D1410" t="s">
        <v>21</v>
      </c>
      <c r="E1410" t="s">
        <v>1943</v>
      </c>
      <c r="F1410" t="s">
        <v>76</v>
      </c>
      <c r="G1410" t="s">
        <v>2271</v>
      </c>
      <c r="H1410" s="20">
        <v>46254</v>
      </c>
      <c r="I1410">
        <v>1500</v>
      </c>
      <c r="J1410">
        <v>64</v>
      </c>
      <c r="K1410">
        <v>42</v>
      </c>
      <c r="L1410">
        <v>10</v>
      </c>
      <c r="P1410" t="s">
        <v>2272</v>
      </c>
      <c r="R1410" t="s">
        <v>2273</v>
      </c>
      <c r="S1410">
        <v>11</v>
      </c>
      <c r="T1410" t="s">
        <v>3010</v>
      </c>
      <c r="U1410" t="s">
        <v>3011</v>
      </c>
    </row>
    <row r="1411" spans="1:21" x14ac:dyDescent="0.25">
      <c r="A1411" t="s">
        <v>3823</v>
      </c>
      <c r="B1411" t="s">
        <v>904</v>
      </c>
      <c r="C1411" t="s">
        <v>353</v>
      </c>
      <c r="D1411" t="s">
        <v>21</v>
      </c>
      <c r="E1411" t="s">
        <v>1944</v>
      </c>
      <c r="F1411" t="s">
        <v>981</v>
      </c>
      <c r="G1411" t="s">
        <v>2271</v>
      </c>
      <c r="H1411" s="20">
        <v>46254</v>
      </c>
      <c r="I1411">
        <v>1500</v>
      </c>
      <c r="J1411">
        <v>64</v>
      </c>
      <c r="K1411">
        <v>42</v>
      </c>
      <c r="L1411">
        <v>10</v>
      </c>
      <c r="P1411" t="s">
        <v>2272</v>
      </c>
      <c r="R1411" t="s">
        <v>2273</v>
      </c>
      <c r="S1411">
        <v>11</v>
      </c>
      <c r="T1411" t="s">
        <v>3010</v>
      </c>
      <c r="U1411" t="s">
        <v>3011</v>
      </c>
    </row>
    <row r="1412" spans="1:21" x14ac:dyDescent="0.25">
      <c r="A1412" t="s">
        <v>3824</v>
      </c>
      <c r="B1412" t="s">
        <v>904</v>
      </c>
      <c r="C1412" t="s">
        <v>353</v>
      </c>
      <c r="D1412" t="s">
        <v>21</v>
      </c>
      <c r="E1412" t="s">
        <v>1945</v>
      </c>
      <c r="F1412" t="s">
        <v>1265</v>
      </c>
      <c r="G1412" t="s">
        <v>2271</v>
      </c>
      <c r="H1412" s="20">
        <v>46254</v>
      </c>
      <c r="I1412">
        <v>1500</v>
      </c>
      <c r="J1412">
        <v>64</v>
      </c>
      <c r="K1412">
        <v>42</v>
      </c>
      <c r="L1412">
        <v>10</v>
      </c>
      <c r="P1412" t="s">
        <v>2272</v>
      </c>
      <c r="R1412" t="s">
        <v>2273</v>
      </c>
      <c r="S1412">
        <v>11</v>
      </c>
      <c r="T1412" t="s">
        <v>3010</v>
      </c>
      <c r="U1412" t="s">
        <v>3011</v>
      </c>
    </row>
    <row r="1413" spans="1:21" x14ac:dyDescent="0.25">
      <c r="A1413" t="s">
        <v>3825</v>
      </c>
      <c r="B1413" t="s">
        <v>904</v>
      </c>
      <c r="C1413" t="s">
        <v>353</v>
      </c>
      <c r="D1413" t="s">
        <v>21</v>
      </c>
      <c r="E1413" t="s">
        <v>1946</v>
      </c>
      <c r="F1413" t="s">
        <v>1947</v>
      </c>
      <c r="G1413" t="s">
        <v>2271</v>
      </c>
      <c r="H1413" s="20">
        <v>46254</v>
      </c>
      <c r="I1413">
        <v>1500</v>
      </c>
      <c r="J1413">
        <v>64</v>
      </c>
      <c r="K1413">
        <v>42</v>
      </c>
      <c r="L1413">
        <v>10</v>
      </c>
      <c r="P1413" t="s">
        <v>2272</v>
      </c>
      <c r="R1413" t="s">
        <v>2273</v>
      </c>
      <c r="S1413">
        <v>11</v>
      </c>
      <c r="T1413" t="s">
        <v>3010</v>
      </c>
      <c r="U1413" t="s">
        <v>3011</v>
      </c>
    </row>
    <row r="1414" spans="1:21" x14ac:dyDescent="0.25">
      <c r="A1414" t="s">
        <v>3826</v>
      </c>
      <c r="B1414" t="s">
        <v>904</v>
      </c>
      <c r="C1414" t="s">
        <v>154</v>
      </c>
      <c r="D1414" t="s">
        <v>24</v>
      </c>
      <c r="E1414" t="s">
        <v>1949</v>
      </c>
      <c r="F1414" t="s">
        <v>515</v>
      </c>
      <c r="G1414" t="s">
        <v>2271</v>
      </c>
      <c r="H1414" s="20">
        <v>46250</v>
      </c>
      <c r="I1414">
        <v>1800</v>
      </c>
      <c r="J1414">
        <v>50</v>
      </c>
      <c r="K1414">
        <v>41</v>
      </c>
      <c r="L1414">
        <v>17</v>
      </c>
      <c r="M1414">
        <v>15</v>
      </c>
      <c r="P1414" t="s">
        <v>2272</v>
      </c>
      <c r="Q1414" t="s">
        <v>3827</v>
      </c>
      <c r="R1414" t="s">
        <v>2446</v>
      </c>
      <c r="S1414">
        <v>4</v>
      </c>
      <c r="T1414" t="s">
        <v>2274</v>
      </c>
      <c r="U1414" t="s">
        <v>2275</v>
      </c>
    </row>
    <row r="1415" spans="1:21" x14ac:dyDescent="0.25">
      <c r="A1415" t="s">
        <v>3828</v>
      </c>
      <c r="B1415" t="s">
        <v>904</v>
      </c>
      <c r="C1415" t="s">
        <v>154</v>
      </c>
      <c r="D1415" t="s">
        <v>24</v>
      </c>
      <c r="E1415" t="s">
        <v>1950</v>
      </c>
      <c r="F1415" t="s">
        <v>285</v>
      </c>
      <c r="G1415" t="s">
        <v>2425</v>
      </c>
      <c r="H1415" s="20">
        <v>46250</v>
      </c>
      <c r="I1415">
        <v>1800</v>
      </c>
      <c r="J1415">
        <v>50</v>
      </c>
      <c r="K1415">
        <v>41</v>
      </c>
      <c r="L1415">
        <v>17</v>
      </c>
      <c r="M1415">
        <v>10</v>
      </c>
      <c r="P1415" t="s">
        <v>2272</v>
      </c>
      <c r="Q1415" t="s">
        <v>3829</v>
      </c>
      <c r="R1415" t="s">
        <v>2472</v>
      </c>
      <c r="S1415">
        <v>4</v>
      </c>
      <c r="T1415" t="s">
        <v>2274</v>
      </c>
      <c r="U1415" t="s">
        <v>2275</v>
      </c>
    </row>
    <row r="1416" spans="1:21" x14ac:dyDescent="0.25">
      <c r="A1416" t="s">
        <v>3830</v>
      </c>
      <c r="B1416" t="s">
        <v>904</v>
      </c>
      <c r="C1416" t="s">
        <v>154</v>
      </c>
      <c r="D1416" t="s">
        <v>24</v>
      </c>
      <c r="E1416" t="s">
        <v>1951</v>
      </c>
      <c r="F1416" t="s">
        <v>217</v>
      </c>
      <c r="G1416" t="s">
        <v>2425</v>
      </c>
      <c r="H1416" s="20">
        <v>46250</v>
      </c>
      <c r="I1416">
        <v>1800</v>
      </c>
      <c r="J1416">
        <v>50</v>
      </c>
      <c r="K1416">
        <v>41</v>
      </c>
      <c r="L1416">
        <v>17</v>
      </c>
      <c r="M1416">
        <v>10</v>
      </c>
      <c r="P1416" t="s">
        <v>2272</v>
      </c>
      <c r="Q1416" t="s">
        <v>3829</v>
      </c>
      <c r="R1416" t="s">
        <v>2472</v>
      </c>
      <c r="S1416">
        <v>4</v>
      </c>
      <c r="T1416" t="s">
        <v>2274</v>
      </c>
      <c r="U1416" t="s">
        <v>2275</v>
      </c>
    </row>
    <row r="1417" spans="1:21" x14ac:dyDescent="0.25">
      <c r="A1417" t="s">
        <v>3831</v>
      </c>
      <c r="B1417" t="s">
        <v>904</v>
      </c>
      <c r="C1417" t="s">
        <v>154</v>
      </c>
      <c r="D1417" t="s">
        <v>24</v>
      </c>
      <c r="E1417" t="s">
        <v>1952</v>
      </c>
      <c r="F1417" t="s">
        <v>1560</v>
      </c>
      <c r="G1417" t="s">
        <v>2425</v>
      </c>
      <c r="H1417" s="20">
        <v>46250</v>
      </c>
      <c r="I1417">
        <v>1800</v>
      </c>
      <c r="J1417">
        <v>50</v>
      </c>
      <c r="K1417">
        <v>41</v>
      </c>
      <c r="L1417">
        <v>17</v>
      </c>
      <c r="M1417">
        <v>10</v>
      </c>
      <c r="P1417" t="s">
        <v>2272</v>
      </c>
      <c r="Q1417" t="s">
        <v>3829</v>
      </c>
      <c r="R1417" t="s">
        <v>2472</v>
      </c>
      <c r="S1417">
        <v>4</v>
      </c>
      <c r="T1417" t="s">
        <v>2274</v>
      </c>
      <c r="U1417" t="s">
        <v>2275</v>
      </c>
    </row>
    <row r="1418" spans="1:21" x14ac:dyDescent="0.25">
      <c r="A1418" t="s">
        <v>3832</v>
      </c>
      <c r="B1418" t="s">
        <v>904</v>
      </c>
      <c r="C1418" t="s">
        <v>154</v>
      </c>
      <c r="D1418" t="s">
        <v>24</v>
      </c>
      <c r="E1418" t="s">
        <v>1953</v>
      </c>
      <c r="F1418" t="s">
        <v>678</v>
      </c>
      <c r="G1418" t="s">
        <v>2425</v>
      </c>
      <c r="H1418" s="20">
        <v>46250</v>
      </c>
      <c r="I1418">
        <v>1800</v>
      </c>
      <c r="J1418">
        <v>50</v>
      </c>
      <c r="K1418">
        <v>41</v>
      </c>
      <c r="L1418">
        <v>17</v>
      </c>
      <c r="M1418">
        <v>10</v>
      </c>
      <c r="P1418" t="s">
        <v>2272</v>
      </c>
      <c r="Q1418" t="s">
        <v>3829</v>
      </c>
      <c r="R1418" t="s">
        <v>2472</v>
      </c>
      <c r="S1418">
        <v>4</v>
      </c>
      <c r="T1418" t="s">
        <v>2274</v>
      </c>
      <c r="U1418" t="s">
        <v>2275</v>
      </c>
    </row>
    <row r="1419" spans="1:21" x14ac:dyDescent="0.25">
      <c r="A1419" t="s">
        <v>3833</v>
      </c>
      <c r="B1419" t="s">
        <v>904</v>
      </c>
      <c r="C1419" t="s">
        <v>154</v>
      </c>
      <c r="D1419" t="s">
        <v>24</v>
      </c>
      <c r="E1419" t="s">
        <v>1954</v>
      </c>
      <c r="F1419" t="s">
        <v>413</v>
      </c>
      <c r="G1419" t="s">
        <v>2425</v>
      </c>
      <c r="H1419" s="20">
        <v>46250</v>
      </c>
      <c r="I1419">
        <v>1800</v>
      </c>
      <c r="J1419">
        <v>50</v>
      </c>
      <c r="K1419">
        <v>41</v>
      </c>
      <c r="L1419">
        <v>17</v>
      </c>
      <c r="M1419">
        <v>10</v>
      </c>
      <c r="P1419" t="s">
        <v>2272</v>
      </c>
      <c r="Q1419" t="s">
        <v>3829</v>
      </c>
      <c r="R1419" t="s">
        <v>2472</v>
      </c>
      <c r="S1419">
        <v>4</v>
      </c>
      <c r="T1419" t="s">
        <v>2274</v>
      </c>
      <c r="U1419" t="s">
        <v>2275</v>
      </c>
    </row>
    <row r="1420" spans="1:21" x14ac:dyDescent="0.25">
      <c r="A1420" t="s">
        <v>3834</v>
      </c>
      <c r="B1420" t="s">
        <v>904</v>
      </c>
      <c r="C1420" t="s">
        <v>154</v>
      </c>
      <c r="D1420" t="s">
        <v>24</v>
      </c>
      <c r="E1420" t="s">
        <v>1955</v>
      </c>
      <c r="F1420" t="s">
        <v>256</v>
      </c>
      <c r="G1420" t="s">
        <v>2425</v>
      </c>
      <c r="H1420" s="20">
        <v>46250</v>
      </c>
      <c r="I1420">
        <v>1800</v>
      </c>
      <c r="J1420">
        <v>50</v>
      </c>
      <c r="K1420">
        <v>41</v>
      </c>
      <c r="L1420">
        <v>17</v>
      </c>
      <c r="M1420">
        <v>10</v>
      </c>
      <c r="P1420" t="s">
        <v>2272</v>
      </c>
      <c r="Q1420" t="s">
        <v>3829</v>
      </c>
      <c r="R1420" t="s">
        <v>2472</v>
      </c>
      <c r="S1420">
        <v>4</v>
      </c>
      <c r="T1420" t="s">
        <v>2274</v>
      </c>
      <c r="U1420" t="s">
        <v>2275</v>
      </c>
    </row>
    <row r="1421" spans="1:21" x14ac:dyDescent="0.25">
      <c r="A1421" t="s">
        <v>3835</v>
      </c>
      <c r="B1421" t="s">
        <v>904</v>
      </c>
      <c r="C1421" t="s">
        <v>154</v>
      </c>
      <c r="D1421" t="s">
        <v>24</v>
      </c>
      <c r="E1421" t="s">
        <v>1956</v>
      </c>
      <c r="F1421" t="s">
        <v>478</v>
      </c>
      <c r="G1421" t="s">
        <v>2425</v>
      </c>
      <c r="H1421" s="20">
        <v>46250</v>
      </c>
      <c r="I1421">
        <v>1800</v>
      </c>
      <c r="J1421">
        <v>50</v>
      </c>
      <c r="K1421">
        <v>41</v>
      </c>
      <c r="L1421">
        <v>17</v>
      </c>
      <c r="M1421">
        <v>10</v>
      </c>
      <c r="P1421" t="s">
        <v>2272</v>
      </c>
      <c r="Q1421" t="s">
        <v>3829</v>
      </c>
      <c r="R1421" t="s">
        <v>2472</v>
      </c>
      <c r="S1421">
        <v>4</v>
      </c>
      <c r="T1421" t="s">
        <v>2274</v>
      </c>
      <c r="U1421" t="s">
        <v>2275</v>
      </c>
    </row>
    <row r="1422" spans="1:21" x14ac:dyDescent="0.25">
      <c r="A1422" t="s">
        <v>3836</v>
      </c>
      <c r="B1422" t="s">
        <v>904</v>
      </c>
      <c r="C1422" t="s">
        <v>154</v>
      </c>
      <c r="D1422" t="s">
        <v>24</v>
      </c>
      <c r="E1422" t="s">
        <v>1957</v>
      </c>
      <c r="F1422" t="s">
        <v>674</v>
      </c>
      <c r="G1422" t="s">
        <v>2425</v>
      </c>
      <c r="H1422" s="20">
        <v>46250</v>
      </c>
      <c r="I1422">
        <v>1800</v>
      </c>
      <c r="J1422">
        <v>50</v>
      </c>
      <c r="K1422">
        <v>41</v>
      </c>
      <c r="L1422">
        <v>17</v>
      </c>
      <c r="M1422">
        <v>10</v>
      </c>
      <c r="P1422" t="s">
        <v>2272</v>
      </c>
      <c r="Q1422" t="s">
        <v>3829</v>
      </c>
      <c r="R1422" t="s">
        <v>2472</v>
      </c>
      <c r="S1422">
        <v>4</v>
      </c>
      <c r="T1422" t="s">
        <v>2274</v>
      </c>
      <c r="U1422" t="s">
        <v>2275</v>
      </c>
    </row>
    <row r="1423" spans="1:21" x14ac:dyDescent="0.25">
      <c r="A1423" t="s">
        <v>3837</v>
      </c>
      <c r="B1423" t="s">
        <v>904</v>
      </c>
      <c r="C1423" t="s">
        <v>154</v>
      </c>
      <c r="D1423" t="s">
        <v>24</v>
      </c>
      <c r="E1423" t="s">
        <v>1958</v>
      </c>
      <c r="F1423" t="s">
        <v>744</v>
      </c>
      <c r="G1423" t="s">
        <v>2425</v>
      </c>
      <c r="H1423" s="20">
        <v>46250</v>
      </c>
      <c r="I1423">
        <v>1800</v>
      </c>
      <c r="J1423">
        <v>50</v>
      </c>
      <c r="K1423">
        <v>41</v>
      </c>
      <c r="L1423">
        <v>17</v>
      </c>
      <c r="M1423">
        <v>10</v>
      </c>
      <c r="P1423" t="s">
        <v>2272</v>
      </c>
      <c r="Q1423" t="s">
        <v>3829</v>
      </c>
      <c r="R1423" t="s">
        <v>2472</v>
      </c>
      <c r="S1423">
        <v>4</v>
      </c>
      <c r="T1423" t="s">
        <v>2274</v>
      </c>
      <c r="U1423" t="s">
        <v>2275</v>
      </c>
    </row>
    <row r="1424" spans="1:21" x14ac:dyDescent="0.25">
      <c r="A1424" t="s">
        <v>3838</v>
      </c>
      <c r="B1424" t="s">
        <v>904</v>
      </c>
      <c r="C1424" t="s">
        <v>154</v>
      </c>
      <c r="D1424" t="s">
        <v>21</v>
      </c>
      <c r="E1424" t="s">
        <v>1959</v>
      </c>
      <c r="F1424" t="s">
        <v>366</v>
      </c>
      <c r="G1424" t="s">
        <v>2271</v>
      </c>
      <c r="H1424" s="20">
        <v>46254</v>
      </c>
      <c r="I1424">
        <v>1500</v>
      </c>
      <c r="J1424">
        <v>46</v>
      </c>
      <c r="K1424">
        <v>23</v>
      </c>
      <c r="L1424">
        <v>10</v>
      </c>
      <c r="M1424">
        <v>9</v>
      </c>
      <c r="P1424" t="s">
        <v>2272</v>
      </c>
      <c r="R1424" t="s">
        <v>2273</v>
      </c>
      <c r="S1424">
        <v>5</v>
      </c>
      <c r="T1424" t="s">
        <v>2319</v>
      </c>
      <c r="U1424" t="s">
        <v>2320</v>
      </c>
    </row>
    <row r="1425" spans="1:21" x14ac:dyDescent="0.25">
      <c r="A1425" t="s">
        <v>3839</v>
      </c>
      <c r="B1425" t="s">
        <v>904</v>
      </c>
      <c r="C1425" t="s">
        <v>154</v>
      </c>
      <c r="D1425" t="s">
        <v>21</v>
      </c>
      <c r="E1425" t="s">
        <v>1959</v>
      </c>
      <c r="F1425" t="s">
        <v>430</v>
      </c>
      <c r="G1425" t="s">
        <v>2271</v>
      </c>
      <c r="H1425" s="20">
        <v>46254</v>
      </c>
      <c r="I1425">
        <v>1500</v>
      </c>
      <c r="J1425">
        <v>46</v>
      </c>
      <c r="K1425">
        <v>23</v>
      </c>
      <c r="L1425">
        <v>10</v>
      </c>
      <c r="M1425">
        <v>9</v>
      </c>
      <c r="P1425" t="s">
        <v>2272</v>
      </c>
      <c r="R1425" t="s">
        <v>2273</v>
      </c>
      <c r="S1425">
        <v>5</v>
      </c>
      <c r="T1425" t="s">
        <v>2319</v>
      </c>
      <c r="U1425" t="s">
        <v>2320</v>
      </c>
    </row>
    <row r="1426" spans="1:21" x14ac:dyDescent="0.25">
      <c r="A1426" t="s">
        <v>3840</v>
      </c>
      <c r="B1426" t="s">
        <v>904</v>
      </c>
      <c r="C1426" t="s">
        <v>154</v>
      </c>
      <c r="D1426" t="s">
        <v>21</v>
      </c>
      <c r="E1426" t="s">
        <v>1960</v>
      </c>
      <c r="F1426" t="s">
        <v>285</v>
      </c>
      <c r="G1426" t="s">
        <v>2271</v>
      </c>
      <c r="H1426" s="20">
        <v>46254</v>
      </c>
      <c r="I1426">
        <v>1500</v>
      </c>
      <c r="J1426">
        <v>46</v>
      </c>
      <c r="K1426">
        <v>23</v>
      </c>
      <c r="L1426">
        <v>10</v>
      </c>
      <c r="M1426">
        <v>9</v>
      </c>
      <c r="P1426" t="s">
        <v>2272</v>
      </c>
      <c r="R1426" t="s">
        <v>2273</v>
      </c>
      <c r="S1426">
        <v>5</v>
      </c>
      <c r="T1426" t="s">
        <v>2319</v>
      </c>
      <c r="U1426" t="s">
        <v>2320</v>
      </c>
    </row>
    <row r="1427" spans="1:21" x14ac:dyDescent="0.25">
      <c r="A1427" t="s">
        <v>3841</v>
      </c>
      <c r="B1427" t="s">
        <v>904</v>
      </c>
      <c r="C1427" t="s">
        <v>154</v>
      </c>
      <c r="D1427" t="s">
        <v>21</v>
      </c>
      <c r="E1427" t="s">
        <v>1961</v>
      </c>
      <c r="F1427" t="s">
        <v>78</v>
      </c>
      <c r="G1427" t="s">
        <v>2271</v>
      </c>
      <c r="H1427" s="20">
        <v>46254</v>
      </c>
      <c r="I1427">
        <v>1500</v>
      </c>
      <c r="J1427">
        <v>46</v>
      </c>
      <c r="K1427">
        <v>23</v>
      </c>
      <c r="L1427">
        <v>10</v>
      </c>
      <c r="M1427">
        <v>9</v>
      </c>
      <c r="P1427" t="s">
        <v>2272</v>
      </c>
      <c r="R1427" t="s">
        <v>2273</v>
      </c>
      <c r="S1427">
        <v>5</v>
      </c>
      <c r="T1427" t="s">
        <v>2319</v>
      </c>
      <c r="U1427" t="s">
        <v>2320</v>
      </c>
    </row>
    <row r="1428" spans="1:21" x14ac:dyDescent="0.25">
      <c r="A1428" t="s">
        <v>3842</v>
      </c>
      <c r="B1428" t="s">
        <v>904</v>
      </c>
      <c r="C1428" t="s">
        <v>154</v>
      </c>
      <c r="D1428" t="s">
        <v>21</v>
      </c>
      <c r="E1428" t="s">
        <v>1962</v>
      </c>
      <c r="F1428" t="s">
        <v>262</v>
      </c>
      <c r="G1428" t="s">
        <v>2271</v>
      </c>
      <c r="H1428" s="20">
        <v>46254</v>
      </c>
      <c r="I1428">
        <v>1500</v>
      </c>
      <c r="J1428">
        <v>46</v>
      </c>
      <c r="K1428">
        <v>23</v>
      </c>
      <c r="L1428">
        <v>10</v>
      </c>
      <c r="M1428">
        <v>9</v>
      </c>
      <c r="P1428" t="s">
        <v>2272</v>
      </c>
      <c r="R1428" t="s">
        <v>2273</v>
      </c>
      <c r="S1428">
        <v>5</v>
      </c>
      <c r="T1428" t="s">
        <v>2319</v>
      </c>
      <c r="U1428" t="s">
        <v>2320</v>
      </c>
    </row>
    <row r="1429" spans="1:21" x14ac:dyDescent="0.25">
      <c r="A1429" t="s">
        <v>3843</v>
      </c>
      <c r="B1429" t="s">
        <v>904</v>
      </c>
      <c r="C1429" t="s">
        <v>154</v>
      </c>
      <c r="D1429" t="s">
        <v>21</v>
      </c>
      <c r="E1429" t="s">
        <v>1963</v>
      </c>
      <c r="F1429" t="s">
        <v>342</v>
      </c>
      <c r="G1429" t="s">
        <v>2271</v>
      </c>
      <c r="H1429" s="20">
        <v>46254</v>
      </c>
      <c r="I1429">
        <v>1500</v>
      </c>
      <c r="J1429">
        <v>46</v>
      </c>
      <c r="K1429">
        <v>23</v>
      </c>
      <c r="L1429">
        <v>10</v>
      </c>
      <c r="M1429">
        <v>9</v>
      </c>
      <c r="P1429" t="s">
        <v>2272</v>
      </c>
      <c r="R1429" t="s">
        <v>2273</v>
      </c>
      <c r="S1429">
        <v>5</v>
      </c>
      <c r="T1429" t="s">
        <v>2319</v>
      </c>
      <c r="U1429" t="s">
        <v>2320</v>
      </c>
    </row>
    <row r="1430" spans="1:21" x14ac:dyDescent="0.25">
      <c r="A1430" t="s">
        <v>3844</v>
      </c>
      <c r="B1430" t="s">
        <v>904</v>
      </c>
      <c r="C1430" t="s">
        <v>154</v>
      </c>
      <c r="D1430" t="s">
        <v>21</v>
      </c>
      <c r="E1430" t="s">
        <v>1964</v>
      </c>
      <c r="F1430" t="s">
        <v>1082</v>
      </c>
      <c r="G1430" t="s">
        <v>2271</v>
      </c>
      <c r="H1430" s="20">
        <v>46254</v>
      </c>
      <c r="I1430">
        <v>1500</v>
      </c>
      <c r="J1430">
        <v>46</v>
      </c>
      <c r="K1430">
        <v>23</v>
      </c>
      <c r="L1430">
        <v>10</v>
      </c>
      <c r="M1430">
        <v>9</v>
      </c>
      <c r="P1430" t="s">
        <v>2272</v>
      </c>
      <c r="R1430" t="s">
        <v>2273</v>
      </c>
      <c r="S1430">
        <v>5</v>
      </c>
      <c r="T1430" t="s">
        <v>2319</v>
      </c>
      <c r="U1430" t="s">
        <v>2320</v>
      </c>
    </row>
    <row r="1431" spans="1:21" x14ac:dyDescent="0.25">
      <c r="A1431" t="s">
        <v>3845</v>
      </c>
      <c r="B1431" t="s">
        <v>904</v>
      </c>
      <c r="C1431" t="s">
        <v>541</v>
      </c>
      <c r="D1431" t="s">
        <v>24</v>
      </c>
      <c r="E1431" t="s">
        <v>1966</v>
      </c>
      <c r="F1431" t="s">
        <v>319</v>
      </c>
      <c r="G1431" t="s">
        <v>2271</v>
      </c>
      <c r="H1431" s="20">
        <v>46250</v>
      </c>
      <c r="I1431">
        <v>1800</v>
      </c>
      <c r="J1431">
        <v>57</v>
      </c>
      <c r="K1431">
        <v>48</v>
      </c>
      <c r="L1431">
        <v>38</v>
      </c>
      <c r="P1431" t="s">
        <v>2272</v>
      </c>
      <c r="Q1431" t="s">
        <v>2563</v>
      </c>
      <c r="R1431" t="s">
        <v>2423</v>
      </c>
      <c r="S1431">
        <v>4</v>
      </c>
      <c r="T1431" t="s">
        <v>2274</v>
      </c>
      <c r="U1431" t="s">
        <v>2275</v>
      </c>
    </row>
    <row r="1432" spans="1:21" x14ac:dyDescent="0.25">
      <c r="A1432" t="s">
        <v>3846</v>
      </c>
      <c r="B1432" t="s">
        <v>904</v>
      </c>
      <c r="C1432" t="s">
        <v>541</v>
      </c>
      <c r="D1432" t="s">
        <v>24</v>
      </c>
      <c r="E1432" t="s">
        <v>1967</v>
      </c>
      <c r="F1432" t="s">
        <v>94</v>
      </c>
      <c r="G1432" t="s">
        <v>2425</v>
      </c>
      <c r="H1432" s="20">
        <v>46250</v>
      </c>
      <c r="I1432">
        <v>1800</v>
      </c>
      <c r="J1432">
        <v>55</v>
      </c>
      <c r="K1432">
        <v>46</v>
      </c>
      <c r="L1432">
        <v>36</v>
      </c>
      <c r="M1432">
        <v>33</v>
      </c>
      <c r="P1432" t="s">
        <v>2272</v>
      </c>
      <c r="Q1432" t="s">
        <v>3056</v>
      </c>
      <c r="R1432" t="s">
        <v>2423</v>
      </c>
      <c r="S1432">
        <v>4</v>
      </c>
      <c r="T1432" t="s">
        <v>2274</v>
      </c>
      <c r="U1432" t="s">
        <v>2275</v>
      </c>
    </row>
    <row r="1433" spans="1:21" x14ac:dyDescent="0.25">
      <c r="A1433" t="s">
        <v>3847</v>
      </c>
      <c r="B1433" t="s">
        <v>904</v>
      </c>
      <c r="C1433" t="s">
        <v>541</v>
      </c>
      <c r="D1433" t="s">
        <v>24</v>
      </c>
      <c r="E1433" t="s">
        <v>1968</v>
      </c>
      <c r="F1433" t="s">
        <v>668</v>
      </c>
      <c r="G1433" t="s">
        <v>2425</v>
      </c>
      <c r="H1433" s="20">
        <v>46250</v>
      </c>
      <c r="I1433">
        <v>1800</v>
      </c>
      <c r="J1433">
        <v>55</v>
      </c>
      <c r="K1433">
        <v>46</v>
      </c>
      <c r="L1433">
        <v>36</v>
      </c>
      <c r="M1433">
        <v>33</v>
      </c>
      <c r="P1433" t="s">
        <v>2272</v>
      </c>
      <c r="Q1433" t="s">
        <v>3056</v>
      </c>
      <c r="R1433" t="s">
        <v>2423</v>
      </c>
      <c r="S1433">
        <v>4</v>
      </c>
      <c r="T1433" t="s">
        <v>2274</v>
      </c>
      <c r="U1433" t="s">
        <v>2275</v>
      </c>
    </row>
    <row r="1434" spans="1:21" x14ac:dyDescent="0.25">
      <c r="A1434" t="s">
        <v>3848</v>
      </c>
      <c r="B1434" t="s">
        <v>904</v>
      </c>
      <c r="C1434" t="s">
        <v>541</v>
      </c>
      <c r="D1434" t="s">
        <v>24</v>
      </c>
      <c r="E1434" t="s">
        <v>1969</v>
      </c>
      <c r="F1434" t="s">
        <v>801</v>
      </c>
      <c r="G1434" t="s">
        <v>2425</v>
      </c>
      <c r="H1434" s="20">
        <v>46250</v>
      </c>
      <c r="I1434">
        <v>1800</v>
      </c>
      <c r="J1434">
        <v>55</v>
      </c>
      <c r="K1434">
        <v>46</v>
      </c>
      <c r="L1434">
        <v>36</v>
      </c>
      <c r="M1434">
        <v>33</v>
      </c>
      <c r="P1434" t="s">
        <v>2272</v>
      </c>
      <c r="Q1434" t="s">
        <v>3056</v>
      </c>
      <c r="R1434" t="s">
        <v>2423</v>
      </c>
      <c r="S1434">
        <v>4</v>
      </c>
      <c r="T1434" t="s">
        <v>2274</v>
      </c>
      <c r="U1434" t="s">
        <v>2275</v>
      </c>
    </row>
    <row r="1435" spans="1:21" x14ac:dyDescent="0.25">
      <c r="A1435" t="s">
        <v>3849</v>
      </c>
      <c r="B1435" t="s">
        <v>904</v>
      </c>
      <c r="C1435" t="s">
        <v>541</v>
      </c>
      <c r="D1435" t="s">
        <v>24</v>
      </c>
      <c r="E1435" t="s">
        <v>1970</v>
      </c>
      <c r="F1435" t="s">
        <v>49</v>
      </c>
      <c r="G1435" t="s">
        <v>2425</v>
      </c>
      <c r="H1435" s="20">
        <v>46250</v>
      </c>
      <c r="I1435">
        <v>1800</v>
      </c>
      <c r="J1435">
        <v>55</v>
      </c>
      <c r="K1435">
        <v>46</v>
      </c>
      <c r="L1435">
        <v>36</v>
      </c>
      <c r="M1435">
        <v>33</v>
      </c>
      <c r="P1435" t="s">
        <v>2272</v>
      </c>
      <c r="Q1435" t="s">
        <v>3056</v>
      </c>
      <c r="R1435" t="s">
        <v>2423</v>
      </c>
      <c r="S1435">
        <v>4</v>
      </c>
      <c r="T1435" t="s">
        <v>2274</v>
      </c>
      <c r="U1435" t="s">
        <v>2275</v>
      </c>
    </row>
    <row r="1436" spans="1:21" x14ac:dyDescent="0.25">
      <c r="A1436" t="s">
        <v>3850</v>
      </c>
      <c r="B1436" t="s">
        <v>904</v>
      </c>
      <c r="C1436" t="s">
        <v>541</v>
      </c>
      <c r="D1436" t="s">
        <v>24</v>
      </c>
      <c r="E1436" t="s">
        <v>1971</v>
      </c>
      <c r="F1436" t="s">
        <v>1082</v>
      </c>
      <c r="G1436" t="s">
        <v>2425</v>
      </c>
      <c r="H1436" s="20">
        <v>46250</v>
      </c>
      <c r="I1436">
        <v>1800</v>
      </c>
      <c r="J1436">
        <v>55</v>
      </c>
      <c r="K1436">
        <v>46</v>
      </c>
      <c r="L1436">
        <v>36</v>
      </c>
      <c r="M1436">
        <v>33</v>
      </c>
      <c r="P1436" t="s">
        <v>2272</v>
      </c>
      <c r="Q1436" t="s">
        <v>3056</v>
      </c>
      <c r="R1436" t="s">
        <v>2423</v>
      </c>
      <c r="S1436">
        <v>4</v>
      </c>
      <c r="T1436" t="s">
        <v>2274</v>
      </c>
      <c r="U1436" t="s">
        <v>2275</v>
      </c>
    </row>
    <row r="1437" spans="1:21" x14ac:dyDescent="0.25">
      <c r="A1437" t="s">
        <v>3851</v>
      </c>
      <c r="B1437" t="s">
        <v>904</v>
      </c>
      <c r="C1437" t="s">
        <v>4</v>
      </c>
      <c r="D1437" t="s">
        <v>24</v>
      </c>
      <c r="E1437" t="s">
        <v>1973</v>
      </c>
      <c r="F1437" t="s">
        <v>1511</v>
      </c>
      <c r="G1437" t="s">
        <v>2271</v>
      </c>
      <c r="H1437" s="20">
        <v>46250</v>
      </c>
      <c r="I1437">
        <v>1800</v>
      </c>
      <c r="J1437">
        <v>59</v>
      </c>
      <c r="K1437">
        <v>40</v>
      </c>
      <c r="L1437">
        <v>22</v>
      </c>
      <c r="P1437" t="s">
        <v>2272</v>
      </c>
      <c r="Q1437" t="s">
        <v>3147</v>
      </c>
      <c r="R1437" t="s">
        <v>2423</v>
      </c>
      <c r="S1437">
        <v>4</v>
      </c>
      <c r="T1437" t="s">
        <v>2274</v>
      </c>
      <c r="U1437" t="s">
        <v>2275</v>
      </c>
    </row>
    <row r="1438" spans="1:21" x14ac:dyDescent="0.25">
      <c r="A1438" t="s">
        <v>3852</v>
      </c>
      <c r="B1438" t="s">
        <v>904</v>
      </c>
      <c r="C1438" t="s">
        <v>4</v>
      </c>
      <c r="D1438" t="s">
        <v>24</v>
      </c>
      <c r="E1438" t="s">
        <v>1974</v>
      </c>
      <c r="F1438" t="s">
        <v>282</v>
      </c>
      <c r="G1438" t="s">
        <v>2271</v>
      </c>
      <c r="H1438" s="20">
        <v>46250</v>
      </c>
      <c r="I1438">
        <v>1800</v>
      </c>
      <c r="J1438">
        <v>59</v>
      </c>
      <c r="K1438">
        <v>40</v>
      </c>
      <c r="L1438">
        <v>22</v>
      </c>
      <c r="P1438" t="s">
        <v>2272</v>
      </c>
      <c r="Q1438" t="s">
        <v>3147</v>
      </c>
      <c r="R1438" t="s">
        <v>2423</v>
      </c>
      <c r="S1438">
        <v>4</v>
      </c>
      <c r="T1438" t="s">
        <v>2274</v>
      </c>
      <c r="U1438" t="s">
        <v>2275</v>
      </c>
    </row>
    <row r="1439" spans="1:21" x14ac:dyDescent="0.25">
      <c r="A1439" t="s">
        <v>3853</v>
      </c>
      <c r="B1439" t="s">
        <v>904</v>
      </c>
      <c r="C1439" t="s">
        <v>4</v>
      </c>
      <c r="D1439" t="s">
        <v>24</v>
      </c>
      <c r="E1439" t="s">
        <v>1975</v>
      </c>
      <c r="F1439" t="s">
        <v>1197</v>
      </c>
      <c r="G1439" t="s">
        <v>2271</v>
      </c>
      <c r="H1439" s="20">
        <v>46250</v>
      </c>
      <c r="I1439">
        <v>1800</v>
      </c>
      <c r="J1439">
        <v>59</v>
      </c>
      <c r="K1439">
        <v>40</v>
      </c>
      <c r="L1439">
        <v>22</v>
      </c>
      <c r="P1439" t="s">
        <v>2272</v>
      </c>
      <c r="Q1439" t="s">
        <v>3147</v>
      </c>
      <c r="R1439" t="s">
        <v>2423</v>
      </c>
      <c r="S1439">
        <v>4</v>
      </c>
      <c r="T1439" t="s">
        <v>2274</v>
      </c>
      <c r="U1439" t="s">
        <v>2275</v>
      </c>
    </row>
    <row r="1440" spans="1:21" x14ac:dyDescent="0.25">
      <c r="A1440" t="s">
        <v>3854</v>
      </c>
      <c r="B1440" t="s">
        <v>904</v>
      </c>
      <c r="C1440" t="s">
        <v>4</v>
      </c>
      <c r="D1440" t="s">
        <v>24</v>
      </c>
      <c r="E1440" t="s">
        <v>1976</v>
      </c>
      <c r="F1440" t="s">
        <v>228</v>
      </c>
      <c r="G1440" t="s">
        <v>2425</v>
      </c>
      <c r="H1440" s="20">
        <v>46250</v>
      </c>
      <c r="I1440">
        <v>1800</v>
      </c>
      <c r="J1440">
        <v>57</v>
      </c>
      <c r="K1440">
        <v>38</v>
      </c>
      <c r="L1440">
        <v>20</v>
      </c>
      <c r="M1440">
        <v>11</v>
      </c>
      <c r="P1440" t="s">
        <v>2272</v>
      </c>
      <c r="Q1440" t="s">
        <v>3855</v>
      </c>
      <c r="R1440" t="s">
        <v>2423</v>
      </c>
      <c r="S1440">
        <v>4</v>
      </c>
      <c r="T1440" t="s">
        <v>2274</v>
      </c>
      <c r="U1440" t="s">
        <v>2275</v>
      </c>
    </row>
    <row r="1441" spans="1:21" x14ac:dyDescent="0.25">
      <c r="A1441" t="s">
        <v>3856</v>
      </c>
      <c r="B1441" t="s">
        <v>904</v>
      </c>
      <c r="C1441" t="s">
        <v>4</v>
      </c>
      <c r="D1441" t="s">
        <v>24</v>
      </c>
      <c r="E1441" t="s">
        <v>1977</v>
      </c>
      <c r="F1441" t="s">
        <v>682</v>
      </c>
      <c r="G1441" t="s">
        <v>2425</v>
      </c>
      <c r="H1441" s="20">
        <v>46250</v>
      </c>
      <c r="I1441">
        <v>1800</v>
      </c>
      <c r="J1441">
        <v>57</v>
      </c>
      <c r="K1441">
        <v>38</v>
      </c>
      <c r="L1441">
        <v>20</v>
      </c>
      <c r="M1441">
        <v>11</v>
      </c>
      <c r="P1441" t="s">
        <v>2272</v>
      </c>
      <c r="Q1441" t="s">
        <v>3855</v>
      </c>
      <c r="R1441" t="s">
        <v>2423</v>
      </c>
      <c r="S1441">
        <v>4</v>
      </c>
      <c r="T1441" t="s">
        <v>2274</v>
      </c>
      <c r="U1441" t="s">
        <v>2275</v>
      </c>
    </row>
    <row r="1442" spans="1:21" x14ac:dyDescent="0.25">
      <c r="A1442" t="s">
        <v>3857</v>
      </c>
      <c r="B1442" t="s">
        <v>904</v>
      </c>
      <c r="C1442" t="s">
        <v>4</v>
      </c>
      <c r="D1442" t="s">
        <v>24</v>
      </c>
      <c r="E1442" t="s">
        <v>1978</v>
      </c>
      <c r="F1442" t="s">
        <v>1319</v>
      </c>
      <c r="G1442" t="s">
        <v>2425</v>
      </c>
      <c r="H1442" s="20">
        <v>46250</v>
      </c>
      <c r="I1442">
        <v>1800</v>
      </c>
      <c r="J1442">
        <v>57</v>
      </c>
      <c r="K1442">
        <v>38</v>
      </c>
      <c r="L1442">
        <v>20</v>
      </c>
      <c r="M1442">
        <v>11</v>
      </c>
      <c r="P1442" t="s">
        <v>2272</v>
      </c>
      <c r="Q1442" t="s">
        <v>3855</v>
      </c>
      <c r="R1442" t="s">
        <v>2423</v>
      </c>
      <c r="S1442">
        <v>4</v>
      </c>
      <c r="T1442" t="s">
        <v>2274</v>
      </c>
      <c r="U1442" t="s">
        <v>2275</v>
      </c>
    </row>
    <row r="1443" spans="1:21" x14ac:dyDescent="0.25">
      <c r="A1443" t="s">
        <v>3858</v>
      </c>
      <c r="B1443" t="s">
        <v>904</v>
      </c>
      <c r="C1443" t="s">
        <v>4</v>
      </c>
      <c r="D1443" t="s">
        <v>24</v>
      </c>
      <c r="E1443" t="s">
        <v>1979</v>
      </c>
      <c r="F1443" t="s">
        <v>172</v>
      </c>
      <c r="G1443" t="s">
        <v>2425</v>
      </c>
      <c r="H1443" s="20">
        <v>46250</v>
      </c>
      <c r="I1443">
        <v>1800</v>
      </c>
      <c r="J1443">
        <v>57</v>
      </c>
      <c r="K1443">
        <v>38</v>
      </c>
      <c r="L1443">
        <v>20</v>
      </c>
      <c r="M1443">
        <v>11</v>
      </c>
      <c r="P1443" t="s">
        <v>2272</v>
      </c>
      <c r="Q1443" t="s">
        <v>3855</v>
      </c>
      <c r="R1443" t="s">
        <v>2423</v>
      </c>
      <c r="S1443">
        <v>4</v>
      </c>
      <c r="T1443" t="s">
        <v>2274</v>
      </c>
      <c r="U1443" t="s">
        <v>2275</v>
      </c>
    </row>
    <row r="1444" spans="1:21" x14ac:dyDescent="0.25">
      <c r="A1444" t="s">
        <v>3859</v>
      </c>
      <c r="B1444" t="s">
        <v>904</v>
      </c>
      <c r="C1444" t="s">
        <v>4</v>
      </c>
      <c r="D1444" t="s">
        <v>24</v>
      </c>
      <c r="E1444" t="s">
        <v>1980</v>
      </c>
      <c r="F1444" t="s">
        <v>729</v>
      </c>
      <c r="G1444" t="s">
        <v>2425</v>
      </c>
      <c r="H1444" s="20">
        <v>46250</v>
      </c>
      <c r="I1444">
        <v>1800</v>
      </c>
      <c r="J1444">
        <v>57</v>
      </c>
      <c r="K1444">
        <v>38</v>
      </c>
      <c r="L1444">
        <v>20</v>
      </c>
      <c r="M1444">
        <v>11</v>
      </c>
      <c r="P1444" t="s">
        <v>2272</v>
      </c>
      <c r="Q1444" t="s">
        <v>3855</v>
      </c>
      <c r="R1444" t="s">
        <v>2423</v>
      </c>
      <c r="S1444">
        <v>4</v>
      </c>
      <c r="T1444" t="s">
        <v>2274</v>
      </c>
      <c r="U1444" t="s">
        <v>2275</v>
      </c>
    </row>
    <row r="1445" spans="1:21" x14ac:dyDescent="0.25">
      <c r="A1445" t="s">
        <v>3860</v>
      </c>
      <c r="B1445" t="s">
        <v>904</v>
      </c>
      <c r="C1445" t="s">
        <v>4</v>
      </c>
      <c r="D1445" t="s">
        <v>24</v>
      </c>
      <c r="E1445" t="s">
        <v>1981</v>
      </c>
      <c r="F1445" t="s">
        <v>256</v>
      </c>
      <c r="G1445" t="s">
        <v>2425</v>
      </c>
      <c r="H1445" s="20">
        <v>46250</v>
      </c>
      <c r="I1445">
        <v>1800</v>
      </c>
      <c r="J1445">
        <v>57</v>
      </c>
      <c r="K1445">
        <v>38</v>
      </c>
      <c r="L1445">
        <v>20</v>
      </c>
      <c r="M1445">
        <v>11</v>
      </c>
      <c r="P1445" t="s">
        <v>2272</v>
      </c>
      <c r="Q1445" t="s">
        <v>3855</v>
      </c>
      <c r="R1445" t="s">
        <v>2423</v>
      </c>
      <c r="S1445">
        <v>4</v>
      </c>
      <c r="T1445" t="s">
        <v>2274</v>
      </c>
      <c r="U1445" t="s">
        <v>2275</v>
      </c>
    </row>
    <row r="1446" spans="1:21" x14ac:dyDescent="0.25">
      <c r="A1446" t="s">
        <v>3861</v>
      </c>
      <c r="B1446" t="s">
        <v>904</v>
      </c>
      <c r="C1446" t="s">
        <v>4</v>
      </c>
      <c r="D1446" t="s">
        <v>24</v>
      </c>
      <c r="E1446" t="s">
        <v>1982</v>
      </c>
      <c r="F1446" t="s">
        <v>232</v>
      </c>
      <c r="G1446" t="s">
        <v>2425</v>
      </c>
      <c r="H1446" s="20">
        <v>46250</v>
      </c>
      <c r="I1446">
        <v>1800</v>
      </c>
      <c r="J1446">
        <v>57</v>
      </c>
      <c r="K1446">
        <v>38</v>
      </c>
      <c r="L1446">
        <v>20</v>
      </c>
      <c r="M1446">
        <v>11</v>
      </c>
      <c r="P1446" t="s">
        <v>2272</v>
      </c>
      <c r="Q1446" t="s">
        <v>3855</v>
      </c>
      <c r="R1446" t="s">
        <v>2423</v>
      </c>
      <c r="S1446">
        <v>4</v>
      </c>
      <c r="T1446" t="s">
        <v>2274</v>
      </c>
      <c r="U1446" t="s">
        <v>2275</v>
      </c>
    </row>
    <row r="1447" spans="1:21" x14ac:dyDescent="0.25">
      <c r="A1447" t="s">
        <v>3862</v>
      </c>
      <c r="B1447" t="s">
        <v>904</v>
      </c>
      <c r="C1447" t="s">
        <v>4</v>
      </c>
      <c r="D1447" t="s">
        <v>24</v>
      </c>
      <c r="E1447" t="s">
        <v>1983</v>
      </c>
      <c r="F1447" t="s">
        <v>303</v>
      </c>
      <c r="G1447" t="s">
        <v>2425</v>
      </c>
      <c r="H1447" s="20">
        <v>46250</v>
      </c>
      <c r="I1447">
        <v>1800</v>
      </c>
      <c r="J1447">
        <v>57</v>
      </c>
      <c r="K1447">
        <v>38</v>
      </c>
      <c r="L1447">
        <v>20</v>
      </c>
      <c r="M1447">
        <v>11</v>
      </c>
      <c r="P1447" t="s">
        <v>2272</v>
      </c>
      <c r="Q1447" t="s">
        <v>3855</v>
      </c>
      <c r="R1447" t="s">
        <v>2423</v>
      </c>
      <c r="S1447">
        <v>4</v>
      </c>
      <c r="T1447" t="s">
        <v>2274</v>
      </c>
      <c r="U1447" t="s">
        <v>2275</v>
      </c>
    </row>
    <row r="1448" spans="1:21" x14ac:dyDescent="0.25">
      <c r="A1448" t="s">
        <v>3863</v>
      </c>
      <c r="B1448" t="s">
        <v>904</v>
      </c>
      <c r="C1448" t="s">
        <v>4</v>
      </c>
      <c r="D1448" t="s">
        <v>24</v>
      </c>
      <c r="E1448" t="s">
        <v>1984</v>
      </c>
      <c r="F1448" t="s">
        <v>1914</v>
      </c>
      <c r="G1448" t="s">
        <v>2425</v>
      </c>
      <c r="H1448" s="20">
        <v>46250</v>
      </c>
      <c r="I1448">
        <v>1800</v>
      </c>
      <c r="J1448">
        <v>57</v>
      </c>
      <c r="K1448">
        <v>38</v>
      </c>
      <c r="L1448">
        <v>20</v>
      </c>
      <c r="M1448">
        <v>11</v>
      </c>
      <c r="P1448" t="s">
        <v>2272</v>
      </c>
      <c r="Q1448" t="s">
        <v>3855</v>
      </c>
      <c r="R1448" t="s">
        <v>2423</v>
      </c>
      <c r="S1448">
        <v>4</v>
      </c>
      <c r="T1448" t="s">
        <v>2274</v>
      </c>
      <c r="U1448" t="s">
        <v>2275</v>
      </c>
    </row>
    <row r="1449" spans="1:21" x14ac:dyDescent="0.25">
      <c r="A1449" t="s">
        <v>3864</v>
      </c>
      <c r="B1449" t="s">
        <v>904</v>
      </c>
      <c r="C1449" t="s">
        <v>4</v>
      </c>
      <c r="D1449" t="s">
        <v>21</v>
      </c>
      <c r="E1449" t="s">
        <v>1985</v>
      </c>
      <c r="F1449" t="s">
        <v>199</v>
      </c>
      <c r="G1449" t="s">
        <v>2444</v>
      </c>
      <c r="H1449" s="20">
        <v>46254</v>
      </c>
      <c r="I1449">
        <v>1500</v>
      </c>
      <c r="J1449">
        <v>63</v>
      </c>
      <c r="K1449">
        <v>35</v>
      </c>
      <c r="L1449">
        <v>22</v>
      </c>
      <c r="P1449" t="s">
        <v>2272</v>
      </c>
      <c r="Q1449" t="s">
        <v>3865</v>
      </c>
      <c r="R1449" t="s">
        <v>2446</v>
      </c>
      <c r="S1449">
        <v>5</v>
      </c>
      <c r="T1449" t="s">
        <v>2319</v>
      </c>
      <c r="U1449" t="s">
        <v>2320</v>
      </c>
    </row>
    <row r="1450" spans="1:21" x14ac:dyDescent="0.25">
      <c r="A1450" t="s">
        <v>3866</v>
      </c>
      <c r="B1450" t="s">
        <v>904</v>
      </c>
      <c r="C1450" t="s">
        <v>4</v>
      </c>
      <c r="D1450" t="s">
        <v>21</v>
      </c>
      <c r="E1450" t="s">
        <v>1986</v>
      </c>
      <c r="F1450" t="s">
        <v>157</v>
      </c>
      <c r="G1450" t="s">
        <v>2271</v>
      </c>
      <c r="H1450" s="20">
        <v>46254</v>
      </c>
      <c r="I1450">
        <v>1500</v>
      </c>
      <c r="J1450">
        <v>63</v>
      </c>
      <c r="K1450">
        <v>35</v>
      </c>
      <c r="L1450">
        <v>12</v>
      </c>
      <c r="M1450">
        <v>10</v>
      </c>
      <c r="P1450" t="s">
        <v>2272</v>
      </c>
      <c r="R1450" t="s">
        <v>2273</v>
      </c>
      <c r="S1450">
        <v>5</v>
      </c>
      <c r="T1450" t="s">
        <v>2319</v>
      </c>
      <c r="U1450" t="s">
        <v>2320</v>
      </c>
    </row>
    <row r="1451" spans="1:21" x14ac:dyDescent="0.25">
      <c r="A1451" t="s">
        <v>3867</v>
      </c>
      <c r="B1451" t="s">
        <v>904</v>
      </c>
      <c r="C1451" t="s">
        <v>4</v>
      </c>
      <c r="D1451" t="s">
        <v>21</v>
      </c>
      <c r="E1451" t="s">
        <v>1987</v>
      </c>
      <c r="F1451" t="s">
        <v>830</v>
      </c>
      <c r="G1451" t="s">
        <v>2271</v>
      </c>
      <c r="H1451" s="20">
        <v>46254</v>
      </c>
      <c r="I1451">
        <v>1500</v>
      </c>
      <c r="J1451">
        <v>63</v>
      </c>
      <c r="K1451">
        <v>35</v>
      </c>
      <c r="L1451">
        <v>12</v>
      </c>
      <c r="M1451">
        <v>10</v>
      </c>
      <c r="P1451" t="s">
        <v>2272</v>
      </c>
      <c r="R1451" t="s">
        <v>2273</v>
      </c>
      <c r="S1451">
        <v>5</v>
      </c>
      <c r="T1451" t="s">
        <v>2319</v>
      </c>
      <c r="U1451" t="s">
        <v>2320</v>
      </c>
    </row>
    <row r="1452" spans="1:21" x14ac:dyDescent="0.25">
      <c r="A1452" t="s">
        <v>3868</v>
      </c>
      <c r="B1452" t="s">
        <v>904</v>
      </c>
      <c r="C1452" t="s">
        <v>4</v>
      </c>
      <c r="D1452" t="s">
        <v>21</v>
      </c>
      <c r="E1452" t="s">
        <v>1988</v>
      </c>
      <c r="F1452" t="s">
        <v>1861</v>
      </c>
      <c r="G1452" t="s">
        <v>2271</v>
      </c>
      <c r="H1452" s="20">
        <v>46254</v>
      </c>
      <c r="I1452">
        <v>1500</v>
      </c>
      <c r="J1452">
        <v>63</v>
      </c>
      <c r="K1452">
        <v>35</v>
      </c>
      <c r="L1452">
        <v>12</v>
      </c>
      <c r="M1452">
        <v>10</v>
      </c>
      <c r="P1452" t="s">
        <v>2272</v>
      </c>
      <c r="R1452" t="s">
        <v>2273</v>
      </c>
      <c r="S1452">
        <v>5</v>
      </c>
      <c r="T1452" t="s">
        <v>2319</v>
      </c>
      <c r="U1452" t="s">
        <v>2320</v>
      </c>
    </row>
    <row r="1453" spans="1:21" x14ac:dyDescent="0.25">
      <c r="A1453" t="s">
        <v>3869</v>
      </c>
      <c r="B1453" t="s">
        <v>904</v>
      </c>
      <c r="C1453" t="s">
        <v>4</v>
      </c>
      <c r="D1453" t="s">
        <v>21</v>
      </c>
      <c r="E1453" t="s">
        <v>1989</v>
      </c>
      <c r="F1453" t="s">
        <v>503</v>
      </c>
      <c r="G1453" t="s">
        <v>2271</v>
      </c>
      <c r="H1453" s="20">
        <v>46254</v>
      </c>
      <c r="I1453">
        <v>1500</v>
      </c>
      <c r="J1453">
        <v>63</v>
      </c>
      <c r="K1453">
        <v>35</v>
      </c>
      <c r="L1453">
        <v>12</v>
      </c>
      <c r="M1453">
        <v>10</v>
      </c>
      <c r="P1453" t="s">
        <v>2272</v>
      </c>
      <c r="R1453" t="s">
        <v>2273</v>
      </c>
      <c r="S1453">
        <v>5</v>
      </c>
      <c r="T1453" t="s">
        <v>2319</v>
      </c>
      <c r="U1453" t="s">
        <v>2320</v>
      </c>
    </row>
    <row r="1454" spans="1:21" x14ac:dyDescent="0.25">
      <c r="A1454" t="s">
        <v>3870</v>
      </c>
      <c r="B1454" t="s">
        <v>904</v>
      </c>
      <c r="C1454" t="s">
        <v>4</v>
      </c>
      <c r="D1454" t="s">
        <v>21</v>
      </c>
      <c r="E1454" t="s">
        <v>1990</v>
      </c>
      <c r="F1454" t="s">
        <v>368</v>
      </c>
      <c r="G1454" t="s">
        <v>2271</v>
      </c>
      <c r="H1454" s="20">
        <v>46254</v>
      </c>
      <c r="I1454">
        <v>1500</v>
      </c>
      <c r="J1454">
        <v>63</v>
      </c>
      <c r="K1454">
        <v>35</v>
      </c>
      <c r="L1454">
        <v>12</v>
      </c>
      <c r="M1454">
        <v>10</v>
      </c>
      <c r="P1454" t="s">
        <v>2272</v>
      </c>
      <c r="R1454" t="s">
        <v>2273</v>
      </c>
      <c r="S1454">
        <v>5</v>
      </c>
      <c r="T1454" t="s">
        <v>2319</v>
      </c>
      <c r="U1454" t="s">
        <v>2320</v>
      </c>
    </row>
    <row r="1455" spans="1:21" x14ac:dyDescent="0.25">
      <c r="A1455" t="s">
        <v>3871</v>
      </c>
      <c r="B1455" t="s">
        <v>904</v>
      </c>
      <c r="C1455" t="s">
        <v>4</v>
      </c>
      <c r="D1455" t="s">
        <v>21</v>
      </c>
      <c r="E1455" t="s">
        <v>1674</v>
      </c>
      <c r="F1455" t="s">
        <v>147</v>
      </c>
      <c r="G1455" t="s">
        <v>2271</v>
      </c>
      <c r="H1455" s="20">
        <v>46254</v>
      </c>
      <c r="I1455">
        <v>1500</v>
      </c>
      <c r="J1455">
        <v>63</v>
      </c>
      <c r="K1455">
        <v>35</v>
      </c>
      <c r="L1455">
        <v>12</v>
      </c>
      <c r="M1455">
        <v>10</v>
      </c>
      <c r="P1455" t="s">
        <v>2272</v>
      </c>
      <c r="R1455" t="s">
        <v>2273</v>
      </c>
      <c r="S1455">
        <v>5</v>
      </c>
      <c r="T1455" t="s">
        <v>2319</v>
      </c>
      <c r="U1455" t="s">
        <v>2320</v>
      </c>
    </row>
    <row r="1456" spans="1:21" x14ac:dyDescent="0.25">
      <c r="A1456" t="s">
        <v>3872</v>
      </c>
      <c r="B1456" t="s">
        <v>904</v>
      </c>
      <c r="C1456" t="s">
        <v>4</v>
      </c>
      <c r="D1456" t="s">
        <v>21</v>
      </c>
      <c r="E1456" t="s">
        <v>1991</v>
      </c>
      <c r="F1456" t="s">
        <v>335</v>
      </c>
      <c r="G1456" t="s">
        <v>2271</v>
      </c>
      <c r="H1456" s="20">
        <v>46254</v>
      </c>
      <c r="I1456">
        <v>1500</v>
      </c>
      <c r="J1456">
        <v>63</v>
      </c>
      <c r="K1456">
        <v>35</v>
      </c>
      <c r="L1456">
        <v>12</v>
      </c>
      <c r="M1456">
        <v>10</v>
      </c>
      <c r="P1456" t="s">
        <v>2272</v>
      </c>
      <c r="R1456" t="s">
        <v>2273</v>
      </c>
      <c r="S1456">
        <v>5</v>
      </c>
      <c r="T1456" t="s">
        <v>2319</v>
      </c>
      <c r="U1456" t="s">
        <v>2320</v>
      </c>
    </row>
    <row r="1457" spans="1:21" x14ac:dyDescent="0.25">
      <c r="A1457" t="s">
        <v>3873</v>
      </c>
      <c r="B1457" t="s">
        <v>904</v>
      </c>
      <c r="C1457" t="s">
        <v>4</v>
      </c>
      <c r="D1457" t="s">
        <v>21</v>
      </c>
      <c r="E1457" t="s">
        <v>1992</v>
      </c>
      <c r="F1457" t="s">
        <v>266</v>
      </c>
      <c r="G1457" t="s">
        <v>2271</v>
      </c>
      <c r="H1457" s="20">
        <v>46254</v>
      </c>
      <c r="I1457">
        <v>1500</v>
      </c>
      <c r="J1457">
        <v>63</v>
      </c>
      <c r="K1457">
        <v>35</v>
      </c>
      <c r="L1457">
        <v>12</v>
      </c>
      <c r="M1457">
        <v>10</v>
      </c>
      <c r="P1457" t="s">
        <v>2272</v>
      </c>
      <c r="R1457" t="s">
        <v>2273</v>
      </c>
      <c r="S1457">
        <v>5</v>
      </c>
      <c r="T1457" t="s">
        <v>2319</v>
      </c>
      <c r="U1457" t="s">
        <v>2320</v>
      </c>
    </row>
    <row r="1458" spans="1:21" x14ac:dyDescent="0.25">
      <c r="A1458" t="s">
        <v>3874</v>
      </c>
      <c r="B1458" t="s">
        <v>904</v>
      </c>
      <c r="C1458" t="s">
        <v>4</v>
      </c>
      <c r="D1458" t="s">
        <v>21</v>
      </c>
      <c r="E1458" t="s">
        <v>1993</v>
      </c>
      <c r="F1458" t="s">
        <v>949</v>
      </c>
      <c r="G1458" t="s">
        <v>2271</v>
      </c>
      <c r="H1458" s="20">
        <v>46254</v>
      </c>
      <c r="I1458">
        <v>1500</v>
      </c>
      <c r="J1458">
        <v>63</v>
      </c>
      <c r="K1458">
        <v>35</v>
      </c>
      <c r="L1458">
        <v>12</v>
      </c>
      <c r="M1458">
        <v>10</v>
      </c>
      <c r="P1458" t="s">
        <v>2272</v>
      </c>
      <c r="R1458" t="s">
        <v>2273</v>
      </c>
      <c r="S1458">
        <v>5</v>
      </c>
      <c r="T1458" t="s">
        <v>2319</v>
      </c>
      <c r="U1458" t="s">
        <v>2320</v>
      </c>
    </row>
    <row r="1459" spans="1:21" x14ac:dyDescent="0.25">
      <c r="A1459" t="s">
        <v>3875</v>
      </c>
      <c r="B1459" t="s">
        <v>904</v>
      </c>
      <c r="C1459" t="s">
        <v>4</v>
      </c>
      <c r="D1459" t="s">
        <v>21</v>
      </c>
      <c r="E1459" t="s">
        <v>1994</v>
      </c>
      <c r="F1459" t="s">
        <v>674</v>
      </c>
      <c r="G1459" t="s">
        <v>2271</v>
      </c>
      <c r="H1459" s="20">
        <v>46254</v>
      </c>
      <c r="I1459">
        <v>1500</v>
      </c>
      <c r="J1459">
        <v>63</v>
      </c>
      <c r="K1459">
        <v>35</v>
      </c>
      <c r="L1459">
        <v>12</v>
      </c>
      <c r="M1459">
        <v>10</v>
      </c>
      <c r="P1459" t="s">
        <v>2272</v>
      </c>
      <c r="R1459" t="s">
        <v>2273</v>
      </c>
      <c r="S1459">
        <v>5</v>
      </c>
      <c r="T1459" t="s">
        <v>2319</v>
      </c>
      <c r="U1459" t="s">
        <v>2320</v>
      </c>
    </row>
    <row r="1460" spans="1:21" x14ac:dyDescent="0.25">
      <c r="A1460" t="s">
        <v>3876</v>
      </c>
      <c r="B1460" t="s">
        <v>904</v>
      </c>
      <c r="C1460" t="s">
        <v>4</v>
      </c>
      <c r="D1460" t="s">
        <v>21</v>
      </c>
      <c r="E1460" t="s">
        <v>1995</v>
      </c>
      <c r="F1460" t="s">
        <v>1207</v>
      </c>
      <c r="G1460" t="s">
        <v>2271</v>
      </c>
      <c r="H1460" s="20">
        <v>46254</v>
      </c>
      <c r="I1460">
        <v>1500</v>
      </c>
      <c r="J1460">
        <v>63</v>
      </c>
      <c r="K1460">
        <v>35</v>
      </c>
      <c r="L1460">
        <v>12</v>
      </c>
      <c r="M1460">
        <v>10</v>
      </c>
      <c r="P1460" t="s">
        <v>2272</v>
      </c>
      <c r="R1460" t="s">
        <v>2273</v>
      </c>
      <c r="S1460">
        <v>5</v>
      </c>
      <c r="T1460" t="s">
        <v>2319</v>
      </c>
      <c r="U1460" t="s">
        <v>2320</v>
      </c>
    </row>
    <row r="1461" spans="1:21" x14ac:dyDescent="0.25">
      <c r="A1461" t="s">
        <v>3877</v>
      </c>
      <c r="B1461" t="s">
        <v>904</v>
      </c>
      <c r="C1461" t="s">
        <v>4</v>
      </c>
      <c r="D1461" t="s">
        <v>21</v>
      </c>
      <c r="E1461" t="s">
        <v>1996</v>
      </c>
      <c r="F1461" t="s">
        <v>1376</v>
      </c>
      <c r="G1461" t="s">
        <v>2271</v>
      </c>
      <c r="H1461" s="20">
        <v>46254</v>
      </c>
      <c r="I1461">
        <v>1500</v>
      </c>
      <c r="J1461">
        <v>63</v>
      </c>
      <c r="K1461">
        <v>35</v>
      </c>
      <c r="L1461">
        <v>12</v>
      </c>
      <c r="M1461">
        <v>10</v>
      </c>
      <c r="P1461" t="s">
        <v>2272</v>
      </c>
      <c r="R1461" t="s">
        <v>2273</v>
      </c>
      <c r="S1461">
        <v>5</v>
      </c>
      <c r="T1461" t="s">
        <v>2319</v>
      </c>
      <c r="U1461" t="s">
        <v>2320</v>
      </c>
    </row>
    <row r="1462" spans="1:21" x14ac:dyDescent="0.25">
      <c r="A1462" t="s">
        <v>3878</v>
      </c>
      <c r="B1462" t="s">
        <v>904</v>
      </c>
      <c r="C1462" t="s">
        <v>4</v>
      </c>
      <c r="D1462" t="s">
        <v>21</v>
      </c>
      <c r="E1462" t="s">
        <v>1997</v>
      </c>
      <c r="F1462" t="s">
        <v>1914</v>
      </c>
      <c r="G1462" t="s">
        <v>2271</v>
      </c>
      <c r="H1462" s="20">
        <v>46254</v>
      </c>
      <c r="I1462">
        <v>1500</v>
      </c>
      <c r="J1462">
        <v>63</v>
      </c>
      <c r="K1462">
        <v>35</v>
      </c>
      <c r="L1462">
        <v>12</v>
      </c>
      <c r="M1462">
        <v>10</v>
      </c>
      <c r="P1462" t="s">
        <v>2272</v>
      </c>
      <c r="R1462" t="s">
        <v>2273</v>
      </c>
      <c r="S1462">
        <v>5</v>
      </c>
      <c r="T1462" t="s">
        <v>2319</v>
      </c>
      <c r="U1462" t="s">
        <v>2320</v>
      </c>
    </row>
    <row r="1463" spans="1:21" x14ac:dyDescent="0.25">
      <c r="A1463" t="s">
        <v>3879</v>
      </c>
      <c r="B1463" t="s">
        <v>904</v>
      </c>
      <c r="C1463" t="s">
        <v>4</v>
      </c>
      <c r="D1463" t="s">
        <v>26</v>
      </c>
      <c r="E1463" t="s">
        <v>1998</v>
      </c>
      <c r="F1463" t="s">
        <v>746</v>
      </c>
      <c r="H1463" s="20"/>
      <c r="P1463" t="s">
        <v>2291</v>
      </c>
      <c r="R1463" t="s">
        <v>2292</v>
      </c>
    </row>
    <row r="1464" spans="1:21" x14ac:dyDescent="0.25">
      <c r="A1464" t="s">
        <v>3880</v>
      </c>
      <c r="B1464" t="s">
        <v>904</v>
      </c>
      <c r="C1464" t="s">
        <v>4</v>
      </c>
      <c r="D1464" t="s">
        <v>26</v>
      </c>
      <c r="E1464" t="s">
        <v>1999</v>
      </c>
      <c r="F1464" t="s">
        <v>266</v>
      </c>
      <c r="H1464" s="20"/>
      <c r="P1464" t="s">
        <v>2291</v>
      </c>
      <c r="R1464" t="s">
        <v>2292</v>
      </c>
    </row>
    <row r="1465" spans="1:21" x14ac:dyDescent="0.25">
      <c r="A1465" t="s">
        <v>3881</v>
      </c>
      <c r="B1465" t="s">
        <v>904</v>
      </c>
      <c r="C1465" t="s">
        <v>1004</v>
      </c>
      <c r="D1465" t="s">
        <v>24</v>
      </c>
      <c r="E1465" t="s">
        <v>2001</v>
      </c>
      <c r="F1465" t="s">
        <v>168</v>
      </c>
      <c r="G1465" t="s">
        <v>2271</v>
      </c>
      <c r="H1465" s="20">
        <v>46250</v>
      </c>
      <c r="I1465">
        <v>1800</v>
      </c>
      <c r="J1465">
        <v>48</v>
      </c>
      <c r="K1465">
        <v>40</v>
      </c>
      <c r="L1465">
        <v>17</v>
      </c>
      <c r="M1465">
        <v>15</v>
      </c>
      <c r="P1465" t="s">
        <v>2272</v>
      </c>
      <c r="R1465" t="s">
        <v>2273</v>
      </c>
      <c r="S1465">
        <v>4</v>
      </c>
      <c r="T1465" t="s">
        <v>2274</v>
      </c>
      <c r="U1465" t="s">
        <v>2275</v>
      </c>
    </row>
    <row r="1466" spans="1:21" x14ac:dyDescent="0.25">
      <c r="A1466" t="s">
        <v>3882</v>
      </c>
      <c r="B1466" t="s">
        <v>904</v>
      </c>
      <c r="C1466" t="s">
        <v>1004</v>
      </c>
      <c r="D1466" t="s">
        <v>24</v>
      </c>
      <c r="E1466" t="s">
        <v>2002</v>
      </c>
      <c r="F1466" t="s">
        <v>228</v>
      </c>
      <c r="G1466" t="s">
        <v>2271</v>
      </c>
      <c r="H1466" s="20">
        <v>46250</v>
      </c>
      <c r="I1466">
        <v>1800</v>
      </c>
      <c r="J1466">
        <v>48</v>
      </c>
      <c r="K1466">
        <v>40</v>
      </c>
      <c r="L1466">
        <v>17</v>
      </c>
      <c r="M1466">
        <v>15</v>
      </c>
      <c r="P1466" t="s">
        <v>2272</v>
      </c>
      <c r="R1466" t="s">
        <v>2273</v>
      </c>
      <c r="S1466">
        <v>4</v>
      </c>
      <c r="T1466" t="s">
        <v>2274</v>
      </c>
      <c r="U1466" t="s">
        <v>2275</v>
      </c>
    </row>
    <row r="1467" spans="1:21" x14ac:dyDescent="0.25">
      <c r="A1467" t="s">
        <v>3883</v>
      </c>
      <c r="B1467" t="s">
        <v>904</v>
      </c>
      <c r="C1467" t="s">
        <v>1004</v>
      </c>
      <c r="D1467" t="s">
        <v>24</v>
      </c>
      <c r="E1467" t="s">
        <v>2003</v>
      </c>
      <c r="F1467" t="s">
        <v>806</v>
      </c>
      <c r="G1467" t="s">
        <v>2271</v>
      </c>
      <c r="H1467" s="20">
        <v>46250</v>
      </c>
      <c r="I1467">
        <v>1800</v>
      </c>
      <c r="J1467">
        <v>48</v>
      </c>
      <c r="K1467">
        <v>40</v>
      </c>
      <c r="L1467">
        <v>17</v>
      </c>
      <c r="M1467">
        <v>15</v>
      </c>
      <c r="P1467" t="s">
        <v>2272</v>
      </c>
      <c r="R1467" t="s">
        <v>2273</v>
      </c>
      <c r="S1467">
        <v>4</v>
      </c>
      <c r="T1467" t="s">
        <v>2274</v>
      </c>
      <c r="U1467" t="s">
        <v>2275</v>
      </c>
    </row>
    <row r="1468" spans="1:21" x14ac:dyDescent="0.25">
      <c r="A1468" t="s">
        <v>3884</v>
      </c>
      <c r="B1468" t="s">
        <v>904</v>
      </c>
      <c r="C1468" t="s">
        <v>1004</v>
      </c>
      <c r="D1468" t="s">
        <v>24</v>
      </c>
      <c r="E1468" t="s">
        <v>2004</v>
      </c>
      <c r="F1468" t="s">
        <v>230</v>
      </c>
      <c r="G1468" t="s">
        <v>2271</v>
      </c>
      <c r="H1468" s="20">
        <v>46250</v>
      </c>
      <c r="I1468">
        <v>1800</v>
      </c>
      <c r="J1468">
        <v>48</v>
      </c>
      <c r="K1468">
        <v>40</v>
      </c>
      <c r="L1468">
        <v>17</v>
      </c>
      <c r="M1468">
        <v>15</v>
      </c>
      <c r="P1468" t="s">
        <v>2272</v>
      </c>
      <c r="R1468" t="s">
        <v>2273</v>
      </c>
      <c r="S1468">
        <v>4</v>
      </c>
      <c r="T1468" t="s">
        <v>2274</v>
      </c>
      <c r="U1468" t="s">
        <v>2275</v>
      </c>
    </row>
    <row r="1469" spans="1:21" x14ac:dyDescent="0.25">
      <c r="A1469" t="s">
        <v>3885</v>
      </c>
      <c r="B1469" t="s">
        <v>904</v>
      </c>
      <c r="C1469" t="s">
        <v>1004</v>
      </c>
      <c r="D1469" t="s">
        <v>24</v>
      </c>
      <c r="E1469" t="s">
        <v>2005</v>
      </c>
      <c r="F1469" t="s">
        <v>49</v>
      </c>
      <c r="G1469" t="s">
        <v>2271</v>
      </c>
      <c r="H1469" s="20">
        <v>46250</v>
      </c>
      <c r="I1469">
        <v>1800</v>
      </c>
      <c r="J1469">
        <v>48</v>
      </c>
      <c r="K1469">
        <v>40</v>
      </c>
      <c r="L1469">
        <v>17</v>
      </c>
      <c r="M1469">
        <v>15</v>
      </c>
      <c r="P1469" t="s">
        <v>2272</v>
      </c>
      <c r="R1469" t="s">
        <v>2273</v>
      </c>
      <c r="S1469">
        <v>4</v>
      </c>
      <c r="T1469" t="s">
        <v>2274</v>
      </c>
      <c r="U1469" t="s">
        <v>2275</v>
      </c>
    </row>
    <row r="1470" spans="1:21" x14ac:dyDescent="0.25">
      <c r="A1470" t="s">
        <v>3886</v>
      </c>
      <c r="B1470" t="s">
        <v>904</v>
      </c>
      <c r="C1470" t="s">
        <v>1004</v>
      </c>
      <c r="D1470" t="s">
        <v>24</v>
      </c>
      <c r="E1470" t="s">
        <v>2006</v>
      </c>
      <c r="F1470" t="s">
        <v>317</v>
      </c>
      <c r="G1470" t="s">
        <v>2271</v>
      </c>
      <c r="H1470" s="20">
        <v>46250</v>
      </c>
      <c r="I1470">
        <v>1800</v>
      </c>
      <c r="J1470">
        <v>48</v>
      </c>
      <c r="K1470">
        <v>40</v>
      </c>
      <c r="L1470">
        <v>17</v>
      </c>
      <c r="M1470">
        <v>15</v>
      </c>
      <c r="P1470" t="s">
        <v>2272</v>
      </c>
      <c r="R1470" t="s">
        <v>2273</v>
      </c>
      <c r="S1470">
        <v>4</v>
      </c>
      <c r="T1470" t="s">
        <v>2274</v>
      </c>
      <c r="U1470" t="s">
        <v>2275</v>
      </c>
    </row>
    <row r="1471" spans="1:21" x14ac:dyDescent="0.25">
      <c r="A1471" t="s">
        <v>3887</v>
      </c>
      <c r="B1471" t="s">
        <v>904</v>
      </c>
      <c r="C1471" t="s">
        <v>1004</v>
      </c>
      <c r="D1471" t="s">
        <v>24</v>
      </c>
      <c r="E1471" t="s">
        <v>2007</v>
      </c>
      <c r="F1471" t="s">
        <v>359</v>
      </c>
      <c r="G1471" t="s">
        <v>2271</v>
      </c>
      <c r="H1471" s="20">
        <v>46250</v>
      </c>
      <c r="I1471">
        <v>1800</v>
      </c>
      <c r="J1471">
        <v>48</v>
      </c>
      <c r="K1471">
        <v>40</v>
      </c>
      <c r="L1471">
        <v>17</v>
      </c>
      <c r="M1471">
        <v>15</v>
      </c>
      <c r="P1471" t="s">
        <v>2272</v>
      </c>
      <c r="R1471" t="s">
        <v>2273</v>
      </c>
      <c r="S1471">
        <v>4</v>
      </c>
      <c r="T1471" t="s">
        <v>2274</v>
      </c>
      <c r="U1471" t="s">
        <v>2275</v>
      </c>
    </row>
    <row r="1472" spans="1:21" x14ac:dyDescent="0.25">
      <c r="A1472" t="s">
        <v>3888</v>
      </c>
      <c r="B1472" t="s">
        <v>904</v>
      </c>
      <c r="C1472" t="s">
        <v>1079</v>
      </c>
      <c r="D1472" t="s">
        <v>24</v>
      </c>
      <c r="E1472" t="s">
        <v>2009</v>
      </c>
      <c r="F1472" t="s">
        <v>1098</v>
      </c>
      <c r="G1472" t="s">
        <v>2271</v>
      </c>
      <c r="H1472" s="20">
        <v>46250</v>
      </c>
      <c r="I1472">
        <v>1800</v>
      </c>
      <c r="J1472">
        <v>53</v>
      </c>
      <c r="K1472">
        <v>44</v>
      </c>
      <c r="L1472">
        <v>33</v>
      </c>
      <c r="P1472" t="s">
        <v>2272</v>
      </c>
      <c r="R1472" t="s">
        <v>2273</v>
      </c>
      <c r="S1472">
        <v>4</v>
      </c>
      <c r="T1472" t="s">
        <v>2274</v>
      </c>
      <c r="U1472" t="s">
        <v>2275</v>
      </c>
    </row>
    <row r="1473" spans="1:21" x14ac:dyDescent="0.25">
      <c r="A1473" t="s">
        <v>3889</v>
      </c>
      <c r="B1473" t="s">
        <v>904</v>
      </c>
      <c r="C1473" t="s">
        <v>1079</v>
      </c>
      <c r="D1473" t="s">
        <v>24</v>
      </c>
      <c r="E1473" t="s">
        <v>2010</v>
      </c>
      <c r="F1473" t="s">
        <v>2011</v>
      </c>
      <c r="G1473" t="s">
        <v>2271</v>
      </c>
      <c r="H1473" s="20">
        <v>46250</v>
      </c>
      <c r="I1473">
        <v>1800</v>
      </c>
      <c r="J1473">
        <v>53</v>
      </c>
      <c r="K1473">
        <v>44</v>
      </c>
      <c r="L1473">
        <v>33</v>
      </c>
      <c r="P1473" t="s">
        <v>2272</v>
      </c>
      <c r="R1473" t="s">
        <v>2273</v>
      </c>
      <c r="S1473">
        <v>4</v>
      </c>
      <c r="T1473" t="s">
        <v>2274</v>
      </c>
      <c r="U1473" t="s">
        <v>2275</v>
      </c>
    </row>
    <row r="1474" spans="1:21" x14ac:dyDescent="0.25">
      <c r="A1474" t="s">
        <v>3890</v>
      </c>
      <c r="B1474" t="s">
        <v>904</v>
      </c>
      <c r="C1474" t="s">
        <v>1079</v>
      </c>
      <c r="D1474" t="s">
        <v>24</v>
      </c>
      <c r="E1474" t="s">
        <v>2012</v>
      </c>
      <c r="F1474" t="s">
        <v>443</v>
      </c>
      <c r="G1474" t="s">
        <v>2271</v>
      </c>
      <c r="H1474" s="20">
        <v>46250</v>
      </c>
      <c r="I1474">
        <v>1800</v>
      </c>
      <c r="J1474">
        <v>53</v>
      </c>
      <c r="K1474">
        <v>44</v>
      </c>
      <c r="L1474">
        <v>33</v>
      </c>
      <c r="P1474" t="s">
        <v>2272</v>
      </c>
      <c r="R1474" t="s">
        <v>2273</v>
      </c>
      <c r="S1474">
        <v>4</v>
      </c>
      <c r="T1474" t="s">
        <v>2274</v>
      </c>
      <c r="U1474" t="s">
        <v>2275</v>
      </c>
    </row>
    <row r="1475" spans="1:21" x14ac:dyDescent="0.25">
      <c r="A1475" t="s">
        <v>3891</v>
      </c>
      <c r="B1475" t="s">
        <v>904</v>
      </c>
      <c r="C1475" t="s">
        <v>1079</v>
      </c>
      <c r="D1475" t="s">
        <v>24</v>
      </c>
      <c r="E1475" t="s">
        <v>1952</v>
      </c>
      <c r="F1475" t="s">
        <v>1560</v>
      </c>
      <c r="G1475" t="s">
        <v>2271</v>
      </c>
      <c r="H1475" s="20">
        <v>46250</v>
      </c>
      <c r="I1475">
        <v>1800</v>
      </c>
      <c r="J1475">
        <v>53</v>
      </c>
      <c r="K1475">
        <v>44</v>
      </c>
      <c r="L1475">
        <v>33</v>
      </c>
      <c r="P1475" t="s">
        <v>2272</v>
      </c>
      <c r="R1475" t="s">
        <v>2273</v>
      </c>
      <c r="S1475">
        <v>4</v>
      </c>
      <c r="T1475" t="s">
        <v>2274</v>
      </c>
      <c r="U1475" t="s">
        <v>2275</v>
      </c>
    </row>
    <row r="1476" spans="1:21" x14ac:dyDescent="0.25">
      <c r="A1476" t="s">
        <v>3892</v>
      </c>
      <c r="B1476" t="s">
        <v>904</v>
      </c>
      <c r="C1476" t="s">
        <v>1079</v>
      </c>
      <c r="D1476" t="s">
        <v>24</v>
      </c>
      <c r="E1476" t="s">
        <v>1222</v>
      </c>
      <c r="F1476" t="s">
        <v>388</v>
      </c>
      <c r="G1476" t="s">
        <v>2271</v>
      </c>
      <c r="H1476" s="20">
        <v>46250</v>
      </c>
      <c r="I1476">
        <v>1800</v>
      </c>
      <c r="J1476">
        <v>53</v>
      </c>
      <c r="K1476">
        <v>44</v>
      </c>
      <c r="L1476">
        <v>33</v>
      </c>
      <c r="P1476" t="s">
        <v>2272</v>
      </c>
      <c r="R1476" t="s">
        <v>2273</v>
      </c>
      <c r="S1476">
        <v>4</v>
      </c>
      <c r="T1476" t="s">
        <v>2274</v>
      </c>
      <c r="U1476" t="s">
        <v>2275</v>
      </c>
    </row>
    <row r="1477" spans="1:21" x14ac:dyDescent="0.25">
      <c r="A1477" t="s">
        <v>3893</v>
      </c>
      <c r="B1477" t="s">
        <v>904</v>
      </c>
      <c r="C1477" t="s">
        <v>1079</v>
      </c>
      <c r="D1477" t="s">
        <v>24</v>
      </c>
      <c r="E1477" t="s">
        <v>2013</v>
      </c>
      <c r="F1477" t="s">
        <v>172</v>
      </c>
      <c r="G1477" t="s">
        <v>2271</v>
      </c>
      <c r="H1477" s="20">
        <v>46250</v>
      </c>
      <c r="I1477">
        <v>1800</v>
      </c>
      <c r="J1477">
        <v>53</v>
      </c>
      <c r="K1477">
        <v>44</v>
      </c>
      <c r="L1477">
        <v>33</v>
      </c>
      <c r="P1477" t="s">
        <v>2272</v>
      </c>
      <c r="R1477" t="s">
        <v>2273</v>
      </c>
      <c r="S1477">
        <v>4</v>
      </c>
      <c r="T1477" t="s">
        <v>2274</v>
      </c>
      <c r="U1477" t="s">
        <v>2275</v>
      </c>
    </row>
    <row r="1478" spans="1:21" x14ac:dyDescent="0.25">
      <c r="A1478" t="s">
        <v>3894</v>
      </c>
      <c r="B1478" t="s">
        <v>904</v>
      </c>
      <c r="C1478" t="s">
        <v>1079</v>
      </c>
      <c r="D1478" t="s">
        <v>24</v>
      </c>
      <c r="E1478" t="s">
        <v>2014</v>
      </c>
      <c r="F1478" t="s">
        <v>537</v>
      </c>
      <c r="G1478" t="s">
        <v>2271</v>
      </c>
      <c r="H1478" s="20">
        <v>46250</v>
      </c>
      <c r="I1478">
        <v>1800</v>
      </c>
      <c r="J1478">
        <v>53</v>
      </c>
      <c r="K1478">
        <v>44</v>
      </c>
      <c r="L1478">
        <v>33</v>
      </c>
      <c r="P1478" t="s">
        <v>2272</v>
      </c>
      <c r="R1478" t="s">
        <v>2273</v>
      </c>
      <c r="S1478">
        <v>4</v>
      </c>
      <c r="T1478" t="s">
        <v>2274</v>
      </c>
      <c r="U1478" t="s">
        <v>2275</v>
      </c>
    </row>
    <row r="1479" spans="1:21" x14ac:dyDescent="0.25">
      <c r="A1479" t="s">
        <v>3895</v>
      </c>
      <c r="B1479" t="s">
        <v>904</v>
      </c>
      <c r="C1479" t="s">
        <v>1079</v>
      </c>
      <c r="D1479" t="s">
        <v>24</v>
      </c>
      <c r="E1479" t="s">
        <v>1579</v>
      </c>
      <c r="F1479" t="s">
        <v>60</v>
      </c>
      <c r="G1479" t="s">
        <v>2271</v>
      </c>
      <c r="H1479" s="20">
        <v>46250</v>
      </c>
      <c r="I1479">
        <v>1800</v>
      </c>
      <c r="J1479">
        <v>53</v>
      </c>
      <c r="K1479">
        <v>44</v>
      </c>
      <c r="L1479">
        <v>33</v>
      </c>
      <c r="P1479" t="s">
        <v>2272</v>
      </c>
      <c r="R1479" t="s">
        <v>2273</v>
      </c>
      <c r="S1479">
        <v>4</v>
      </c>
      <c r="T1479" t="s">
        <v>2274</v>
      </c>
      <c r="U1479" t="s">
        <v>2275</v>
      </c>
    </row>
    <row r="1480" spans="1:21" x14ac:dyDescent="0.25">
      <c r="A1480" t="s">
        <v>3896</v>
      </c>
      <c r="B1480" t="s">
        <v>904</v>
      </c>
      <c r="C1480" t="s">
        <v>1079</v>
      </c>
      <c r="D1480" t="s">
        <v>24</v>
      </c>
      <c r="E1480" t="s">
        <v>2015</v>
      </c>
      <c r="F1480" t="s">
        <v>392</v>
      </c>
      <c r="G1480" t="s">
        <v>2271</v>
      </c>
      <c r="H1480" s="20">
        <v>46250</v>
      </c>
      <c r="I1480">
        <v>1800</v>
      </c>
      <c r="J1480">
        <v>53</v>
      </c>
      <c r="K1480">
        <v>44</v>
      </c>
      <c r="L1480">
        <v>33</v>
      </c>
      <c r="P1480" t="s">
        <v>2272</v>
      </c>
      <c r="R1480" t="s">
        <v>2273</v>
      </c>
      <c r="S1480">
        <v>4</v>
      </c>
      <c r="T1480" t="s">
        <v>2274</v>
      </c>
      <c r="U1480" t="s">
        <v>2275</v>
      </c>
    </row>
    <row r="1481" spans="1:21" x14ac:dyDescent="0.25">
      <c r="A1481" t="s">
        <v>3897</v>
      </c>
      <c r="B1481" t="s">
        <v>1079</v>
      </c>
      <c r="C1481" t="s">
        <v>2</v>
      </c>
      <c r="D1481" t="s">
        <v>24</v>
      </c>
      <c r="E1481" t="s">
        <v>2017</v>
      </c>
      <c r="F1481" t="s">
        <v>269</v>
      </c>
      <c r="G1481" t="s">
        <v>2271</v>
      </c>
      <c r="H1481" s="20">
        <v>46250</v>
      </c>
      <c r="I1481">
        <v>1800</v>
      </c>
      <c r="J1481">
        <v>52</v>
      </c>
      <c r="K1481">
        <v>47</v>
      </c>
      <c r="L1481">
        <v>44</v>
      </c>
      <c r="P1481" t="s">
        <v>2272</v>
      </c>
      <c r="Q1481" t="s">
        <v>3898</v>
      </c>
      <c r="R1481" t="s">
        <v>2423</v>
      </c>
      <c r="S1481">
        <v>4</v>
      </c>
      <c r="T1481" t="s">
        <v>2274</v>
      </c>
      <c r="U1481" t="s">
        <v>2275</v>
      </c>
    </row>
    <row r="1482" spans="1:21" x14ac:dyDescent="0.25">
      <c r="A1482" t="s">
        <v>3899</v>
      </c>
      <c r="B1482" t="s">
        <v>1079</v>
      </c>
      <c r="C1482" t="s">
        <v>2</v>
      </c>
      <c r="D1482" t="s">
        <v>24</v>
      </c>
      <c r="E1482" t="s">
        <v>2018</v>
      </c>
      <c r="F1482" t="s">
        <v>1405</v>
      </c>
      <c r="G1482" t="s">
        <v>2271</v>
      </c>
      <c r="H1482" s="20">
        <v>46250</v>
      </c>
      <c r="I1482">
        <v>1800</v>
      </c>
      <c r="J1482">
        <v>52</v>
      </c>
      <c r="K1482">
        <v>47</v>
      </c>
      <c r="L1482">
        <v>44</v>
      </c>
      <c r="P1482" t="s">
        <v>2272</v>
      </c>
      <c r="Q1482" t="s">
        <v>3898</v>
      </c>
      <c r="R1482" t="s">
        <v>2423</v>
      </c>
      <c r="S1482">
        <v>4</v>
      </c>
      <c r="T1482" t="s">
        <v>2274</v>
      </c>
      <c r="U1482" t="s">
        <v>2275</v>
      </c>
    </row>
    <row r="1483" spans="1:21" x14ac:dyDescent="0.25">
      <c r="A1483" t="s">
        <v>3900</v>
      </c>
      <c r="B1483" t="s">
        <v>1079</v>
      </c>
      <c r="C1483" t="s">
        <v>2</v>
      </c>
      <c r="D1483" t="s">
        <v>24</v>
      </c>
      <c r="E1483" t="s">
        <v>2019</v>
      </c>
      <c r="F1483" t="s">
        <v>291</v>
      </c>
      <c r="G1483" t="s">
        <v>2271</v>
      </c>
      <c r="H1483" s="20">
        <v>46250</v>
      </c>
      <c r="I1483">
        <v>1800</v>
      </c>
      <c r="J1483">
        <v>52</v>
      </c>
      <c r="K1483">
        <v>47</v>
      </c>
      <c r="L1483">
        <v>44</v>
      </c>
      <c r="P1483" t="s">
        <v>2272</v>
      </c>
      <c r="Q1483" t="s">
        <v>3898</v>
      </c>
      <c r="R1483" t="s">
        <v>2423</v>
      </c>
      <c r="S1483">
        <v>4</v>
      </c>
      <c r="T1483" t="s">
        <v>2274</v>
      </c>
      <c r="U1483" t="s">
        <v>2275</v>
      </c>
    </row>
    <row r="1484" spans="1:21" x14ac:dyDescent="0.25">
      <c r="A1484" t="s">
        <v>3901</v>
      </c>
      <c r="B1484" t="s">
        <v>1079</v>
      </c>
      <c r="C1484" t="s">
        <v>2</v>
      </c>
      <c r="D1484" t="s">
        <v>24</v>
      </c>
      <c r="E1484" t="s">
        <v>2020</v>
      </c>
      <c r="F1484" t="s">
        <v>1174</v>
      </c>
      <c r="G1484" t="s">
        <v>2425</v>
      </c>
      <c r="H1484" s="20">
        <v>46250</v>
      </c>
      <c r="I1484">
        <v>1800</v>
      </c>
      <c r="J1484">
        <v>52</v>
      </c>
      <c r="K1484">
        <v>47</v>
      </c>
      <c r="L1484">
        <v>20</v>
      </c>
      <c r="P1484" t="s">
        <v>2272</v>
      </c>
      <c r="Q1484" t="s">
        <v>3902</v>
      </c>
      <c r="R1484" t="s">
        <v>2423</v>
      </c>
      <c r="S1484">
        <v>4</v>
      </c>
      <c r="T1484" t="s">
        <v>2274</v>
      </c>
      <c r="U1484" t="s">
        <v>2275</v>
      </c>
    </row>
    <row r="1485" spans="1:21" x14ac:dyDescent="0.25">
      <c r="A1485" t="s">
        <v>3903</v>
      </c>
      <c r="B1485" t="s">
        <v>1079</v>
      </c>
      <c r="C1485" t="s">
        <v>2</v>
      </c>
      <c r="D1485" t="s">
        <v>26</v>
      </c>
      <c r="E1485" t="s">
        <v>2021</v>
      </c>
      <c r="F1485" t="s">
        <v>49</v>
      </c>
      <c r="H1485" s="20"/>
      <c r="P1485" t="s">
        <v>2291</v>
      </c>
      <c r="R1485" t="s">
        <v>2292</v>
      </c>
    </row>
    <row r="1486" spans="1:21" x14ac:dyDescent="0.25">
      <c r="A1486" t="s">
        <v>3904</v>
      </c>
      <c r="B1486" t="s">
        <v>1079</v>
      </c>
      <c r="C1486" t="s">
        <v>2</v>
      </c>
      <c r="D1486" t="s">
        <v>26</v>
      </c>
      <c r="E1486" t="s">
        <v>2022</v>
      </c>
      <c r="F1486" t="s">
        <v>1947</v>
      </c>
      <c r="H1486" s="20"/>
      <c r="P1486" t="s">
        <v>2291</v>
      </c>
      <c r="R1486" t="s">
        <v>2292</v>
      </c>
    </row>
    <row r="1487" spans="1:21" x14ac:dyDescent="0.25">
      <c r="A1487" t="s">
        <v>3905</v>
      </c>
      <c r="B1487" t="s">
        <v>1079</v>
      </c>
      <c r="C1487" t="s">
        <v>154</v>
      </c>
      <c r="D1487" t="s">
        <v>24</v>
      </c>
      <c r="E1487" t="s">
        <v>2024</v>
      </c>
      <c r="F1487" t="s">
        <v>1157</v>
      </c>
      <c r="G1487" t="s">
        <v>2425</v>
      </c>
      <c r="H1487" s="20">
        <v>46250</v>
      </c>
      <c r="I1487">
        <v>1800</v>
      </c>
      <c r="J1487">
        <v>68</v>
      </c>
      <c r="K1487">
        <v>46</v>
      </c>
      <c r="L1487">
        <v>18</v>
      </c>
      <c r="P1487" t="s">
        <v>2272</v>
      </c>
      <c r="Q1487" t="s">
        <v>3906</v>
      </c>
      <c r="R1487" t="s">
        <v>2472</v>
      </c>
      <c r="S1487">
        <v>4</v>
      </c>
      <c r="T1487" t="s">
        <v>2274</v>
      </c>
      <c r="U1487" t="s">
        <v>2275</v>
      </c>
    </row>
    <row r="1488" spans="1:21" x14ac:dyDescent="0.25">
      <c r="A1488" t="s">
        <v>3907</v>
      </c>
      <c r="B1488" t="s">
        <v>1079</v>
      </c>
      <c r="C1488" t="s">
        <v>154</v>
      </c>
      <c r="D1488" t="s">
        <v>24</v>
      </c>
      <c r="E1488" t="s">
        <v>2025</v>
      </c>
      <c r="F1488" t="s">
        <v>1784</v>
      </c>
      <c r="G1488" t="s">
        <v>2271</v>
      </c>
      <c r="H1488" s="20">
        <v>46250</v>
      </c>
      <c r="I1488">
        <v>1800</v>
      </c>
      <c r="J1488">
        <v>70</v>
      </c>
      <c r="K1488">
        <v>53</v>
      </c>
      <c r="L1488">
        <v>47</v>
      </c>
      <c r="M1488">
        <v>40</v>
      </c>
      <c r="P1488" t="s">
        <v>2272</v>
      </c>
      <c r="Q1488" t="s">
        <v>3908</v>
      </c>
      <c r="R1488" t="s">
        <v>2446</v>
      </c>
      <c r="S1488">
        <v>4</v>
      </c>
      <c r="T1488" t="s">
        <v>2274</v>
      </c>
      <c r="U1488" t="s">
        <v>2275</v>
      </c>
    </row>
    <row r="1489" spans="1:21" x14ac:dyDescent="0.25">
      <c r="A1489" t="s">
        <v>3909</v>
      </c>
      <c r="B1489" t="s">
        <v>1079</v>
      </c>
      <c r="C1489" t="s">
        <v>154</v>
      </c>
      <c r="D1489" t="s">
        <v>24</v>
      </c>
      <c r="E1489" t="s">
        <v>2026</v>
      </c>
      <c r="F1489" t="s">
        <v>395</v>
      </c>
      <c r="G1489" t="s">
        <v>2271</v>
      </c>
      <c r="H1489" s="20">
        <v>46250</v>
      </c>
      <c r="I1489">
        <v>1800</v>
      </c>
      <c r="J1489">
        <v>70</v>
      </c>
      <c r="K1489">
        <v>53</v>
      </c>
      <c r="L1489">
        <v>47</v>
      </c>
      <c r="M1489">
        <v>40</v>
      </c>
      <c r="P1489" t="s">
        <v>2272</v>
      </c>
      <c r="Q1489" t="s">
        <v>3908</v>
      </c>
      <c r="R1489" t="s">
        <v>2446</v>
      </c>
      <c r="S1489">
        <v>4</v>
      </c>
      <c r="T1489" t="s">
        <v>2274</v>
      </c>
      <c r="U1489" t="s">
        <v>2275</v>
      </c>
    </row>
    <row r="1490" spans="1:21" x14ac:dyDescent="0.25">
      <c r="A1490" t="s">
        <v>3910</v>
      </c>
      <c r="B1490" t="s">
        <v>1079</v>
      </c>
      <c r="C1490" t="s">
        <v>154</v>
      </c>
      <c r="D1490" t="s">
        <v>24</v>
      </c>
      <c r="E1490" t="s">
        <v>2026</v>
      </c>
      <c r="F1490" t="s">
        <v>716</v>
      </c>
      <c r="G1490" t="s">
        <v>2271</v>
      </c>
      <c r="H1490" s="20">
        <v>46250</v>
      </c>
      <c r="I1490">
        <v>1800</v>
      </c>
      <c r="J1490">
        <v>70</v>
      </c>
      <c r="K1490">
        <v>53</v>
      </c>
      <c r="L1490">
        <v>47</v>
      </c>
      <c r="M1490">
        <v>40</v>
      </c>
      <c r="P1490" t="s">
        <v>2272</v>
      </c>
      <c r="Q1490" t="s">
        <v>3908</v>
      </c>
      <c r="R1490" t="s">
        <v>2446</v>
      </c>
      <c r="S1490">
        <v>4</v>
      </c>
      <c r="T1490" t="s">
        <v>2274</v>
      </c>
      <c r="U1490" t="s">
        <v>2275</v>
      </c>
    </row>
    <row r="1491" spans="1:21" x14ac:dyDescent="0.25">
      <c r="A1491" t="s">
        <v>3911</v>
      </c>
      <c r="B1491" t="s">
        <v>1079</v>
      </c>
      <c r="C1491" t="s">
        <v>154</v>
      </c>
      <c r="D1491" t="s">
        <v>24</v>
      </c>
      <c r="E1491" t="s">
        <v>2027</v>
      </c>
      <c r="F1491" t="s">
        <v>676</v>
      </c>
      <c r="G1491" t="s">
        <v>2425</v>
      </c>
      <c r="H1491" s="20">
        <v>46250</v>
      </c>
      <c r="I1491">
        <v>1800</v>
      </c>
      <c r="J1491">
        <v>68</v>
      </c>
      <c r="K1491">
        <v>46</v>
      </c>
      <c r="L1491">
        <v>18</v>
      </c>
      <c r="P1491" t="s">
        <v>2272</v>
      </c>
      <c r="Q1491" t="s">
        <v>3906</v>
      </c>
      <c r="R1491" t="s">
        <v>2472</v>
      </c>
      <c r="S1491">
        <v>4</v>
      </c>
      <c r="T1491" t="s">
        <v>2274</v>
      </c>
      <c r="U1491" t="s">
        <v>2275</v>
      </c>
    </row>
    <row r="1492" spans="1:21" x14ac:dyDescent="0.25">
      <c r="A1492" t="s">
        <v>3912</v>
      </c>
      <c r="B1492" t="s">
        <v>1079</v>
      </c>
      <c r="C1492" t="s">
        <v>154</v>
      </c>
      <c r="D1492" t="s">
        <v>24</v>
      </c>
      <c r="E1492" t="s">
        <v>2028</v>
      </c>
      <c r="F1492" t="s">
        <v>56</v>
      </c>
      <c r="G1492" t="s">
        <v>2425</v>
      </c>
      <c r="H1492" s="20">
        <v>46250</v>
      </c>
      <c r="I1492">
        <v>1800</v>
      </c>
      <c r="J1492">
        <v>68</v>
      </c>
      <c r="K1492">
        <v>46</v>
      </c>
      <c r="L1492">
        <v>18</v>
      </c>
      <c r="P1492" t="s">
        <v>2272</v>
      </c>
      <c r="Q1492" t="s">
        <v>3906</v>
      </c>
      <c r="R1492" t="s">
        <v>2472</v>
      </c>
      <c r="S1492">
        <v>4</v>
      </c>
      <c r="T1492" t="s">
        <v>2274</v>
      </c>
      <c r="U1492" t="s">
        <v>2275</v>
      </c>
    </row>
    <row r="1493" spans="1:21" x14ac:dyDescent="0.25">
      <c r="A1493" t="s">
        <v>3913</v>
      </c>
      <c r="B1493" t="s">
        <v>1079</v>
      </c>
      <c r="C1493" t="s">
        <v>154</v>
      </c>
      <c r="D1493" t="s">
        <v>24</v>
      </c>
      <c r="E1493" t="s">
        <v>2029</v>
      </c>
      <c r="F1493" t="s">
        <v>172</v>
      </c>
      <c r="G1493" t="s">
        <v>2425</v>
      </c>
      <c r="H1493" s="20">
        <v>46250</v>
      </c>
      <c r="I1493">
        <v>1800</v>
      </c>
      <c r="J1493">
        <v>68</v>
      </c>
      <c r="K1493">
        <v>46</v>
      </c>
      <c r="L1493">
        <v>18</v>
      </c>
      <c r="P1493" t="s">
        <v>2272</v>
      </c>
      <c r="Q1493" t="s">
        <v>3906</v>
      </c>
      <c r="R1493" t="s">
        <v>2472</v>
      </c>
      <c r="S1493">
        <v>4</v>
      </c>
      <c r="T1493" t="s">
        <v>2274</v>
      </c>
      <c r="U1493" t="s">
        <v>2275</v>
      </c>
    </row>
    <row r="1494" spans="1:21" x14ac:dyDescent="0.25">
      <c r="A1494" t="s">
        <v>3914</v>
      </c>
      <c r="B1494" t="s">
        <v>1079</v>
      </c>
      <c r="C1494" t="s">
        <v>154</v>
      </c>
      <c r="D1494" t="s">
        <v>24</v>
      </c>
      <c r="E1494" t="s">
        <v>2030</v>
      </c>
      <c r="F1494" t="s">
        <v>225</v>
      </c>
      <c r="G1494" t="s">
        <v>2425</v>
      </c>
      <c r="H1494" s="20">
        <v>46250</v>
      </c>
      <c r="I1494">
        <v>1800</v>
      </c>
      <c r="J1494">
        <v>68</v>
      </c>
      <c r="K1494">
        <v>46</v>
      </c>
      <c r="L1494">
        <v>18</v>
      </c>
      <c r="P1494" t="s">
        <v>2272</v>
      </c>
      <c r="Q1494" t="s">
        <v>3906</v>
      </c>
      <c r="R1494" t="s">
        <v>2472</v>
      </c>
      <c r="S1494">
        <v>4</v>
      </c>
      <c r="T1494" t="s">
        <v>2274</v>
      </c>
      <c r="U1494" t="s">
        <v>2275</v>
      </c>
    </row>
    <row r="1495" spans="1:21" x14ac:dyDescent="0.25">
      <c r="A1495" t="s">
        <v>3915</v>
      </c>
      <c r="B1495" t="s">
        <v>1079</v>
      </c>
      <c r="C1495" t="s">
        <v>154</v>
      </c>
      <c r="D1495" t="s">
        <v>24</v>
      </c>
      <c r="E1495" t="s">
        <v>2031</v>
      </c>
      <c r="F1495" t="s">
        <v>182</v>
      </c>
      <c r="G1495" t="s">
        <v>2425</v>
      </c>
      <c r="H1495" s="20">
        <v>46250</v>
      </c>
      <c r="I1495">
        <v>1800</v>
      </c>
      <c r="J1495">
        <v>68</v>
      </c>
      <c r="K1495">
        <v>46</v>
      </c>
      <c r="L1495">
        <v>18</v>
      </c>
      <c r="P1495" t="s">
        <v>2272</v>
      </c>
      <c r="Q1495" t="s">
        <v>3906</v>
      </c>
      <c r="R1495" t="s">
        <v>2472</v>
      </c>
      <c r="S1495">
        <v>4</v>
      </c>
      <c r="T1495" t="s">
        <v>2274</v>
      </c>
      <c r="U1495" t="s">
        <v>2275</v>
      </c>
    </row>
    <row r="1496" spans="1:21" x14ac:dyDescent="0.25">
      <c r="A1496" t="s">
        <v>3916</v>
      </c>
      <c r="B1496" t="s">
        <v>1079</v>
      </c>
      <c r="C1496" t="s">
        <v>154</v>
      </c>
      <c r="D1496" t="s">
        <v>24</v>
      </c>
      <c r="E1496" t="s">
        <v>2032</v>
      </c>
      <c r="F1496" t="s">
        <v>108</v>
      </c>
      <c r="G1496" t="s">
        <v>2425</v>
      </c>
      <c r="H1496" s="20">
        <v>46250</v>
      </c>
      <c r="I1496">
        <v>1800</v>
      </c>
      <c r="J1496">
        <v>68</v>
      </c>
      <c r="K1496">
        <v>46</v>
      </c>
      <c r="L1496">
        <v>18</v>
      </c>
      <c r="P1496" t="s">
        <v>2272</v>
      </c>
      <c r="Q1496" t="s">
        <v>3906</v>
      </c>
      <c r="R1496" t="s">
        <v>2472</v>
      </c>
      <c r="S1496">
        <v>4</v>
      </c>
      <c r="T1496" t="s">
        <v>2274</v>
      </c>
      <c r="U1496" t="s">
        <v>2275</v>
      </c>
    </row>
    <row r="1497" spans="1:21" x14ac:dyDescent="0.25">
      <c r="A1497" t="s">
        <v>3917</v>
      </c>
      <c r="B1497" t="s">
        <v>1079</v>
      </c>
      <c r="C1497" t="s">
        <v>154</v>
      </c>
      <c r="D1497" t="s">
        <v>24</v>
      </c>
      <c r="E1497" t="s">
        <v>2033</v>
      </c>
      <c r="F1497" t="s">
        <v>1217</v>
      </c>
      <c r="G1497" t="s">
        <v>2425</v>
      </c>
      <c r="H1497" s="20">
        <v>46250</v>
      </c>
      <c r="I1497">
        <v>1800</v>
      </c>
      <c r="J1497">
        <v>68</v>
      </c>
      <c r="K1497">
        <v>46</v>
      </c>
      <c r="L1497">
        <v>18</v>
      </c>
      <c r="P1497" t="s">
        <v>2272</v>
      </c>
      <c r="Q1497" t="s">
        <v>3906</v>
      </c>
      <c r="R1497" t="s">
        <v>2472</v>
      </c>
      <c r="S1497">
        <v>4</v>
      </c>
      <c r="T1497" t="s">
        <v>2274</v>
      </c>
      <c r="U1497" t="s">
        <v>2275</v>
      </c>
    </row>
    <row r="1498" spans="1:21" x14ac:dyDescent="0.25">
      <c r="A1498" t="s">
        <v>3918</v>
      </c>
      <c r="B1498" t="s">
        <v>1079</v>
      </c>
      <c r="C1498" t="s">
        <v>154</v>
      </c>
      <c r="D1498" t="s">
        <v>24</v>
      </c>
      <c r="E1498" t="s">
        <v>2034</v>
      </c>
      <c r="F1498" t="s">
        <v>1914</v>
      </c>
      <c r="G1498" t="s">
        <v>2425</v>
      </c>
      <c r="H1498" s="20">
        <v>46250</v>
      </c>
      <c r="I1498">
        <v>1800</v>
      </c>
      <c r="J1498">
        <v>68</v>
      </c>
      <c r="K1498">
        <v>46</v>
      </c>
      <c r="L1498">
        <v>18</v>
      </c>
      <c r="P1498" t="s">
        <v>2272</v>
      </c>
      <c r="Q1498" t="s">
        <v>3906</v>
      </c>
      <c r="R1498" t="s">
        <v>2472</v>
      </c>
      <c r="S1498">
        <v>4</v>
      </c>
      <c r="T1498" t="s">
        <v>2274</v>
      </c>
      <c r="U1498" t="s">
        <v>2275</v>
      </c>
    </row>
    <row r="1499" spans="1:21" x14ac:dyDescent="0.25">
      <c r="A1499" t="s">
        <v>3919</v>
      </c>
      <c r="B1499" t="s">
        <v>1079</v>
      </c>
      <c r="C1499" t="s">
        <v>154</v>
      </c>
      <c r="D1499" t="s">
        <v>26</v>
      </c>
      <c r="E1499" t="s">
        <v>2035</v>
      </c>
      <c r="F1499" t="s">
        <v>422</v>
      </c>
      <c r="H1499" s="20"/>
      <c r="P1499" t="s">
        <v>2291</v>
      </c>
      <c r="R1499" t="s">
        <v>2292</v>
      </c>
    </row>
    <row r="1500" spans="1:21" x14ac:dyDescent="0.25">
      <c r="A1500" t="s">
        <v>3920</v>
      </c>
      <c r="B1500" t="s">
        <v>1079</v>
      </c>
      <c r="C1500" t="s">
        <v>154</v>
      </c>
      <c r="D1500" t="s">
        <v>26</v>
      </c>
      <c r="E1500" t="s">
        <v>2036</v>
      </c>
      <c r="F1500" t="s">
        <v>1319</v>
      </c>
      <c r="H1500" s="20"/>
      <c r="P1500" t="s">
        <v>2291</v>
      </c>
      <c r="R1500" t="s">
        <v>2292</v>
      </c>
    </row>
    <row r="1501" spans="1:21" x14ac:dyDescent="0.25">
      <c r="A1501" t="s">
        <v>3921</v>
      </c>
      <c r="B1501" t="s">
        <v>1079</v>
      </c>
      <c r="C1501" t="s">
        <v>154</v>
      </c>
      <c r="D1501" t="s">
        <v>26</v>
      </c>
      <c r="E1501" t="s">
        <v>2036</v>
      </c>
      <c r="F1501" t="s">
        <v>208</v>
      </c>
      <c r="H1501" s="20"/>
      <c r="P1501" t="s">
        <v>2291</v>
      </c>
      <c r="R1501" t="s">
        <v>2292</v>
      </c>
    </row>
    <row r="1502" spans="1:21" x14ac:dyDescent="0.25">
      <c r="A1502" t="s">
        <v>3922</v>
      </c>
      <c r="B1502" t="s">
        <v>1079</v>
      </c>
      <c r="C1502" t="s">
        <v>154</v>
      </c>
      <c r="D1502" t="s">
        <v>26</v>
      </c>
      <c r="E1502" t="s">
        <v>2037</v>
      </c>
      <c r="F1502" t="s">
        <v>376</v>
      </c>
      <c r="H1502" s="20"/>
      <c r="P1502" t="s">
        <v>2291</v>
      </c>
      <c r="R1502" t="s">
        <v>2292</v>
      </c>
    </row>
    <row r="1503" spans="1:21" x14ac:dyDescent="0.25">
      <c r="A1503" t="s">
        <v>3923</v>
      </c>
      <c r="B1503" t="s">
        <v>1079</v>
      </c>
      <c r="C1503" t="s">
        <v>154</v>
      </c>
      <c r="D1503" t="s">
        <v>26</v>
      </c>
      <c r="E1503" t="s">
        <v>2038</v>
      </c>
      <c r="F1503" t="s">
        <v>426</v>
      </c>
      <c r="H1503" s="20"/>
      <c r="P1503" t="s">
        <v>2291</v>
      </c>
      <c r="R1503" t="s">
        <v>2292</v>
      </c>
    </row>
    <row r="1504" spans="1:21" x14ac:dyDescent="0.25">
      <c r="A1504" t="s">
        <v>3924</v>
      </c>
      <c r="B1504" t="s">
        <v>1079</v>
      </c>
      <c r="C1504" t="s">
        <v>154</v>
      </c>
      <c r="D1504" t="s">
        <v>26</v>
      </c>
      <c r="E1504" t="s">
        <v>2039</v>
      </c>
      <c r="F1504" t="s">
        <v>402</v>
      </c>
      <c r="H1504" s="20"/>
      <c r="P1504" t="s">
        <v>2291</v>
      </c>
      <c r="R1504" t="s">
        <v>2292</v>
      </c>
    </row>
    <row r="1505" spans="1:21" x14ac:dyDescent="0.25">
      <c r="A1505" t="s">
        <v>3925</v>
      </c>
      <c r="B1505" t="s">
        <v>1079</v>
      </c>
      <c r="C1505" t="s">
        <v>154</v>
      </c>
      <c r="D1505" t="s">
        <v>21</v>
      </c>
      <c r="E1505" t="s">
        <v>2040</v>
      </c>
      <c r="F1505" t="s">
        <v>1185</v>
      </c>
      <c r="G1505" t="s">
        <v>2271</v>
      </c>
      <c r="H1505" s="20">
        <v>46254</v>
      </c>
      <c r="I1505">
        <v>1500</v>
      </c>
      <c r="J1505">
        <v>45</v>
      </c>
      <c r="K1505">
        <v>28</v>
      </c>
      <c r="L1505">
        <v>14</v>
      </c>
      <c r="P1505" t="s">
        <v>2272</v>
      </c>
      <c r="R1505" t="s">
        <v>2273</v>
      </c>
      <c r="S1505">
        <v>7</v>
      </c>
      <c r="T1505" t="s">
        <v>2612</v>
      </c>
      <c r="U1505" t="s">
        <v>2613</v>
      </c>
    </row>
    <row r="1506" spans="1:21" x14ac:dyDescent="0.25">
      <c r="A1506" t="s">
        <v>3926</v>
      </c>
      <c r="B1506" t="s">
        <v>1079</v>
      </c>
      <c r="C1506" t="s">
        <v>154</v>
      </c>
      <c r="D1506" t="s">
        <v>21</v>
      </c>
      <c r="E1506" t="s">
        <v>2041</v>
      </c>
      <c r="F1506" t="s">
        <v>637</v>
      </c>
      <c r="G1506" t="s">
        <v>2271</v>
      </c>
      <c r="H1506" s="20">
        <v>46254</v>
      </c>
      <c r="I1506">
        <v>1500</v>
      </c>
      <c r="J1506">
        <v>45</v>
      </c>
      <c r="K1506">
        <v>28</v>
      </c>
      <c r="L1506">
        <v>14</v>
      </c>
      <c r="P1506" t="s">
        <v>2272</v>
      </c>
      <c r="R1506" t="s">
        <v>2273</v>
      </c>
      <c r="S1506">
        <v>7</v>
      </c>
      <c r="T1506" t="s">
        <v>2612</v>
      </c>
      <c r="U1506" t="s">
        <v>2613</v>
      </c>
    </row>
    <row r="1507" spans="1:21" x14ac:dyDescent="0.25">
      <c r="A1507" t="s">
        <v>3927</v>
      </c>
      <c r="B1507" t="s">
        <v>1079</v>
      </c>
      <c r="C1507" t="s">
        <v>154</v>
      </c>
      <c r="D1507" t="s">
        <v>21</v>
      </c>
      <c r="E1507" t="s">
        <v>2042</v>
      </c>
      <c r="F1507" t="s">
        <v>711</v>
      </c>
      <c r="G1507" t="s">
        <v>2271</v>
      </c>
      <c r="H1507" s="20">
        <v>46254</v>
      </c>
      <c r="I1507">
        <v>1500</v>
      </c>
      <c r="J1507">
        <v>45</v>
      </c>
      <c r="K1507">
        <v>28</v>
      </c>
      <c r="L1507">
        <v>14</v>
      </c>
      <c r="P1507" t="s">
        <v>2272</v>
      </c>
      <c r="R1507" t="s">
        <v>2273</v>
      </c>
      <c r="S1507">
        <v>7</v>
      </c>
      <c r="T1507" t="s">
        <v>2612</v>
      </c>
      <c r="U1507" t="s">
        <v>2613</v>
      </c>
    </row>
    <row r="1508" spans="1:21" x14ac:dyDescent="0.25">
      <c r="A1508" t="s">
        <v>3928</v>
      </c>
      <c r="B1508" t="s">
        <v>1079</v>
      </c>
      <c r="C1508" t="s">
        <v>154</v>
      </c>
      <c r="D1508" t="s">
        <v>21</v>
      </c>
      <c r="E1508" t="s">
        <v>2043</v>
      </c>
      <c r="F1508" t="s">
        <v>419</v>
      </c>
      <c r="G1508" t="s">
        <v>2271</v>
      </c>
      <c r="H1508" s="20">
        <v>46254</v>
      </c>
      <c r="I1508">
        <v>1500</v>
      </c>
      <c r="J1508">
        <v>45</v>
      </c>
      <c r="K1508">
        <v>28</v>
      </c>
      <c r="L1508">
        <v>14</v>
      </c>
      <c r="P1508" t="s">
        <v>2272</v>
      </c>
      <c r="R1508" t="s">
        <v>2273</v>
      </c>
      <c r="S1508">
        <v>7</v>
      </c>
      <c r="T1508" t="s">
        <v>2612</v>
      </c>
      <c r="U1508" t="s">
        <v>2613</v>
      </c>
    </row>
    <row r="1509" spans="1:21" x14ac:dyDescent="0.25">
      <c r="A1509" t="s">
        <v>3929</v>
      </c>
      <c r="B1509" t="s">
        <v>1079</v>
      </c>
      <c r="C1509" t="s">
        <v>154</v>
      </c>
      <c r="D1509" t="s">
        <v>21</v>
      </c>
      <c r="E1509" t="s">
        <v>2044</v>
      </c>
      <c r="F1509" t="s">
        <v>322</v>
      </c>
      <c r="G1509" t="s">
        <v>2271</v>
      </c>
      <c r="H1509" s="20">
        <v>46254</v>
      </c>
      <c r="I1509">
        <v>1500</v>
      </c>
      <c r="J1509">
        <v>45</v>
      </c>
      <c r="K1509">
        <v>28</v>
      </c>
      <c r="L1509">
        <v>14</v>
      </c>
      <c r="P1509" t="s">
        <v>2272</v>
      </c>
      <c r="R1509" t="s">
        <v>2273</v>
      </c>
      <c r="S1509">
        <v>7</v>
      </c>
      <c r="T1509" t="s">
        <v>2612</v>
      </c>
      <c r="U1509" t="s">
        <v>2613</v>
      </c>
    </row>
    <row r="1510" spans="1:21" x14ac:dyDescent="0.25">
      <c r="A1510" t="s">
        <v>3930</v>
      </c>
      <c r="B1510" t="s">
        <v>1079</v>
      </c>
      <c r="C1510" t="s">
        <v>541</v>
      </c>
      <c r="D1510" t="s">
        <v>24</v>
      </c>
      <c r="E1510" t="s">
        <v>2046</v>
      </c>
      <c r="F1510" t="s">
        <v>374</v>
      </c>
      <c r="G1510" t="s">
        <v>2271</v>
      </c>
      <c r="H1510" s="20">
        <v>46250</v>
      </c>
      <c r="I1510">
        <v>1800</v>
      </c>
      <c r="J1510">
        <v>62</v>
      </c>
      <c r="K1510">
        <v>52</v>
      </c>
      <c r="L1510">
        <v>47</v>
      </c>
      <c r="P1510" t="s">
        <v>2272</v>
      </c>
      <c r="Q1510" t="s">
        <v>3931</v>
      </c>
      <c r="R1510" t="s">
        <v>2446</v>
      </c>
      <c r="S1510">
        <v>4</v>
      </c>
      <c r="T1510" t="s">
        <v>2274</v>
      </c>
      <c r="U1510" t="s">
        <v>2275</v>
      </c>
    </row>
    <row r="1511" spans="1:21" x14ac:dyDescent="0.25">
      <c r="A1511" t="s">
        <v>3932</v>
      </c>
      <c r="B1511" t="s">
        <v>1079</v>
      </c>
      <c r="C1511" t="s">
        <v>541</v>
      </c>
      <c r="D1511" t="s">
        <v>24</v>
      </c>
      <c r="E1511" t="s">
        <v>2047</v>
      </c>
      <c r="F1511" t="s">
        <v>182</v>
      </c>
      <c r="G1511" t="s">
        <v>2425</v>
      </c>
      <c r="H1511" s="20">
        <v>46250</v>
      </c>
      <c r="I1511">
        <v>1800</v>
      </c>
      <c r="J1511">
        <v>60</v>
      </c>
      <c r="K1511">
        <v>45</v>
      </c>
      <c r="L1511">
        <v>25</v>
      </c>
      <c r="M1511">
        <v>22</v>
      </c>
      <c r="P1511" t="s">
        <v>2272</v>
      </c>
      <c r="Q1511" t="s">
        <v>3933</v>
      </c>
      <c r="R1511" t="s">
        <v>2472</v>
      </c>
      <c r="S1511">
        <v>4</v>
      </c>
      <c r="T1511" t="s">
        <v>2274</v>
      </c>
      <c r="U1511" t="s">
        <v>2275</v>
      </c>
    </row>
    <row r="1512" spans="1:21" x14ac:dyDescent="0.25">
      <c r="A1512" t="s">
        <v>3934</v>
      </c>
      <c r="B1512" t="s">
        <v>1079</v>
      </c>
      <c r="C1512" t="s">
        <v>541</v>
      </c>
      <c r="D1512" t="s">
        <v>24</v>
      </c>
      <c r="E1512" t="s">
        <v>2047</v>
      </c>
      <c r="F1512" t="s">
        <v>589</v>
      </c>
      <c r="G1512" t="s">
        <v>2425</v>
      </c>
      <c r="H1512" s="20">
        <v>46250</v>
      </c>
      <c r="I1512">
        <v>1800</v>
      </c>
      <c r="J1512">
        <v>60</v>
      </c>
      <c r="K1512">
        <v>45</v>
      </c>
      <c r="L1512">
        <v>25</v>
      </c>
      <c r="M1512">
        <v>22</v>
      </c>
      <c r="P1512" t="s">
        <v>2272</v>
      </c>
      <c r="Q1512" t="s">
        <v>3933</v>
      </c>
      <c r="R1512" t="s">
        <v>2472</v>
      </c>
      <c r="S1512">
        <v>4</v>
      </c>
      <c r="T1512" t="s">
        <v>2274</v>
      </c>
      <c r="U1512" t="s">
        <v>2275</v>
      </c>
    </row>
    <row r="1513" spans="1:21" x14ac:dyDescent="0.25">
      <c r="A1513" t="s">
        <v>3935</v>
      </c>
      <c r="B1513" t="s">
        <v>1079</v>
      </c>
      <c r="C1513" t="s">
        <v>541</v>
      </c>
      <c r="D1513" t="s">
        <v>24</v>
      </c>
      <c r="E1513" t="s">
        <v>2048</v>
      </c>
      <c r="F1513" t="s">
        <v>1334</v>
      </c>
      <c r="G1513" t="s">
        <v>2425</v>
      </c>
      <c r="H1513" s="20">
        <v>46250</v>
      </c>
      <c r="I1513">
        <v>1800</v>
      </c>
      <c r="J1513">
        <v>60</v>
      </c>
      <c r="K1513">
        <v>45</v>
      </c>
      <c r="L1513">
        <v>25</v>
      </c>
      <c r="M1513">
        <v>22</v>
      </c>
      <c r="P1513" t="s">
        <v>2272</v>
      </c>
      <c r="Q1513" t="s">
        <v>3933</v>
      </c>
      <c r="R1513" t="s">
        <v>2472</v>
      </c>
      <c r="S1513">
        <v>4</v>
      </c>
      <c r="T1513" t="s">
        <v>2274</v>
      </c>
      <c r="U1513" t="s">
        <v>2275</v>
      </c>
    </row>
    <row r="1514" spans="1:21" x14ac:dyDescent="0.25">
      <c r="A1514" t="s">
        <v>3936</v>
      </c>
      <c r="B1514" t="s">
        <v>1079</v>
      </c>
      <c r="C1514" t="s">
        <v>541</v>
      </c>
      <c r="D1514" t="s">
        <v>26</v>
      </c>
      <c r="E1514" t="s">
        <v>2049</v>
      </c>
      <c r="F1514" t="s">
        <v>262</v>
      </c>
      <c r="H1514" s="20"/>
      <c r="P1514" t="s">
        <v>2291</v>
      </c>
      <c r="R1514" t="s">
        <v>2292</v>
      </c>
    </row>
    <row r="1515" spans="1:21" x14ac:dyDescent="0.25">
      <c r="A1515" t="s">
        <v>3937</v>
      </c>
      <c r="B1515" t="s">
        <v>1079</v>
      </c>
      <c r="C1515" t="s">
        <v>4</v>
      </c>
      <c r="D1515" t="s">
        <v>24</v>
      </c>
      <c r="E1515" t="s">
        <v>2051</v>
      </c>
      <c r="F1515" t="s">
        <v>1509</v>
      </c>
      <c r="G1515" t="s">
        <v>2425</v>
      </c>
      <c r="H1515" s="20">
        <v>46250</v>
      </c>
      <c r="I1515">
        <v>1800</v>
      </c>
      <c r="J1515">
        <v>66</v>
      </c>
      <c r="K1515">
        <v>43</v>
      </c>
      <c r="L1515">
        <v>14</v>
      </c>
      <c r="M1515">
        <v>11</v>
      </c>
      <c r="P1515" t="s">
        <v>2272</v>
      </c>
      <c r="Q1515" t="s">
        <v>3938</v>
      </c>
      <c r="R1515" t="s">
        <v>2472</v>
      </c>
      <c r="S1515">
        <v>4</v>
      </c>
      <c r="T1515" t="s">
        <v>2274</v>
      </c>
      <c r="U1515" t="s">
        <v>2275</v>
      </c>
    </row>
    <row r="1516" spans="1:21" x14ac:dyDescent="0.25">
      <c r="A1516" t="s">
        <v>3939</v>
      </c>
      <c r="B1516" t="s">
        <v>1079</v>
      </c>
      <c r="C1516" t="s">
        <v>4</v>
      </c>
      <c r="D1516" t="s">
        <v>24</v>
      </c>
      <c r="E1516" t="s">
        <v>2052</v>
      </c>
      <c r="F1516" t="s">
        <v>2053</v>
      </c>
      <c r="G1516" t="s">
        <v>2425</v>
      </c>
      <c r="H1516" s="20">
        <v>46250</v>
      </c>
      <c r="I1516">
        <v>1800</v>
      </c>
      <c r="J1516">
        <v>66</v>
      </c>
      <c r="K1516">
        <v>43</v>
      </c>
      <c r="L1516">
        <v>14</v>
      </c>
      <c r="M1516">
        <v>11</v>
      </c>
      <c r="P1516" t="s">
        <v>2272</v>
      </c>
      <c r="Q1516" t="s">
        <v>3938</v>
      </c>
      <c r="R1516" t="s">
        <v>2472</v>
      </c>
      <c r="S1516">
        <v>4</v>
      </c>
      <c r="T1516" t="s">
        <v>2274</v>
      </c>
      <c r="U1516" t="s">
        <v>2275</v>
      </c>
    </row>
    <row r="1517" spans="1:21" x14ac:dyDescent="0.25">
      <c r="A1517" t="s">
        <v>3940</v>
      </c>
      <c r="B1517" t="s">
        <v>1079</v>
      </c>
      <c r="C1517" t="s">
        <v>4</v>
      </c>
      <c r="D1517" t="s">
        <v>24</v>
      </c>
      <c r="E1517" t="s">
        <v>2054</v>
      </c>
      <c r="F1517" t="s">
        <v>386</v>
      </c>
      <c r="G1517" t="s">
        <v>2425</v>
      </c>
      <c r="H1517" s="20">
        <v>46250</v>
      </c>
      <c r="I1517">
        <v>1800</v>
      </c>
      <c r="J1517">
        <v>66</v>
      </c>
      <c r="K1517">
        <v>43</v>
      </c>
      <c r="L1517">
        <v>14</v>
      </c>
      <c r="M1517">
        <v>11</v>
      </c>
      <c r="P1517" t="s">
        <v>2272</v>
      </c>
      <c r="Q1517" t="s">
        <v>3938</v>
      </c>
      <c r="R1517" t="s">
        <v>2472</v>
      </c>
      <c r="S1517">
        <v>4</v>
      </c>
      <c r="T1517" t="s">
        <v>2274</v>
      </c>
      <c r="U1517" t="s">
        <v>2275</v>
      </c>
    </row>
    <row r="1518" spans="1:21" x14ac:dyDescent="0.25">
      <c r="A1518" t="s">
        <v>3941</v>
      </c>
      <c r="B1518" t="s">
        <v>1079</v>
      </c>
      <c r="C1518" t="s">
        <v>4</v>
      </c>
      <c r="D1518" t="s">
        <v>24</v>
      </c>
      <c r="E1518" t="s">
        <v>2055</v>
      </c>
      <c r="F1518" t="s">
        <v>386</v>
      </c>
      <c r="G1518" t="s">
        <v>2271</v>
      </c>
      <c r="H1518" s="20">
        <v>46250</v>
      </c>
      <c r="I1518">
        <v>1800</v>
      </c>
      <c r="J1518">
        <v>68</v>
      </c>
      <c r="K1518">
        <v>59</v>
      </c>
      <c r="L1518">
        <v>55</v>
      </c>
      <c r="M1518">
        <v>52</v>
      </c>
      <c r="N1518">
        <v>43</v>
      </c>
      <c r="P1518" t="s">
        <v>2272</v>
      </c>
      <c r="Q1518" t="s">
        <v>3942</v>
      </c>
      <c r="R1518" t="s">
        <v>2446</v>
      </c>
      <c r="S1518">
        <v>4</v>
      </c>
      <c r="T1518" t="s">
        <v>2274</v>
      </c>
      <c r="U1518" t="s">
        <v>2275</v>
      </c>
    </row>
    <row r="1519" spans="1:21" x14ac:dyDescent="0.25">
      <c r="A1519" t="s">
        <v>3943</v>
      </c>
      <c r="B1519" t="s">
        <v>1079</v>
      </c>
      <c r="C1519" t="s">
        <v>4</v>
      </c>
      <c r="D1519" t="s">
        <v>24</v>
      </c>
      <c r="E1519" t="s">
        <v>2056</v>
      </c>
      <c r="F1519" t="s">
        <v>422</v>
      </c>
      <c r="G1519" t="s">
        <v>2425</v>
      </c>
      <c r="H1519" s="20">
        <v>46250</v>
      </c>
      <c r="I1519">
        <v>1800</v>
      </c>
      <c r="J1519">
        <v>66</v>
      </c>
      <c r="K1519">
        <v>43</v>
      </c>
      <c r="L1519">
        <v>14</v>
      </c>
      <c r="M1519">
        <v>11</v>
      </c>
      <c r="P1519" t="s">
        <v>2272</v>
      </c>
      <c r="Q1519" t="s">
        <v>3938</v>
      </c>
      <c r="R1519" t="s">
        <v>2472</v>
      </c>
      <c r="S1519">
        <v>4</v>
      </c>
      <c r="T1519" t="s">
        <v>2274</v>
      </c>
      <c r="U1519" t="s">
        <v>2275</v>
      </c>
    </row>
    <row r="1520" spans="1:21" x14ac:dyDescent="0.25">
      <c r="A1520" t="s">
        <v>3944</v>
      </c>
      <c r="B1520" t="s">
        <v>1079</v>
      </c>
      <c r="C1520" t="s">
        <v>4</v>
      </c>
      <c r="D1520" t="s">
        <v>24</v>
      </c>
      <c r="E1520" t="s">
        <v>2057</v>
      </c>
      <c r="F1520" t="s">
        <v>573</v>
      </c>
      <c r="G1520" t="s">
        <v>2425</v>
      </c>
      <c r="H1520" s="20">
        <v>46250</v>
      </c>
      <c r="I1520">
        <v>1800</v>
      </c>
      <c r="J1520">
        <v>66</v>
      </c>
      <c r="K1520">
        <v>43</v>
      </c>
      <c r="L1520">
        <v>14</v>
      </c>
      <c r="M1520">
        <v>11</v>
      </c>
      <c r="P1520" t="s">
        <v>2272</v>
      </c>
      <c r="Q1520" t="s">
        <v>3938</v>
      </c>
      <c r="R1520" t="s">
        <v>2472</v>
      </c>
      <c r="S1520">
        <v>4</v>
      </c>
      <c r="T1520" t="s">
        <v>2274</v>
      </c>
      <c r="U1520" t="s">
        <v>2275</v>
      </c>
    </row>
    <row r="1521" spans="1:21" x14ac:dyDescent="0.25">
      <c r="A1521" t="s">
        <v>3945</v>
      </c>
      <c r="B1521" t="s">
        <v>1079</v>
      </c>
      <c r="C1521" t="s">
        <v>4</v>
      </c>
      <c r="D1521" t="s">
        <v>24</v>
      </c>
      <c r="E1521" t="s">
        <v>2058</v>
      </c>
      <c r="F1521" t="s">
        <v>411</v>
      </c>
      <c r="G1521" t="s">
        <v>2425</v>
      </c>
      <c r="H1521" s="20">
        <v>46250</v>
      </c>
      <c r="I1521">
        <v>1800</v>
      </c>
      <c r="J1521">
        <v>66</v>
      </c>
      <c r="K1521">
        <v>43</v>
      </c>
      <c r="L1521">
        <v>14</v>
      </c>
      <c r="M1521">
        <v>11</v>
      </c>
      <c r="P1521" t="s">
        <v>2272</v>
      </c>
      <c r="Q1521" t="s">
        <v>3938</v>
      </c>
      <c r="R1521" t="s">
        <v>2472</v>
      </c>
      <c r="S1521">
        <v>4</v>
      </c>
      <c r="T1521" t="s">
        <v>2274</v>
      </c>
      <c r="U1521" t="s">
        <v>2275</v>
      </c>
    </row>
    <row r="1522" spans="1:21" x14ac:dyDescent="0.25">
      <c r="A1522" t="s">
        <v>3946</v>
      </c>
      <c r="B1522" t="s">
        <v>1079</v>
      </c>
      <c r="C1522" t="s">
        <v>4</v>
      </c>
      <c r="D1522" t="s">
        <v>24</v>
      </c>
      <c r="E1522" t="s">
        <v>1621</v>
      </c>
      <c r="F1522" t="s">
        <v>147</v>
      </c>
      <c r="G1522" t="s">
        <v>2425</v>
      </c>
      <c r="H1522" s="20">
        <v>46250</v>
      </c>
      <c r="I1522">
        <v>1800</v>
      </c>
      <c r="J1522">
        <v>66</v>
      </c>
      <c r="K1522">
        <v>43</v>
      </c>
      <c r="L1522">
        <v>14</v>
      </c>
      <c r="M1522">
        <v>11</v>
      </c>
      <c r="P1522" t="s">
        <v>2272</v>
      </c>
      <c r="Q1522" t="s">
        <v>3938</v>
      </c>
      <c r="R1522" t="s">
        <v>2472</v>
      </c>
      <c r="S1522">
        <v>4</v>
      </c>
      <c r="T1522" t="s">
        <v>2274</v>
      </c>
      <c r="U1522" t="s">
        <v>2275</v>
      </c>
    </row>
    <row r="1523" spans="1:21" x14ac:dyDescent="0.25">
      <c r="A1523" t="s">
        <v>3947</v>
      </c>
      <c r="B1523" t="s">
        <v>1079</v>
      </c>
      <c r="C1523" t="s">
        <v>4</v>
      </c>
      <c r="D1523" t="s">
        <v>24</v>
      </c>
      <c r="E1523" t="s">
        <v>2059</v>
      </c>
      <c r="F1523" t="s">
        <v>232</v>
      </c>
      <c r="G1523" t="s">
        <v>2425</v>
      </c>
      <c r="H1523" s="20">
        <v>46250</v>
      </c>
      <c r="I1523">
        <v>1800</v>
      </c>
      <c r="J1523">
        <v>66</v>
      </c>
      <c r="K1523">
        <v>43</v>
      </c>
      <c r="L1523">
        <v>14</v>
      </c>
      <c r="M1523">
        <v>11</v>
      </c>
      <c r="P1523" t="s">
        <v>2272</v>
      </c>
      <c r="Q1523" t="s">
        <v>3938</v>
      </c>
      <c r="R1523" t="s">
        <v>2472</v>
      </c>
      <c r="S1523">
        <v>4</v>
      </c>
      <c r="T1523" t="s">
        <v>2274</v>
      </c>
      <c r="U1523" t="s">
        <v>2275</v>
      </c>
    </row>
    <row r="1524" spans="1:21" x14ac:dyDescent="0.25">
      <c r="A1524" t="s">
        <v>3948</v>
      </c>
      <c r="B1524" t="s">
        <v>1079</v>
      </c>
      <c r="C1524" t="s">
        <v>4</v>
      </c>
      <c r="D1524" t="s">
        <v>24</v>
      </c>
      <c r="E1524" t="s">
        <v>2060</v>
      </c>
      <c r="F1524" t="s">
        <v>303</v>
      </c>
      <c r="G1524" t="s">
        <v>2425</v>
      </c>
      <c r="H1524" s="20">
        <v>46250</v>
      </c>
      <c r="I1524">
        <v>1800</v>
      </c>
      <c r="J1524">
        <v>66</v>
      </c>
      <c r="K1524">
        <v>43</v>
      </c>
      <c r="L1524">
        <v>14</v>
      </c>
      <c r="M1524">
        <v>11</v>
      </c>
      <c r="P1524" t="s">
        <v>2272</v>
      </c>
      <c r="Q1524" t="s">
        <v>3938</v>
      </c>
      <c r="R1524" t="s">
        <v>2472</v>
      </c>
      <c r="S1524">
        <v>4</v>
      </c>
      <c r="T1524" t="s">
        <v>2274</v>
      </c>
      <c r="U1524" t="s">
        <v>2275</v>
      </c>
    </row>
    <row r="1525" spans="1:21" x14ac:dyDescent="0.25">
      <c r="A1525" t="s">
        <v>3949</v>
      </c>
      <c r="B1525" t="s">
        <v>1079</v>
      </c>
      <c r="C1525" t="s">
        <v>4</v>
      </c>
      <c r="D1525" t="s">
        <v>21</v>
      </c>
      <c r="E1525" t="s">
        <v>2061</v>
      </c>
      <c r="F1525" t="s">
        <v>1305</v>
      </c>
      <c r="G1525" t="s">
        <v>2444</v>
      </c>
      <c r="H1525" s="20">
        <v>46254</v>
      </c>
      <c r="I1525">
        <v>1500</v>
      </c>
      <c r="J1525">
        <v>66</v>
      </c>
      <c r="K1525">
        <v>45</v>
      </c>
      <c r="L1525">
        <v>20</v>
      </c>
      <c r="M1525">
        <v>16</v>
      </c>
      <c r="P1525" t="s">
        <v>2272</v>
      </c>
      <c r="Q1525" t="s">
        <v>3950</v>
      </c>
      <c r="R1525" t="s">
        <v>2446</v>
      </c>
      <c r="S1525">
        <v>7</v>
      </c>
      <c r="T1525" t="s">
        <v>3784</v>
      </c>
      <c r="U1525" t="s">
        <v>3785</v>
      </c>
    </row>
    <row r="1526" spans="1:21" x14ac:dyDescent="0.25">
      <c r="A1526" t="s">
        <v>3951</v>
      </c>
      <c r="B1526" t="s">
        <v>1079</v>
      </c>
      <c r="C1526" t="s">
        <v>4</v>
      </c>
      <c r="D1526" t="s">
        <v>21</v>
      </c>
      <c r="E1526" t="s">
        <v>2062</v>
      </c>
      <c r="F1526" t="s">
        <v>689</v>
      </c>
      <c r="G1526" t="s">
        <v>2444</v>
      </c>
      <c r="H1526" s="20">
        <v>46254</v>
      </c>
      <c r="I1526">
        <v>1500</v>
      </c>
      <c r="J1526">
        <v>66</v>
      </c>
      <c r="K1526">
        <v>45</v>
      </c>
      <c r="L1526">
        <v>20</v>
      </c>
      <c r="M1526">
        <v>16</v>
      </c>
      <c r="P1526" t="s">
        <v>2272</v>
      </c>
      <c r="Q1526" t="s">
        <v>3950</v>
      </c>
      <c r="R1526" t="s">
        <v>2446</v>
      </c>
      <c r="S1526">
        <v>7</v>
      </c>
      <c r="T1526" t="s">
        <v>3784</v>
      </c>
      <c r="U1526" t="s">
        <v>3785</v>
      </c>
    </row>
    <row r="1527" spans="1:21" x14ac:dyDescent="0.25">
      <c r="A1527" t="s">
        <v>3952</v>
      </c>
      <c r="B1527" t="s">
        <v>1079</v>
      </c>
      <c r="C1527" t="s">
        <v>4</v>
      </c>
      <c r="D1527" t="s">
        <v>21</v>
      </c>
      <c r="E1527" t="s">
        <v>2063</v>
      </c>
      <c r="F1527" t="s">
        <v>1148</v>
      </c>
      <c r="G1527" t="s">
        <v>2444</v>
      </c>
      <c r="H1527" s="20">
        <v>46254</v>
      </c>
      <c r="I1527">
        <v>1500</v>
      </c>
      <c r="J1527">
        <v>66</v>
      </c>
      <c r="K1527">
        <v>45</v>
      </c>
      <c r="L1527">
        <v>20</v>
      </c>
      <c r="M1527">
        <v>16</v>
      </c>
      <c r="P1527" t="s">
        <v>2272</v>
      </c>
      <c r="Q1527" t="s">
        <v>3950</v>
      </c>
      <c r="R1527" t="s">
        <v>2446</v>
      </c>
      <c r="S1527">
        <v>7</v>
      </c>
      <c r="T1527" t="s">
        <v>3784</v>
      </c>
      <c r="U1527" t="s">
        <v>3785</v>
      </c>
    </row>
    <row r="1528" spans="1:21" x14ac:dyDescent="0.25">
      <c r="A1528" t="s">
        <v>3953</v>
      </c>
      <c r="B1528" t="s">
        <v>1079</v>
      </c>
      <c r="C1528" t="s">
        <v>4</v>
      </c>
      <c r="D1528" t="s">
        <v>21</v>
      </c>
      <c r="E1528" t="s">
        <v>2064</v>
      </c>
      <c r="F1528" t="s">
        <v>119</v>
      </c>
      <c r="G1528" t="s">
        <v>2271</v>
      </c>
      <c r="H1528" s="20">
        <v>46254</v>
      </c>
      <c r="I1528">
        <v>1500</v>
      </c>
      <c r="J1528">
        <v>66</v>
      </c>
      <c r="K1528">
        <v>45</v>
      </c>
      <c r="L1528">
        <v>14</v>
      </c>
      <c r="M1528">
        <v>10</v>
      </c>
      <c r="P1528" t="s">
        <v>2272</v>
      </c>
      <c r="R1528" t="s">
        <v>2273</v>
      </c>
      <c r="S1528">
        <v>7</v>
      </c>
      <c r="T1528" t="s">
        <v>2612</v>
      </c>
      <c r="U1528" t="s">
        <v>2613</v>
      </c>
    </row>
    <row r="1529" spans="1:21" x14ac:dyDescent="0.25">
      <c r="A1529" t="s">
        <v>3954</v>
      </c>
      <c r="B1529" t="s">
        <v>1079</v>
      </c>
      <c r="C1529" t="s">
        <v>4</v>
      </c>
      <c r="D1529" t="s">
        <v>21</v>
      </c>
      <c r="E1529" t="s">
        <v>2065</v>
      </c>
      <c r="F1529" t="s">
        <v>890</v>
      </c>
      <c r="G1529" t="s">
        <v>2271</v>
      </c>
      <c r="H1529" s="20">
        <v>46254</v>
      </c>
      <c r="I1529">
        <v>1500</v>
      </c>
      <c r="J1529">
        <v>66</v>
      </c>
      <c r="K1529">
        <v>45</v>
      </c>
      <c r="L1529">
        <v>14</v>
      </c>
      <c r="M1529">
        <v>10</v>
      </c>
      <c r="P1529" t="s">
        <v>2272</v>
      </c>
      <c r="R1529" t="s">
        <v>2273</v>
      </c>
      <c r="S1529">
        <v>7</v>
      </c>
      <c r="T1529" t="s">
        <v>2612</v>
      </c>
      <c r="U1529" t="s">
        <v>2613</v>
      </c>
    </row>
    <row r="1530" spans="1:21" x14ac:dyDescent="0.25">
      <c r="A1530" t="s">
        <v>3955</v>
      </c>
      <c r="B1530" t="s">
        <v>1079</v>
      </c>
      <c r="C1530" t="s">
        <v>4</v>
      </c>
      <c r="D1530" t="s">
        <v>21</v>
      </c>
      <c r="E1530" t="s">
        <v>2066</v>
      </c>
      <c r="F1530" t="s">
        <v>291</v>
      </c>
      <c r="G1530" t="s">
        <v>2271</v>
      </c>
      <c r="H1530" s="20">
        <v>46254</v>
      </c>
      <c r="I1530">
        <v>1500</v>
      </c>
      <c r="J1530">
        <v>66</v>
      </c>
      <c r="K1530">
        <v>45</v>
      </c>
      <c r="L1530">
        <v>14</v>
      </c>
      <c r="M1530">
        <v>10</v>
      </c>
      <c r="P1530" t="s">
        <v>2272</v>
      </c>
      <c r="R1530" t="s">
        <v>2273</v>
      </c>
      <c r="S1530">
        <v>7</v>
      </c>
      <c r="T1530" t="s">
        <v>2612</v>
      </c>
      <c r="U1530" t="s">
        <v>2613</v>
      </c>
    </row>
    <row r="1531" spans="1:21" x14ac:dyDescent="0.25">
      <c r="A1531" t="s">
        <v>3956</v>
      </c>
      <c r="B1531" t="s">
        <v>1079</v>
      </c>
      <c r="C1531" t="s">
        <v>4</v>
      </c>
      <c r="D1531" t="s">
        <v>21</v>
      </c>
      <c r="E1531" t="s">
        <v>2067</v>
      </c>
      <c r="F1531" t="s">
        <v>478</v>
      </c>
      <c r="G1531" t="s">
        <v>2271</v>
      </c>
      <c r="H1531" s="20">
        <v>46254</v>
      </c>
      <c r="I1531">
        <v>1500</v>
      </c>
      <c r="J1531">
        <v>66</v>
      </c>
      <c r="K1531">
        <v>45</v>
      </c>
      <c r="L1531">
        <v>14</v>
      </c>
      <c r="M1531">
        <v>10</v>
      </c>
      <c r="P1531" t="s">
        <v>2272</v>
      </c>
      <c r="R1531" t="s">
        <v>2273</v>
      </c>
      <c r="S1531">
        <v>7</v>
      </c>
      <c r="T1531" t="s">
        <v>2612</v>
      </c>
      <c r="U1531" t="s">
        <v>2613</v>
      </c>
    </row>
    <row r="1532" spans="1:21" x14ac:dyDescent="0.25">
      <c r="A1532" t="s">
        <v>3957</v>
      </c>
      <c r="B1532" t="s">
        <v>1079</v>
      </c>
      <c r="C1532" t="s">
        <v>4</v>
      </c>
      <c r="D1532" t="s">
        <v>21</v>
      </c>
      <c r="E1532" t="s">
        <v>2068</v>
      </c>
      <c r="F1532" t="s">
        <v>272</v>
      </c>
      <c r="G1532" t="s">
        <v>2271</v>
      </c>
      <c r="H1532" s="20">
        <v>46254</v>
      </c>
      <c r="I1532">
        <v>1500</v>
      </c>
      <c r="J1532">
        <v>66</v>
      </c>
      <c r="K1532">
        <v>45</v>
      </c>
      <c r="L1532">
        <v>14</v>
      </c>
      <c r="M1532">
        <v>10</v>
      </c>
      <c r="P1532" t="s">
        <v>2272</v>
      </c>
      <c r="R1532" t="s">
        <v>2273</v>
      </c>
      <c r="S1532">
        <v>7</v>
      </c>
      <c r="T1532" t="s">
        <v>2612</v>
      </c>
      <c r="U1532" t="s">
        <v>2613</v>
      </c>
    </row>
    <row r="1533" spans="1:21" x14ac:dyDescent="0.25">
      <c r="A1533" t="s">
        <v>3958</v>
      </c>
      <c r="B1533" t="s">
        <v>1079</v>
      </c>
      <c r="C1533" t="s">
        <v>4</v>
      </c>
      <c r="D1533" t="s">
        <v>21</v>
      </c>
      <c r="E1533" t="s">
        <v>2069</v>
      </c>
      <c r="F1533" t="s">
        <v>1212</v>
      </c>
      <c r="G1533" t="s">
        <v>2271</v>
      </c>
      <c r="H1533" s="20">
        <v>46254</v>
      </c>
      <c r="I1533">
        <v>1500</v>
      </c>
      <c r="J1533">
        <v>66</v>
      </c>
      <c r="K1533">
        <v>45</v>
      </c>
      <c r="L1533">
        <v>14</v>
      </c>
      <c r="M1533">
        <v>10</v>
      </c>
      <c r="P1533" t="s">
        <v>2272</v>
      </c>
      <c r="R1533" t="s">
        <v>2273</v>
      </c>
      <c r="S1533">
        <v>7</v>
      </c>
      <c r="T1533" t="s">
        <v>2612</v>
      </c>
      <c r="U1533" t="s">
        <v>2613</v>
      </c>
    </row>
    <row r="1534" spans="1:21" x14ac:dyDescent="0.25">
      <c r="A1534" t="s">
        <v>3959</v>
      </c>
      <c r="B1534" t="s">
        <v>1079</v>
      </c>
      <c r="C1534" t="s">
        <v>4</v>
      </c>
      <c r="D1534" t="s">
        <v>29</v>
      </c>
      <c r="E1534" t="s">
        <v>2070</v>
      </c>
      <c r="F1534" t="s">
        <v>2071</v>
      </c>
      <c r="H1534" s="20"/>
      <c r="P1534" t="s">
        <v>2291</v>
      </c>
      <c r="R1534" t="s">
        <v>2292</v>
      </c>
    </row>
    <row r="1535" spans="1:21" x14ac:dyDescent="0.25">
      <c r="A1535" t="s">
        <v>3960</v>
      </c>
      <c r="B1535" t="s">
        <v>1079</v>
      </c>
      <c r="C1535" t="s">
        <v>4</v>
      </c>
      <c r="D1535" t="s">
        <v>29</v>
      </c>
      <c r="E1535" t="s">
        <v>2072</v>
      </c>
      <c r="F1535" t="s">
        <v>319</v>
      </c>
      <c r="H1535" s="20"/>
      <c r="P1535" t="s">
        <v>2291</v>
      </c>
      <c r="R1535" t="s">
        <v>2292</v>
      </c>
    </row>
    <row r="1536" spans="1:21" x14ac:dyDescent="0.25">
      <c r="A1536" t="s">
        <v>3961</v>
      </c>
      <c r="B1536" t="s">
        <v>1079</v>
      </c>
      <c r="C1536" t="s">
        <v>4</v>
      </c>
      <c r="D1536" t="s">
        <v>26</v>
      </c>
      <c r="E1536" t="s">
        <v>2073</v>
      </c>
      <c r="F1536" t="s">
        <v>356</v>
      </c>
      <c r="H1536" s="20"/>
      <c r="P1536" t="s">
        <v>2291</v>
      </c>
      <c r="R1536" t="s">
        <v>2292</v>
      </c>
    </row>
    <row r="1537" spans="1:21" x14ac:dyDescent="0.25">
      <c r="A1537" t="s">
        <v>3962</v>
      </c>
      <c r="B1537" t="s">
        <v>1079</v>
      </c>
      <c r="C1537" t="s">
        <v>4</v>
      </c>
      <c r="D1537" t="s">
        <v>26</v>
      </c>
      <c r="E1537" t="s">
        <v>2074</v>
      </c>
      <c r="F1537" t="s">
        <v>593</v>
      </c>
      <c r="H1537" s="20"/>
      <c r="P1537" t="s">
        <v>2291</v>
      </c>
      <c r="R1537" t="s">
        <v>2292</v>
      </c>
    </row>
    <row r="1538" spans="1:21" x14ac:dyDescent="0.25">
      <c r="A1538" t="s">
        <v>3963</v>
      </c>
      <c r="B1538" t="s">
        <v>1079</v>
      </c>
      <c r="C1538" t="s">
        <v>4</v>
      </c>
      <c r="D1538" t="s">
        <v>26</v>
      </c>
      <c r="E1538" t="s">
        <v>2075</v>
      </c>
      <c r="F1538" t="s">
        <v>90</v>
      </c>
      <c r="H1538" s="20"/>
      <c r="P1538" t="s">
        <v>2291</v>
      </c>
      <c r="R1538" t="s">
        <v>2292</v>
      </c>
    </row>
    <row r="1539" spans="1:21" x14ac:dyDescent="0.25">
      <c r="A1539" t="s">
        <v>3964</v>
      </c>
      <c r="B1539" t="s">
        <v>1079</v>
      </c>
      <c r="C1539" t="s">
        <v>4</v>
      </c>
      <c r="D1539" t="s">
        <v>21</v>
      </c>
      <c r="E1539" t="s">
        <v>2076</v>
      </c>
      <c r="F1539" t="s">
        <v>119</v>
      </c>
      <c r="G1539" t="s">
        <v>2271</v>
      </c>
      <c r="H1539" s="20">
        <v>46254</v>
      </c>
      <c r="I1539">
        <v>1500</v>
      </c>
      <c r="J1539">
        <v>66</v>
      </c>
      <c r="K1539">
        <v>45</v>
      </c>
      <c r="L1539">
        <v>14</v>
      </c>
      <c r="M1539">
        <v>10</v>
      </c>
      <c r="P1539" t="s">
        <v>2272</v>
      </c>
      <c r="R1539" t="s">
        <v>2273</v>
      </c>
      <c r="S1539">
        <v>7</v>
      </c>
      <c r="T1539" t="s">
        <v>2612</v>
      </c>
      <c r="U1539" t="s">
        <v>2613</v>
      </c>
    </row>
    <row r="1540" spans="1:21" x14ac:dyDescent="0.25">
      <c r="A1540" t="s">
        <v>3965</v>
      </c>
      <c r="B1540" t="s">
        <v>1079</v>
      </c>
      <c r="C1540" t="s">
        <v>4</v>
      </c>
      <c r="D1540" t="s">
        <v>21</v>
      </c>
      <c r="E1540" t="s">
        <v>2076</v>
      </c>
      <c r="F1540" t="s">
        <v>772</v>
      </c>
      <c r="G1540" t="s">
        <v>2271</v>
      </c>
      <c r="H1540" s="20">
        <v>46254</v>
      </c>
      <c r="I1540">
        <v>1500</v>
      </c>
      <c r="J1540">
        <v>66</v>
      </c>
      <c r="K1540">
        <v>45</v>
      </c>
      <c r="L1540">
        <v>14</v>
      </c>
      <c r="M1540">
        <v>10</v>
      </c>
      <c r="P1540" t="s">
        <v>2272</v>
      </c>
      <c r="R1540" t="s">
        <v>2273</v>
      </c>
      <c r="S1540">
        <v>7</v>
      </c>
      <c r="T1540" t="s">
        <v>2612</v>
      </c>
      <c r="U1540" t="s">
        <v>2613</v>
      </c>
    </row>
    <row r="1541" spans="1:21" x14ac:dyDescent="0.25">
      <c r="A1541" t="s">
        <v>3966</v>
      </c>
      <c r="B1541" t="s">
        <v>1079</v>
      </c>
      <c r="C1541" t="s">
        <v>4</v>
      </c>
      <c r="D1541" t="s">
        <v>21</v>
      </c>
      <c r="E1541" t="s">
        <v>2077</v>
      </c>
      <c r="F1541" t="s">
        <v>462</v>
      </c>
      <c r="G1541" t="s">
        <v>2271</v>
      </c>
      <c r="H1541" s="20">
        <v>46254</v>
      </c>
      <c r="I1541">
        <v>1500</v>
      </c>
      <c r="J1541">
        <v>66</v>
      </c>
      <c r="K1541">
        <v>45</v>
      </c>
      <c r="L1541">
        <v>14</v>
      </c>
      <c r="M1541">
        <v>10</v>
      </c>
      <c r="P1541" t="s">
        <v>2272</v>
      </c>
      <c r="R1541" t="s">
        <v>2273</v>
      </c>
      <c r="S1541">
        <v>7</v>
      </c>
      <c r="T1541" t="s">
        <v>2612</v>
      </c>
      <c r="U1541" t="s">
        <v>2613</v>
      </c>
    </row>
    <row r="1542" spans="1:21" x14ac:dyDescent="0.25">
      <c r="A1542" t="s">
        <v>3967</v>
      </c>
      <c r="B1542" t="s">
        <v>1079</v>
      </c>
      <c r="C1542" t="s">
        <v>904</v>
      </c>
      <c r="D1542" t="s">
        <v>24</v>
      </c>
      <c r="E1542" t="s">
        <v>2079</v>
      </c>
      <c r="F1542" t="s">
        <v>1370</v>
      </c>
      <c r="G1542" t="s">
        <v>2271</v>
      </c>
      <c r="H1542" s="20">
        <v>46250</v>
      </c>
      <c r="I1542">
        <v>1800</v>
      </c>
      <c r="J1542">
        <v>52</v>
      </c>
      <c r="K1542">
        <v>42</v>
      </c>
      <c r="L1542">
        <v>36</v>
      </c>
      <c r="P1542" t="s">
        <v>2272</v>
      </c>
      <c r="R1542" t="s">
        <v>2273</v>
      </c>
      <c r="S1542">
        <v>4</v>
      </c>
      <c r="T1542" t="s">
        <v>2274</v>
      </c>
      <c r="U1542" t="s">
        <v>2275</v>
      </c>
    </row>
    <row r="1543" spans="1:21" x14ac:dyDescent="0.25">
      <c r="A1543" t="s">
        <v>3968</v>
      </c>
      <c r="B1543" t="s">
        <v>1079</v>
      </c>
      <c r="C1543" t="s">
        <v>904</v>
      </c>
      <c r="D1543" t="s">
        <v>24</v>
      </c>
      <c r="E1543" t="s">
        <v>2080</v>
      </c>
      <c r="F1543" t="s">
        <v>1197</v>
      </c>
      <c r="G1543" t="s">
        <v>2271</v>
      </c>
      <c r="H1543" s="20">
        <v>46250</v>
      </c>
      <c r="I1543">
        <v>1800</v>
      </c>
      <c r="J1543">
        <v>52</v>
      </c>
      <c r="K1543">
        <v>42</v>
      </c>
      <c r="L1543">
        <v>36</v>
      </c>
      <c r="P1543" t="s">
        <v>2272</v>
      </c>
      <c r="R1543" t="s">
        <v>2273</v>
      </c>
      <c r="S1543">
        <v>4</v>
      </c>
      <c r="T1543" t="s">
        <v>2274</v>
      </c>
      <c r="U1543" t="s">
        <v>2275</v>
      </c>
    </row>
    <row r="1544" spans="1:21" x14ac:dyDescent="0.25">
      <c r="A1544" t="s">
        <v>3969</v>
      </c>
      <c r="B1544" t="s">
        <v>1079</v>
      </c>
      <c r="C1544" t="s">
        <v>904</v>
      </c>
      <c r="D1544" t="s">
        <v>24</v>
      </c>
      <c r="E1544" t="s">
        <v>2081</v>
      </c>
      <c r="F1544" t="s">
        <v>315</v>
      </c>
      <c r="G1544" t="s">
        <v>2271</v>
      </c>
      <c r="H1544" s="20">
        <v>46250</v>
      </c>
      <c r="I1544">
        <v>1800</v>
      </c>
      <c r="J1544">
        <v>52</v>
      </c>
      <c r="K1544">
        <v>42</v>
      </c>
      <c r="L1544">
        <v>36</v>
      </c>
      <c r="P1544" t="s">
        <v>2272</v>
      </c>
      <c r="R1544" t="s">
        <v>2273</v>
      </c>
      <c r="S1544">
        <v>4</v>
      </c>
      <c r="T1544" t="s">
        <v>2274</v>
      </c>
      <c r="U1544" t="s">
        <v>2275</v>
      </c>
    </row>
    <row r="1545" spans="1:21" x14ac:dyDescent="0.25">
      <c r="A1545" t="s">
        <v>3970</v>
      </c>
      <c r="B1545" t="s">
        <v>1079</v>
      </c>
      <c r="C1545" t="s">
        <v>904</v>
      </c>
      <c r="D1545" t="s">
        <v>24</v>
      </c>
      <c r="E1545" t="s">
        <v>1545</v>
      </c>
      <c r="F1545" t="s">
        <v>1546</v>
      </c>
      <c r="G1545" t="s">
        <v>2271</v>
      </c>
      <c r="H1545" s="20">
        <v>46250</v>
      </c>
      <c r="I1545">
        <v>1800</v>
      </c>
      <c r="J1545">
        <v>52</v>
      </c>
      <c r="K1545">
        <v>42</v>
      </c>
      <c r="L1545">
        <v>36</v>
      </c>
      <c r="P1545" t="s">
        <v>2272</v>
      </c>
      <c r="R1545" t="s">
        <v>2273</v>
      </c>
      <c r="S1545">
        <v>4</v>
      </c>
      <c r="T1545" t="s">
        <v>2274</v>
      </c>
      <c r="U1545" t="s">
        <v>2275</v>
      </c>
    </row>
    <row r="1546" spans="1:21" x14ac:dyDescent="0.25">
      <c r="A1546" t="s">
        <v>3971</v>
      </c>
      <c r="B1546" t="s">
        <v>1079</v>
      </c>
      <c r="C1546" t="s">
        <v>904</v>
      </c>
      <c r="D1546" t="s">
        <v>24</v>
      </c>
      <c r="E1546" t="s">
        <v>2082</v>
      </c>
      <c r="F1546" t="s">
        <v>729</v>
      </c>
      <c r="G1546" t="s">
        <v>2271</v>
      </c>
      <c r="H1546" s="20">
        <v>46250</v>
      </c>
      <c r="I1546">
        <v>1800</v>
      </c>
      <c r="J1546">
        <v>52</v>
      </c>
      <c r="K1546">
        <v>42</v>
      </c>
      <c r="L1546">
        <v>36</v>
      </c>
      <c r="P1546" t="s">
        <v>2272</v>
      </c>
      <c r="R1546" t="s">
        <v>2273</v>
      </c>
      <c r="S1546">
        <v>4</v>
      </c>
      <c r="T1546" t="s">
        <v>2274</v>
      </c>
      <c r="U1546" t="s">
        <v>2275</v>
      </c>
    </row>
    <row r="1547" spans="1:21" x14ac:dyDescent="0.25">
      <c r="A1547" t="s">
        <v>3972</v>
      </c>
      <c r="B1547" t="s">
        <v>1079</v>
      </c>
      <c r="C1547" t="s">
        <v>904</v>
      </c>
      <c r="D1547" t="s">
        <v>24</v>
      </c>
      <c r="E1547" t="s">
        <v>2083</v>
      </c>
      <c r="F1547" t="s">
        <v>266</v>
      </c>
      <c r="G1547" t="s">
        <v>2271</v>
      </c>
      <c r="H1547" s="20">
        <v>46250</v>
      </c>
      <c r="I1547">
        <v>1800</v>
      </c>
      <c r="J1547">
        <v>52</v>
      </c>
      <c r="K1547">
        <v>42</v>
      </c>
      <c r="L1547">
        <v>36</v>
      </c>
      <c r="P1547" t="s">
        <v>2272</v>
      </c>
      <c r="R1547" t="s">
        <v>2273</v>
      </c>
      <c r="S1547">
        <v>4</v>
      </c>
      <c r="T1547" t="s">
        <v>2274</v>
      </c>
      <c r="U1547" t="s">
        <v>2275</v>
      </c>
    </row>
    <row r="1548" spans="1:21" x14ac:dyDescent="0.25">
      <c r="A1548" t="s">
        <v>3973</v>
      </c>
      <c r="B1548" t="s">
        <v>1079</v>
      </c>
      <c r="C1548" t="s">
        <v>904</v>
      </c>
      <c r="D1548" t="s">
        <v>24</v>
      </c>
      <c r="E1548" t="s">
        <v>2032</v>
      </c>
      <c r="F1548" t="s">
        <v>108</v>
      </c>
      <c r="G1548" t="s">
        <v>2271</v>
      </c>
      <c r="H1548" s="20">
        <v>46250</v>
      </c>
      <c r="I1548">
        <v>1800</v>
      </c>
      <c r="J1548">
        <v>52</v>
      </c>
      <c r="K1548">
        <v>42</v>
      </c>
      <c r="L1548">
        <v>36</v>
      </c>
      <c r="P1548" t="s">
        <v>2272</v>
      </c>
      <c r="R1548" t="s">
        <v>2273</v>
      </c>
      <c r="S1548">
        <v>4</v>
      </c>
      <c r="T1548" t="s">
        <v>2274</v>
      </c>
      <c r="U1548" t="s">
        <v>2275</v>
      </c>
    </row>
    <row r="1549" spans="1:21" x14ac:dyDescent="0.25">
      <c r="A1549" t="s">
        <v>3974</v>
      </c>
      <c r="B1549" t="s">
        <v>1079</v>
      </c>
      <c r="C1549" t="s">
        <v>904</v>
      </c>
      <c r="D1549" t="s">
        <v>24</v>
      </c>
      <c r="E1549" t="s">
        <v>2084</v>
      </c>
      <c r="F1549" t="s">
        <v>1265</v>
      </c>
      <c r="G1549" t="s">
        <v>2271</v>
      </c>
      <c r="H1549" s="20">
        <v>46250</v>
      </c>
      <c r="I1549">
        <v>1800</v>
      </c>
      <c r="J1549">
        <v>52</v>
      </c>
      <c r="K1549">
        <v>42</v>
      </c>
      <c r="L1549">
        <v>36</v>
      </c>
      <c r="P1549" t="s">
        <v>2272</v>
      </c>
      <c r="R1549" t="s">
        <v>2273</v>
      </c>
      <c r="S1549">
        <v>4</v>
      </c>
      <c r="T1549" t="s">
        <v>2274</v>
      </c>
      <c r="U1549" t="s">
        <v>2275</v>
      </c>
    </row>
    <row r="1550" spans="1:21" x14ac:dyDescent="0.25">
      <c r="A1550" t="s">
        <v>3975</v>
      </c>
      <c r="B1550" t="s">
        <v>1079</v>
      </c>
      <c r="C1550" t="s">
        <v>1004</v>
      </c>
      <c r="D1550" t="s">
        <v>24</v>
      </c>
      <c r="E1550" t="s">
        <v>2086</v>
      </c>
      <c r="F1550" t="s">
        <v>1455</v>
      </c>
      <c r="G1550" t="s">
        <v>2271</v>
      </c>
      <c r="H1550" s="20">
        <v>46250</v>
      </c>
      <c r="I1550">
        <v>1800</v>
      </c>
      <c r="J1550">
        <v>84</v>
      </c>
      <c r="K1550">
        <v>53</v>
      </c>
      <c r="L1550">
        <v>42</v>
      </c>
      <c r="P1550" t="s">
        <v>2272</v>
      </c>
      <c r="Q1550" t="s">
        <v>3147</v>
      </c>
      <c r="R1550" t="s">
        <v>2423</v>
      </c>
      <c r="S1550">
        <v>4</v>
      </c>
      <c r="T1550" t="s">
        <v>2274</v>
      </c>
      <c r="U1550" t="s">
        <v>2275</v>
      </c>
    </row>
    <row r="1551" spans="1:21" x14ac:dyDescent="0.25">
      <c r="A1551" t="s">
        <v>3976</v>
      </c>
      <c r="B1551" t="s">
        <v>1079</v>
      </c>
      <c r="C1551" t="s">
        <v>1004</v>
      </c>
      <c r="D1551" t="s">
        <v>24</v>
      </c>
      <c r="E1551" t="s">
        <v>2087</v>
      </c>
      <c r="F1551" t="s">
        <v>199</v>
      </c>
      <c r="G1551" t="s">
        <v>2271</v>
      </c>
      <c r="H1551" s="20">
        <v>46250</v>
      </c>
      <c r="I1551">
        <v>1800</v>
      </c>
      <c r="J1551">
        <v>84</v>
      </c>
      <c r="K1551">
        <v>53</v>
      </c>
      <c r="L1551">
        <v>42</v>
      </c>
      <c r="P1551" t="s">
        <v>2272</v>
      </c>
      <c r="Q1551" t="s">
        <v>3147</v>
      </c>
      <c r="R1551" t="s">
        <v>2423</v>
      </c>
      <c r="S1551">
        <v>4</v>
      </c>
      <c r="T1551" t="s">
        <v>2274</v>
      </c>
      <c r="U1551" t="s">
        <v>2275</v>
      </c>
    </row>
    <row r="1552" spans="1:21" x14ac:dyDescent="0.25">
      <c r="A1552" t="s">
        <v>3977</v>
      </c>
      <c r="B1552" t="s">
        <v>1079</v>
      </c>
      <c r="C1552" t="s">
        <v>1004</v>
      </c>
      <c r="D1552" t="s">
        <v>24</v>
      </c>
      <c r="E1552" t="s">
        <v>2088</v>
      </c>
      <c r="F1552" t="s">
        <v>163</v>
      </c>
      <c r="G1552" t="s">
        <v>2425</v>
      </c>
      <c r="H1552" s="20">
        <v>46250</v>
      </c>
      <c r="I1552">
        <v>1800</v>
      </c>
      <c r="J1552">
        <v>82</v>
      </c>
      <c r="K1552">
        <v>51</v>
      </c>
      <c r="L1552">
        <v>36</v>
      </c>
      <c r="M1552">
        <v>33</v>
      </c>
      <c r="P1552" t="s">
        <v>2272</v>
      </c>
      <c r="Q1552" t="s">
        <v>3149</v>
      </c>
      <c r="R1552" t="s">
        <v>2423</v>
      </c>
      <c r="S1552">
        <v>4</v>
      </c>
      <c r="T1552" t="s">
        <v>2274</v>
      </c>
      <c r="U1552" t="s">
        <v>2275</v>
      </c>
    </row>
    <row r="1553" spans="1:21" x14ac:dyDescent="0.25">
      <c r="A1553" t="s">
        <v>3978</v>
      </c>
      <c r="B1553" t="s">
        <v>1079</v>
      </c>
      <c r="C1553" t="s">
        <v>1004</v>
      </c>
      <c r="D1553" t="s">
        <v>24</v>
      </c>
      <c r="E1553" t="s">
        <v>2089</v>
      </c>
      <c r="F1553" t="s">
        <v>317</v>
      </c>
      <c r="G1553" t="s">
        <v>2425</v>
      </c>
      <c r="H1553" s="20">
        <v>46250</v>
      </c>
      <c r="I1553">
        <v>1800</v>
      </c>
      <c r="J1553">
        <v>82</v>
      </c>
      <c r="K1553">
        <v>51</v>
      </c>
      <c r="L1553">
        <v>36</v>
      </c>
      <c r="M1553">
        <v>33</v>
      </c>
      <c r="P1553" t="s">
        <v>2272</v>
      </c>
      <c r="Q1553" t="s">
        <v>3149</v>
      </c>
      <c r="R1553" t="s">
        <v>2423</v>
      </c>
      <c r="S1553">
        <v>4</v>
      </c>
      <c r="T1553" t="s">
        <v>2274</v>
      </c>
      <c r="U1553" t="s">
        <v>2275</v>
      </c>
    </row>
    <row r="1554" spans="1:21" x14ac:dyDescent="0.25">
      <c r="A1554" t="s">
        <v>3979</v>
      </c>
      <c r="B1554" t="s">
        <v>1079</v>
      </c>
      <c r="C1554" t="s">
        <v>1004</v>
      </c>
      <c r="D1554" t="s">
        <v>24</v>
      </c>
      <c r="E1554" t="s">
        <v>2090</v>
      </c>
      <c r="F1554" t="s">
        <v>473</v>
      </c>
      <c r="G1554" t="s">
        <v>2425</v>
      </c>
      <c r="H1554" s="20">
        <v>46250</v>
      </c>
      <c r="I1554">
        <v>1800</v>
      </c>
      <c r="J1554">
        <v>82</v>
      </c>
      <c r="K1554">
        <v>51</v>
      </c>
      <c r="L1554">
        <v>36</v>
      </c>
      <c r="M1554">
        <v>33</v>
      </c>
      <c r="P1554" t="s">
        <v>2272</v>
      </c>
      <c r="Q1554" t="s">
        <v>3149</v>
      </c>
      <c r="R1554" t="s">
        <v>2423</v>
      </c>
      <c r="S1554">
        <v>4</v>
      </c>
      <c r="T1554" t="s">
        <v>2274</v>
      </c>
      <c r="U1554" t="s">
        <v>2275</v>
      </c>
    </row>
    <row r="1555" spans="1:21" x14ac:dyDescent="0.25">
      <c r="A1555" t="s">
        <v>3980</v>
      </c>
      <c r="B1555" t="s">
        <v>1079</v>
      </c>
      <c r="C1555" t="s">
        <v>1004</v>
      </c>
      <c r="D1555" t="s">
        <v>21</v>
      </c>
      <c r="E1555" t="s">
        <v>2091</v>
      </c>
      <c r="F1555" t="s">
        <v>1509</v>
      </c>
      <c r="G1555" t="s">
        <v>2271</v>
      </c>
      <c r="H1555" s="20">
        <v>46254</v>
      </c>
      <c r="I1555">
        <v>1500</v>
      </c>
      <c r="J1555">
        <v>70</v>
      </c>
      <c r="K1555">
        <v>58</v>
      </c>
      <c r="L1555">
        <v>25</v>
      </c>
      <c r="P1555" t="s">
        <v>2272</v>
      </c>
      <c r="R1555" t="s">
        <v>2273</v>
      </c>
      <c r="S1555">
        <v>10</v>
      </c>
      <c r="T1555" t="s">
        <v>2851</v>
      </c>
      <c r="U1555" t="s">
        <v>2852</v>
      </c>
    </row>
    <row r="1556" spans="1:21" x14ac:dyDescent="0.25">
      <c r="A1556" t="s">
        <v>3981</v>
      </c>
      <c r="B1556" t="s">
        <v>1004</v>
      </c>
      <c r="C1556" t="s">
        <v>2</v>
      </c>
      <c r="D1556" t="s">
        <v>24</v>
      </c>
      <c r="E1556" t="s">
        <v>2093</v>
      </c>
      <c r="F1556" t="s">
        <v>2094</v>
      </c>
      <c r="G1556" t="s">
        <v>2271</v>
      </c>
      <c r="H1556" s="20">
        <v>46250</v>
      </c>
      <c r="I1556">
        <v>1800</v>
      </c>
      <c r="J1556">
        <v>65</v>
      </c>
      <c r="K1556">
        <v>56</v>
      </c>
      <c r="L1556">
        <v>40</v>
      </c>
      <c r="P1556" t="s">
        <v>2272</v>
      </c>
      <c r="R1556" t="s">
        <v>2273</v>
      </c>
      <c r="S1556">
        <v>6</v>
      </c>
      <c r="T1556" t="s">
        <v>3982</v>
      </c>
      <c r="U1556" t="s">
        <v>3983</v>
      </c>
    </row>
    <row r="1557" spans="1:21" x14ac:dyDescent="0.25">
      <c r="A1557" t="s">
        <v>3984</v>
      </c>
      <c r="B1557" t="s">
        <v>1004</v>
      </c>
      <c r="C1557" t="s">
        <v>2</v>
      </c>
      <c r="D1557" t="s">
        <v>24</v>
      </c>
      <c r="E1557" t="s">
        <v>2095</v>
      </c>
      <c r="F1557" t="s">
        <v>1321</v>
      </c>
      <c r="G1557" t="s">
        <v>2271</v>
      </c>
      <c r="H1557" s="20">
        <v>46250</v>
      </c>
      <c r="I1557">
        <v>1800</v>
      </c>
      <c r="J1557">
        <v>65</v>
      </c>
      <c r="K1557">
        <v>56</v>
      </c>
      <c r="L1557">
        <v>40</v>
      </c>
      <c r="P1557" t="s">
        <v>2272</v>
      </c>
      <c r="R1557" t="s">
        <v>2273</v>
      </c>
      <c r="S1557">
        <v>6</v>
      </c>
      <c r="T1557" t="s">
        <v>3982</v>
      </c>
      <c r="U1557" t="s">
        <v>3983</v>
      </c>
    </row>
    <row r="1558" spans="1:21" x14ac:dyDescent="0.25">
      <c r="A1558" t="s">
        <v>3985</v>
      </c>
      <c r="B1558" t="s">
        <v>1004</v>
      </c>
      <c r="C1558" t="s">
        <v>2</v>
      </c>
      <c r="D1558" t="s">
        <v>24</v>
      </c>
      <c r="E1558" t="s">
        <v>2096</v>
      </c>
      <c r="F1558" t="s">
        <v>628</v>
      </c>
      <c r="G1558" t="s">
        <v>2271</v>
      </c>
      <c r="H1558" s="20">
        <v>46250</v>
      </c>
      <c r="I1558">
        <v>1800</v>
      </c>
      <c r="J1558">
        <v>65</v>
      </c>
      <c r="K1558">
        <v>56</v>
      </c>
      <c r="L1558">
        <v>40</v>
      </c>
      <c r="P1558" t="s">
        <v>2272</v>
      </c>
      <c r="R1558" t="s">
        <v>2273</v>
      </c>
      <c r="S1558">
        <v>6</v>
      </c>
      <c r="T1558" t="s">
        <v>3982</v>
      </c>
      <c r="U1558" t="s">
        <v>3983</v>
      </c>
    </row>
    <row r="1559" spans="1:21" x14ac:dyDescent="0.25">
      <c r="A1559" t="s">
        <v>3986</v>
      </c>
      <c r="B1559" t="s">
        <v>1004</v>
      </c>
      <c r="C1559" t="s">
        <v>2</v>
      </c>
      <c r="D1559" t="s">
        <v>26</v>
      </c>
      <c r="E1559" t="s">
        <v>2097</v>
      </c>
      <c r="F1559" t="s">
        <v>685</v>
      </c>
      <c r="H1559" s="20"/>
      <c r="P1559" t="s">
        <v>2291</v>
      </c>
      <c r="R1559" t="s">
        <v>2292</v>
      </c>
    </row>
    <row r="1560" spans="1:21" x14ac:dyDescent="0.25">
      <c r="A1560" t="s">
        <v>3987</v>
      </c>
      <c r="B1560" t="s">
        <v>1004</v>
      </c>
      <c r="C1560" t="s">
        <v>353</v>
      </c>
      <c r="D1560" t="s">
        <v>24</v>
      </c>
      <c r="E1560" t="s">
        <v>2099</v>
      </c>
      <c r="F1560" t="s">
        <v>1827</v>
      </c>
      <c r="G1560" t="s">
        <v>2271</v>
      </c>
      <c r="H1560" s="20">
        <v>46250</v>
      </c>
      <c r="I1560">
        <v>1800</v>
      </c>
      <c r="J1560">
        <v>61</v>
      </c>
      <c r="K1560">
        <v>52</v>
      </c>
      <c r="L1560">
        <v>30</v>
      </c>
      <c r="P1560" t="s">
        <v>2272</v>
      </c>
      <c r="Q1560" t="s">
        <v>3988</v>
      </c>
      <c r="R1560" t="s">
        <v>2423</v>
      </c>
      <c r="S1560">
        <v>4</v>
      </c>
      <c r="T1560" t="s">
        <v>2274</v>
      </c>
      <c r="U1560" t="s">
        <v>2275</v>
      </c>
    </row>
    <row r="1561" spans="1:21" x14ac:dyDescent="0.25">
      <c r="A1561" t="s">
        <v>3989</v>
      </c>
      <c r="B1561" t="s">
        <v>1004</v>
      </c>
      <c r="C1561" t="s">
        <v>353</v>
      </c>
      <c r="D1561" t="s">
        <v>24</v>
      </c>
      <c r="E1561" t="s">
        <v>2100</v>
      </c>
      <c r="F1561" t="s">
        <v>395</v>
      </c>
      <c r="G1561" t="s">
        <v>2271</v>
      </c>
      <c r="H1561" s="20">
        <v>46250</v>
      </c>
      <c r="I1561">
        <v>1800</v>
      </c>
      <c r="J1561">
        <v>61</v>
      </c>
      <c r="K1561">
        <v>52</v>
      </c>
      <c r="L1561">
        <v>30</v>
      </c>
      <c r="P1561" t="s">
        <v>2272</v>
      </c>
      <c r="Q1561" t="s">
        <v>3988</v>
      </c>
      <c r="R1561" t="s">
        <v>2423</v>
      </c>
      <c r="S1561">
        <v>4</v>
      </c>
      <c r="T1561" t="s">
        <v>2274</v>
      </c>
      <c r="U1561" t="s">
        <v>2275</v>
      </c>
    </row>
    <row r="1562" spans="1:21" x14ac:dyDescent="0.25">
      <c r="A1562" t="s">
        <v>3990</v>
      </c>
      <c r="B1562" t="s">
        <v>1004</v>
      </c>
      <c r="C1562" t="s">
        <v>353</v>
      </c>
      <c r="D1562" t="s">
        <v>24</v>
      </c>
      <c r="E1562" t="s">
        <v>2101</v>
      </c>
      <c r="F1562" t="s">
        <v>276</v>
      </c>
      <c r="G1562" t="s">
        <v>2271</v>
      </c>
      <c r="H1562" s="20">
        <v>46250</v>
      </c>
      <c r="I1562">
        <v>1800</v>
      </c>
      <c r="J1562">
        <v>61</v>
      </c>
      <c r="K1562">
        <v>52</v>
      </c>
      <c r="L1562">
        <v>30</v>
      </c>
      <c r="P1562" t="s">
        <v>2272</v>
      </c>
      <c r="Q1562" t="s">
        <v>3988</v>
      </c>
      <c r="R1562" t="s">
        <v>2423</v>
      </c>
      <c r="S1562">
        <v>4</v>
      </c>
      <c r="T1562" t="s">
        <v>2274</v>
      </c>
      <c r="U1562" t="s">
        <v>2275</v>
      </c>
    </row>
    <row r="1563" spans="1:21" x14ac:dyDescent="0.25">
      <c r="A1563" t="s">
        <v>3991</v>
      </c>
      <c r="B1563" t="s">
        <v>1004</v>
      </c>
      <c r="C1563" t="s">
        <v>353</v>
      </c>
      <c r="D1563" t="s">
        <v>24</v>
      </c>
      <c r="E1563" t="s">
        <v>2102</v>
      </c>
      <c r="F1563" t="s">
        <v>131</v>
      </c>
      <c r="G1563" t="s">
        <v>2425</v>
      </c>
      <c r="H1563" s="20">
        <v>46250</v>
      </c>
      <c r="I1563">
        <v>1800</v>
      </c>
      <c r="J1563">
        <v>59</v>
      </c>
      <c r="K1563">
        <v>50</v>
      </c>
      <c r="L1563">
        <v>21</v>
      </c>
      <c r="P1563" t="s">
        <v>2272</v>
      </c>
      <c r="Q1563" t="s">
        <v>3992</v>
      </c>
      <c r="R1563" t="s">
        <v>2423</v>
      </c>
      <c r="S1563">
        <v>4</v>
      </c>
      <c r="T1563" t="s">
        <v>2274</v>
      </c>
      <c r="U1563" t="s">
        <v>2275</v>
      </c>
    </row>
    <row r="1564" spans="1:21" x14ac:dyDescent="0.25">
      <c r="A1564" t="s">
        <v>3993</v>
      </c>
      <c r="B1564" t="s">
        <v>1004</v>
      </c>
      <c r="C1564" t="s">
        <v>353</v>
      </c>
      <c r="D1564" t="s">
        <v>24</v>
      </c>
      <c r="E1564" t="s">
        <v>2103</v>
      </c>
      <c r="F1564" t="s">
        <v>832</v>
      </c>
      <c r="G1564" t="s">
        <v>2425</v>
      </c>
      <c r="H1564" s="20">
        <v>46250</v>
      </c>
      <c r="I1564">
        <v>1800</v>
      </c>
      <c r="J1564">
        <v>59</v>
      </c>
      <c r="K1564">
        <v>50</v>
      </c>
      <c r="L1564">
        <v>21</v>
      </c>
      <c r="P1564" t="s">
        <v>2272</v>
      </c>
      <c r="Q1564" t="s">
        <v>3992</v>
      </c>
      <c r="R1564" t="s">
        <v>2423</v>
      </c>
      <c r="S1564">
        <v>4</v>
      </c>
      <c r="T1564" t="s">
        <v>2274</v>
      </c>
      <c r="U1564" t="s">
        <v>2275</v>
      </c>
    </row>
    <row r="1565" spans="1:21" x14ac:dyDescent="0.25">
      <c r="A1565" t="s">
        <v>3994</v>
      </c>
      <c r="B1565" t="s">
        <v>1004</v>
      </c>
      <c r="C1565" t="s">
        <v>353</v>
      </c>
      <c r="D1565" t="s">
        <v>24</v>
      </c>
      <c r="E1565" t="s">
        <v>2104</v>
      </c>
      <c r="F1565" t="s">
        <v>368</v>
      </c>
      <c r="G1565" t="s">
        <v>2425</v>
      </c>
      <c r="H1565" s="20">
        <v>46250</v>
      </c>
      <c r="I1565">
        <v>1800</v>
      </c>
      <c r="J1565">
        <v>59</v>
      </c>
      <c r="K1565">
        <v>50</v>
      </c>
      <c r="L1565">
        <v>21</v>
      </c>
      <c r="P1565" t="s">
        <v>2272</v>
      </c>
      <c r="Q1565" t="s">
        <v>3992</v>
      </c>
      <c r="R1565" t="s">
        <v>2423</v>
      </c>
      <c r="S1565">
        <v>4</v>
      </c>
      <c r="T1565" t="s">
        <v>2274</v>
      </c>
      <c r="U1565" t="s">
        <v>2275</v>
      </c>
    </row>
    <row r="1566" spans="1:21" x14ac:dyDescent="0.25">
      <c r="A1566" t="s">
        <v>3995</v>
      </c>
      <c r="B1566" t="s">
        <v>1004</v>
      </c>
      <c r="C1566" t="s">
        <v>353</v>
      </c>
      <c r="D1566" t="s">
        <v>24</v>
      </c>
      <c r="E1566" t="s">
        <v>2105</v>
      </c>
      <c r="F1566" t="s">
        <v>147</v>
      </c>
      <c r="G1566" t="s">
        <v>2425</v>
      </c>
      <c r="H1566" s="20">
        <v>46250</v>
      </c>
      <c r="I1566">
        <v>1800</v>
      </c>
      <c r="J1566">
        <v>59</v>
      </c>
      <c r="K1566">
        <v>50</v>
      </c>
      <c r="L1566">
        <v>21</v>
      </c>
      <c r="P1566" t="s">
        <v>2272</v>
      </c>
      <c r="Q1566" t="s">
        <v>3992</v>
      </c>
      <c r="R1566" t="s">
        <v>2423</v>
      </c>
      <c r="S1566">
        <v>4</v>
      </c>
      <c r="T1566" t="s">
        <v>2274</v>
      </c>
      <c r="U1566" t="s">
        <v>2275</v>
      </c>
    </row>
    <row r="1567" spans="1:21" x14ac:dyDescent="0.25">
      <c r="A1567" t="s">
        <v>3996</v>
      </c>
      <c r="B1567" t="s">
        <v>1004</v>
      </c>
      <c r="C1567" t="s">
        <v>353</v>
      </c>
      <c r="D1567" t="s">
        <v>24</v>
      </c>
      <c r="E1567" t="s">
        <v>2106</v>
      </c>
      <c r="F1567" t="s">
        <v>400</v>
      </c>
      <c r="G1567" t="s">
        <v>2425</v>
      </c>
      <c r="H1567" s="20">
        <v>46250</v>
      </c>
      <c r="I1567">
        <v>1800</v>
      </c>
      <c r="J1567">
        <v>59</v>
      </c>
      <c r="K1567">
        <v>50</v>
      </c>
      <c r="L1567">
        <v>21</v>
      </c>
      <c r="P1567" t="s">
        <v>2272</v>
      </c>
      <c r="Q1567" t="s">
        <v>3992</v>
      </c>
      <c r="R1567" t="s">
        <v>2423</v>
      </c>
      <c r="S1567">
        <v>4</v>
      </c>
      <c r="T1567" t="s">
        <v>2274</v>
      </c>
      <c r="U1567" t="s">
        <v>2275</v>
      </c>
    </row>
    <row r="1568" spans="1:21" x14ac:dyDescent="0.25">
      <c r="A1568" t="s">
        <v>3997</v>
      </c>
      <c r="B1568" t="s">
        <v>1004</v>
      </c>
      <c r="C1568" t="s">
        <v>353</v>
      </c>
      <c r="D1568" t="s">
        <v>24</v>
      </c>
      <c r="E1568" t="s">
        <v>2107</v>
      </c>
      <c r="F1568" t="s">
        <v>435</v>
      </c>
      <c r="G1568" t="s">
        <v>2425</v>
      </c>
      <c r="H1568" s="20">
        <v>46250</v>
      </c>
      <c r="I1568">
        <v>1800</v>
      </c>
      <c r="J1568">
        <v>59</v>
      </c>
      <c r="K1568">
        <v>50</v>
      </c>
      <c r="L1568">
        <v>21</v>
      </c>
      <c r="P1568" t="s">
        <v>2272</v>
      </c>
      <c r="Q1568" t="s">
        <v>3992</v>
      </c>
      <c r="R1568" t="s">
        <v>2423</v>
      </c>
      <c r="S1568">
        <v>4</v>
      </c>
      <c r="T1568" t="s">
        <v>2274</v>
      </c>
      <c r="U1568" t="s">
        <v>2275</v>
      </c>
    </row>
    <row r="1569" spans="1:21" x14ac:dyDescent="0.25">
      <c r="A1569" t="s">
        <v>3998</v>
      </c>
      <c r="B1569" t="s">
        <v>1004</v>
      </c>
      <c r="C1569" t="s">
        <v>353</v>
      </c>
      <c r="D1569" t="s">
        <v>24</v>
      </c>
      <c r="E1569" t="s">
        <v>2108</v>
      </c>
      <c r="F1569" t="s">
        <v>494</v>
      </c>
      <c r="G1569" t="s">
        <v>2425</v>
      </c>
      <c r="H1569" s="20">
        <v>46250</v>
      </c>
      <c r="I1569">
        <v>1800</v>
      </c>
      <c r="J1569">
        <v>59</v>
      </c>
      <c r="K1569">
        <v>50</v>
      </c>
      <c r="L1569">
        <v>21</v>
      </c>
      <c r="P1569" t="s">
        <v>2272</v>
      </c>
      <c r="Q1569" t="s">
        <v>3992</v>
      </c>
      <c r="R1569" t="s">
        <v>2423</v>
      </c>
      <c r="S1569">
        <v>4</v>
      </c>
      <c r="T1569" t="s">
        <v>2274</v>
      </c>
      <c r="U1569" t="s">
        <v>2275</v>
      </c>
    </row>
    <row r="1570" spans="1:21" x14ac:dyDescent="0.25">
      <c r="A1570" t="s">
        <v>3999</v>
      </c>
      <c r="B1570" t="s">
        <v>1004</v>
      </c>
      <c r="C1570" t="s">
        <v>353</v>
      </c>
      <c r="D1570" t="s">
        <v>24</v>
      </c>
      <c r="E1570" t="s">
        <v>2109</v>
      </c>
      <c r="F1570" t="s">
        <v>1376</v>
      </c>
      <c r="G1570" t="s">
        <v>2425</v>
      </c>
      <c r="H1570" s="20">
        <v>46250</v>
      </c>
      <c r="I1570">
        <v>1800</v>
      </c>
      <c r="J1570">
        <v>59</v>
      </c>
      <c r="K1570">
        <v>50</v>
      </c>
      <c r="L1570">
        <v>21</v>
      </c>
      <c r="P1570" t="s">
        <v>2272</v>
      </c>
      <c r="Q1570" t="s">
        <v>3992</v>
      </c>
      <c r="R1570" t="s">
        <v>2423</v>
      </c>
      <c r="S1570">
        <v>4</v>
      </c>
      <c r="T1570" t="s">
        <v>2274</v>
      </c>
      <c r="U1570" t="s">
        <v>2275</v>
      </c>
    </row>
    <row r="1571" spans="1:21" x14ac:dyDescent="0.25">
      <c r="A1571" t="s">
        <v>4000</v>
      </c>
      <c r="B1571" t="s">
        <v>1004</v>
      </c>
      <c r="C1571" t="s">
        <v>353</v>
      </c>
      <c r="D1571" t="s">
        <v>21</v>
      </c>
      <c r="E1571" t="s">
        <v>2110</v>
      </c>
      <c r="F1571" t="s">
        <v>985</v>
      </c>
      <c r="G1571" t="s">
        <v>2444</v>
      </c>
      <c r="H1571" s="20">
        <v>46254</v>
      </c>
      <c r="I1571">
        <v>1500</v>
      </c>
      <c r="J1571">
        <v>52</v>
      </c>
      <c r="K1571">
        <v>42</v>
      </c>
      <c r="L1571">
        <v>31</v>
      </c>
      <c r="P1571" t="s">
        <v>2272</v>
      </c>
      <c r="Q1571" t="s">
        <v>4001</v>
      </c>
      <c r="R1571" t="s">
        <v>2446</v>
      </c>
      <c r="S1571">
        <v>11</v>
      </c>
      <c r="T1571" t="s">
        <v>3010</v>
      </c>
      <c r="U1571" t="s">
        <v>3011</v>
      </c>
    </row>
    <row r="1572" spans="1:21" x14ac:dyDescent="0.25">
      <c r="A1572" t="s">
        <v>4002</v>
      </c>
      <c r="B1572" t="s">
        <v>1004</v>
      </c>
      <c r="C1572" t="s">
        <v>353</v>
      </c>
      <c r="D1572" t="s">
        <v>21</v>
      </c>
      <c r="E1572" t="s">
        <v>2110</v>
      </c>
      <c r="F1572" t="s">
        <v>1197</v>
      </c>
      <c r="G1572" t="s">
        <v>2444</v>
      </c>
      <c r="H1572" s="20">
        <v>46254</v>
      </c>
      <c r="I1572">
        <v>1500</v>
      </c>
      <c r="J1572">
        <v>52</v>
      </c>
      <c r="K1572">
        <v>42</v>
      </c>
      <c r="L1572">
        <v>31</v>
      </c>
      <c r="P1572" t="s">
        <v>2272</v>
      </c>
      <c r="Q1572" t="s">
        <v>4001</v>
      </c>
      <c r="R1572" t="s">
        <v>2446</v>
      </c>
      <c r="S1572">
        <v>11</v>
      </c>
      <c r="T1572" t="s">
        <v>3010</v>
      </c>
      <c r="U1572" t="s">
        <v>3011</v>
      </c>
    </row>
    <row r="1573" spans="1:21" x14ac:dyDescent="0.25">
      <c r="A1573" t="s">
        <v>4003</v>
      </c>
      <c r="B1573" t="s">
        <v>1004</v>
      </c>
      <c r="C1573" t="s">
        <v>353</v>
      </c>
      <c r="D1573" t="s">
        <v>21</v>
      </c>
      <c r="E1573" t="s">
        <v>2111</v>
      </c>
      <c r="F1573" t="s">
        <v>217</v>
      </c>
      <c r="G1573" t="s">
        <v>2271</v>
      </c>
      <c r="H1573" s="20">
        <v>46254</v>
      </c>
      <c r="I1573">
        <v>1500</v>
      </c>
      <c r="J1573">
        <v>52</v>
      </c>
      <c r="K1573">
        <v>42</v>
      </c>
      <c r="L1573">
        <v>23</v>
      </c>
      <c r="P1573" t="s">
        <v>2272</v>
      </c>
      <c r="R1573" t="s">
        <v>2273</v>
      </c>
      <c r="S1573">
        <v>11</v>
      </c>
      <c r="T1573" t="s">
        <v>3010</v>
      </c>
      <c r="U1573" t="s">
        <v>3011</v>
      </c>
    </row>
    <row r="1574" spans="1:21" x14ac:dyDescent="0.25">
      <c r="A1574" t="s">
        <v>4004</v>
      </c>
      <c r="B1574" t="s">
        <v>1004</v>
      </c>
      <c r="C1574" t="s">
        <v>353</v>
      </c>
      <c r="D1574" t="s">
        <v>21</v>
      </c>
      <c r="E1574" t="s">
        <v>2112</v>
      </c>
      <c r="F1574" t="s">
        <v>219</v>
      </c>
      <c r="G1574" t="s">
        <v>2271</v>
      </c>
      <c r="H1574" s="20">
        <v>46254</v>
      </c>
      <c r="I1574">
        <v>1500</v>
      </c>
      <c r="J1574">
        <v>52</v>
      </c>
      <c r="K1574">
        <v>42</v>
      </c>
      <c r="L1574">
        <v>23</v>
      </c>
      <c r="P1574" t="s">
        <v>2272</v>
      </c>
      <c r="R1574" t="s">
        <v>2273</v>
      </c>
      <c r="S1574">
        <v>11</v>
      </c>
      <c r="T1574" t="s">
        <v>3010</v>
      </c>
      <c r="U1574" t="s">
        <v>3011</v>
      </c>
    </row>
    <row r="1575" spans="1:21" x14ac:dyDescent="0.25">
      <c r="A1575" t="s">
        <v>4005</v>
      </c>
      <c r="B1575" t="s">
        <v>1004</v>
      </c>
      <c r="C1575" t="s">
        <v>353</v>
      </c>
      <c r="D1575" t="s">
        <v>21</v>
      </c>
      <c r="E1575" t="s">
        <v>2113</v>
      </c>
      <c r="F1575" t="s">
        <v>293</v>
      </c>
      <c r="G1575" t="s">
        <v>2271</v>
      </c>
      <c r="H1575" s="20">
        <v>46254</v>
      </c>
      <c r="I1575">
        <v>1500</v>
      </c>
      <c r="J1575">
        <v>52</v>
      </c>
      <c r="K1575">
        <v>42</v>
      </c>
      <c r="L1575">
        <v>23</v>
      </c>
      <c r="P1575" t="s">
        <v>2272</v>
      </c>
      <c r="R1575" t="s">
        <v>2273</v>
      </c>
      <c r="S1575">
        <v>11</v>
      </c>
      <c r="T1575" t="s">
        <v>3010</v>
      </c>
      <c r="U1575" t="s">
        <v>3011</v>
      </c>
    </row>
    <row r="1576" spans="1:21" x14ac:dyDescent="0.25">
      <c r="A1576" t="s">
        <v>4006</v>
      </c>
      <c r="B1576" t="s">
        <v>1004</v>
      </c>
      <c r="C1576" t="s">
        <v>353</v>
      </c>
      <c r="D1576" t="s">
        <v>21</v>
      </c>
      <c r="E1576" t="s">
        <v>2114</v>
      </c>
      <c r="F1576" t="s">
        <v>90</v>
      </c>
      <c r="G1576" t="s">
        <v>2271</v>
      </c>
      <c r="H1576" s="20">
        <v>46254</v>
      </c>
      <c r="I1576">
        <v>1500</v>
      </c>
      <c r="J1576">
        <v>52</v>
      </c>
      <c r="K1576">
        <v>42</v>
      </c>
      <c r="L1576">
        <v>23</v>
      </c>
      <c r="P1576" t="s">
        <v>2272</v>
      </c>
      <c r="R1576" t="s">
        <v>2273</v>
      </c>
      <c r="S1576">
        <v>11</v>
      </c>
      <c r="T1576" t="s">
        <v>3010</v>
      </c>
      <c r="U1576" t="s">
        <v>3011</v>
      </c>
    </row>
    <row r="1577" spans="1:21" x14ac:dyDescent="0.25">
      <c r="A1577" t="s">
        <v>4007</v>
      </c>
      <c r="B1577" t="s">
        <v>1004</v>
      </c>
      <c r="C1577" t="s">
        <v>353</v>
      </c>
      <c r="D1577" t="s">
        <v>21</v>
      </c>
      <c r="E1577" t="s">
        <v>2115</v>
      </c>
      <c r="F1577" t="s">
        <v>1108</v>
      </c>
      <c r="G1577" t="s">
        <v>2271</v>
      </c>
      <c r="H1577" s="20">
        <v>46254</v>
      </c>
      <c r="I1577">
        <v>1500</v>
      </c>
      <c r="J1577">
        <v>52</v>
      </c>
      <c r="K1577">
        <v>42</v>
      </c>
      <c r="L1577">
        <v>23</v>
      </c>
      <c r="P1577" t="s">
        <v>2272</v>
      </c>
      <c r="R1577" t="s">
        <v>2273</v>
      </c>
      <c r="S1577">
        <v>11</v>
      </c>
      <c r="T1577" t="s">
        <v>3010</v>
      </c>
      <c r="U1577" t="s">
        <v>3011</v>
      </c>
    </row>
    <row r="1578" spans="1:21" x14ac:dyDescent="0.25">
      <c r="A1578" t="s">
        <v>4008</v>
      </c>
      <c r="B1578" t="s">
        <v>1004</v>
      </c>
      <c r="C1578" t="s">
        <v>353</v>
      </c>
      <c r="D1578" t="s">
        <v>26</v>
      </c>
      <c r="E1578" t="s">
        <v>2116</v>
      </c>
      <c r="F1578" t="s">
        <v>163</v>
      </c>
      <c r="H1578" s="20"/>
      <c r="P1578" t="s">
        <v>2291</v>
      </c>
      <c r="R1578" t="s">
        <v>2292</v>
      </c>
    </row>
    <row r="1579" spans="1:21" x14ac:dyDescent="0.25">
      <c r="A1579" t="s">
        <v>4009</v>
      </c>
      <c r="B1579" t="s">
        <v>1004</v>
      </c>
      <c r="C1579" t="s">
        <v>154</v>
      </c>
      <c r="D1579" t="s">
        <v>24</v>
      </c>
      <c r="E1579" t="s">
        <v>2118</v>
      </c>
      <c r="F1579" t="s">
        <v>168</v>
      </c>
      <c r="G1579" t="s">
        <v>2271</v>
      </c>
      <c r="H1579" s="20">
        <v>46250</v>
      </c>
      <c r="I1579">
        <v>1800</v>
      </c>
      <c r="J1579">
        <v>50</v>
      </c>
      <c r="K1579">
        <v>41</v>
      </c>
      <c r="L1579">
        <v>25</v>
      </c>
      <c r="M1579">
        <v>13</v>
      </c>
      <c r="P1579" t="s">
        <v>2272</v>
      </c>
      <c r="R1579" t="s">
        <v>2273</v>
      </c>
      <c r="S1579">
        <v>4</v>
      </c>
      <c r="T1579" t="s">
        <v>2274</v>
      </c>
      <c r="U1579" t="s">
        <v>2275</v>
      </c>
    </row>
    <row r="1580" spans="1:21" x14ac:dyDescent="0.25">
      <c r="A1580" t="s">
        <v>4010</v>
      </c>
      <c r="B1580" t="s">
        <v>1004</v>
      </c>
      <c r="C1580" t="s">
        <v>154</v>
      </c>
      <c r="D1580" t="s">
        <v>24</v>
      </c>
      <c r="E1580" t="s">
        <v>2119</v>
      </c>
      <c r="F1580" t="s">
        <v>1405</v>
      </c>
      <c r="G1580" t="s">
        <v>2271</v>
      </c>
      <c r="H1580" s="20">
        <v>46250</v>
      </c>
      <c r="I1580">
        <v>1800</v>
      </c>
      <c r="J1580">
        <v>50</v>
      </c>
      <c r="K1580">
        <v>41</v>
      </c>
      <c r="L1580">
        <v>25</v>
      </c>
      <c r="M1580">
        <v>13</v>
      </c>
      <c r="P1580" t="s">
        <v>2272</v>
      </c>
      <c r="R1580" t="s">
        <v>2273</v>
      </c>
      <c r="S1580">
        <v>4</v>
      </c>
      <c r="T1580" t="s">
        <v>2274</v>
      </c>
      <c r="U1580" t="s">
        <v>2275</v>
      </c>
    </row>
    <row r="1581" spans="1:21" x14ac:dyDescent="0.25">
      <c r="A1581" t="s">
        <v>4011</v>
      </c>
      <c r="B1581" t="s">
        <v>1004</v>
      </c>
      <c r="C1581" t="s">
        <v>154</v>
      </c>
      <c r="D1581" t="s">
        <v>24</v>
      </c>
      <c r="E1581" t="s">
        <v>2120</v>
      </c>
      <c r="F1581" t="s">
        <v>56</v>
      </c>
      <c r="G1581" t="s">
        <v>2271</v>
      </c>
      <c r="H1581" s="20">
        <v>46250</v>
      </c>
      <c r="I1581">
        <v>1800</v>
      </c>
      <c r="J1581">
        <v>50</v>
      </c>
      <c r="K1581">
        <v>41</v>
      </c>
      <c r="L1581">
        <v>25</v>
      </c>
      <c r="M1581">
        <v>13</v>
      </c>
      <c r="P1581" t="s">
        <v>2272</v>
      </c>
      <c r="R1581" t="s">
        <v>2273</v>
      </c>
      <c r="S1581">
        <v>4</v>
      </c>
      <c r="T1581" t="s">
        <v>2274</v>
      </c>
      <c r="U1581" t="s">
        <v>2275</v>
      </c>
    </row>
    <row r="1582" spans="1:21" x14ac:dyDescent="0.25">
      <c r="A1582" t="s">
        <v>4012</v>
      </c>
      <c r="B1582" t="s">
        <v>1004</v>
      </c>
      <c r="C1582" t="s">
        <v>154</v>
      </c>
      <c r="D1582" t="s">
        <v>24</v>
      </c>
      <c r="E1582" t="s">
        <v>2121</v>
      </c>
      <c r="F1582" t="s">
        <v>347</v>
      </c>
      <c r="G1582" t="s">
        <v>2271</v>
      </c>
      <c r="H1582" s="20">
        <v>46250</v>
      </c>
      <c r="I1582">
        <v>1800</v>
      </c>
      <c r="J1582">
        <v>50</v>
      </c>
      <c r="K1582">
        <v>41</v>
      </c>
      <c r="L1582">
        <v>25</v>
      </c>
      <c r="M1582">
        <v>13</v>
      </c>
      <c r="P1582" t="s">
        <v>2272</v>
      </c>
      <c r="R1582" t="s">
        <v>2273</v>
      </c>
      <c r="S1582">
        <v>4</v>
      </c>
      <c r="T1582" t="s">
        <v>2274</v>
      </c>
      <c r="U1582" t="s">
        <v>2275</v>
      </c>
    </row>
    <row r="1583" spans="1:21" x14ac:dyDescent="0.25">
      <c r="A1583" t="s">
        <v>4013</v>
      </c>
      <c r="B1583" t="s">
        <v>1004</v>
      </c>
      <c r="C1583" t="s">
        <v>154</v>
      </c>
      <c r="D1583" t="s">
        <v>24</v>
      </c>
      <c r="E1583" t="s">
        <v>2122</v>
      </c>
      <c r="F1583" t="s">
        <v>60</v>
      </c>
      <c r="G1583" t="s">
        <v>2271</v>
      </c>
      <c r="H1583" s="20">
        <v>46250</v>
      </c>
      <c r="I1583">
        <v>1800</v>
      </c>
      <c r="J1583">
        <v>50</v>
      </c>
      <c r="K1583">
        <v>41</v>
      </c>
      <c r="L1583">
        <v>25</v>
      </c>
      <c r="M1583">
        <v>13</v>
      </c>
      <c r="P1583" t="s">
        <v>2272</v>
      </c>
      <c r="R1583" t="s">
        <v>2273</v>
      </c>
      <c r="S1583">
        <v>4</v>
      </c>
      <c r="T1583" t="s">
        <v>2274</v>
      </c>
      <c r="U1583" t="s">
        <v>2275</v>
      </c>
    </row>
    <row r="1584" spans="1:21" x14ac:dyDescent="0.25">
      <c r="A1584" t="s">
        <v>4014</v>
      </c>
      <c r="B1584" t="s">
        <v>1004</v>
      </c>
      <c r="C1584" t="s">
        <v>154</v>
      </c>
      <c r="D1584" t="s">
        <v>24</v>
      </c>
      <c r="E1584" t="s">
        <v>2123</v>
      </c>
      <c r="F1584" t="s">
        <v>256</v>
      </c>
      <c r="G1584" t="s">
        <v>2271</v>
      </c>
      <c r="H1584" s="20">
        <v>46250</v>
      </c>
      <c r="I1584">
        <v>1800</v>
      </c>
      <c r="J1584">
        <v>50</v>
      </c>
      <c r="K1584">
        <v>41</v>
      </c>
      <c r="L1584">
        <v>25</v>
      </c>
      <c r="M1584">
        <v>13</v>
      </c>
      <c r="P1584" t="s">
        <v>2272</v>
      </c>
      <c r="R1584" t="s">
        <v>2273</v>
      </c>
      <c r="S1584">
        <v>4</v>
      </c>
      <c r="T1584" t="s">
        <v>2274</v>
      </c>
      <c r="U1584" t="s">
        <v>2275</v>
      </c>
    </row>
    <row r="1585" spans="1:21" x14ac:dyDescent="0.25">
      <c r="A1585" t="s">
        <v>4015</v>
      </c>
      <c r="B1585" t="s">
        <v>1004</v>
      </c>
      <c r="C1585" t="s">
        <v>154</v>
      </c>
      <c r="D1585" t="s">
        <v>24</v>
      </c>
      <c r="E1585" t="s">
        <v>2124</v>
      </c>
      <c r="F1585" t="s">
        <v>655</v>
      </c>
      <c r="G1585" t="s">
        <v>2271</v>
      </c>
      <c r="H1585" s="20">
        <v>46250</v>
      </c>
      <c r="I1585">
        <v>1800</v>
      </c>
      <c r="J1585">
        <v>50</v>
      </c>
      <c r="K1585">
        <v>41</v>
      </c>
      <c r="L1585">
        <v>25</v>
      </c>
      <c r="M1585">
        <v>13</v>
      </c>
      <c r="P1585" t="s">
        <v>2272</v>
      </c>
      <c r="R1585" t="s">
        <v>2273</v>
      </c>
      <c r="S1585">
        <v>4</v>
      </c>
      <c r="T1585" t="s">
        <v>2274</v>
      </c>
      <c r="U1585" t="s">
        <v>2275</v>
      </c>
    </row>
    <row r="1586" spans="1:21" x14ac:dyDescent="0.25">
      <c r="A1586" t="s">
        <v>4016</v>
      </c>
      <c r="B1586" t="s">
        <v>1004</v>
      </c>
      <c r="C1586" t="s">
        <v>154</v>
      </c>
      <c r="D1586" t="s">
        <v>24</v>
      </c>
      <c r="E1586" t="s">
        <v>2125</v>
      </c>
      <c r="F1586" t="s">
        <v>1212</v>
      </c>
      <c r="G1586" t="s">
        <v>2271</v>
      </c>
      <c r="H1586" s="20">
        <v>46250</v>
      </c>
      <c r="I1586">
        <v>1800</v>
      </c>
      <c r="J1586">
        <v>50</v>
      </c>
      <c r="K1586">
        <v>41</v>
      </c>
      <c r="L1586">
        <v>25</v>
      </c>
      <c r="M1586">
        <v>13</v>
      </c>
      <c r="P1586" t="s">
        <v>2272</v>
      </c>
      <c r="R1586" t="s">
        <v>2273</v>
      </c>
      <c r="S1586">
        <v>4</v>
      </c>
      <c r="T1586" t="s">
        <v>2274</v>
      </c>
      <c r="U1586" t="s">
        <v>2275</v>
      </c>
    </row>
    <row r="1587" spans="1:21" x14ac:dyDescent="0.25">
      <c r="A1587" t="s">
        <v>4017</v>
      </c>
      <c r="B1587" t="s">
        <v>1004</v>
      </c>
      <c r="C1587" t="s">
        <v>154</v>
      </c>
      <c r="D1587" t="s">
        <v>21</v>
      </c>
      <c r="E1587" t="s">
        <v>2126</v>
      </c>
      <c r="F1587" t="s">
        <v>1197</v>
      </c>
      <c r="G1587" t="s">
        <v>2271</v>
      </c>
      <c r="H1587" s="20">
        <v>46254</v>
      </c>
      <c r="I1587">
        <v>1500</v>
      </c>
      <c r="J1587">
        <v>46</v>
      </c>
      <c r="K1587">
        <v>23</v>
      </c>
      <c r="L1587">
        <v>18</v>
      </c>
      <c r="P1587" t="s">
        <v>2272</v>
      </c>
      <c r="R1587" t="s">
        <v>2273</v>
      </c>
      <c r="S1587">
        <v>5</v>
      </c>
      <c r="T1587" t="s">
        <v>2319</v>
      </c>
      <c r="U1587" t="s">
        <v>2320</v>
      </c>
    </row>
    <row r="1588" spans="1:21" x14ac:dyDescent="0.25">
      <c r="A1588" t="s">
        <v>4018</v>
      </c>
      <c r="B1588" t="s">
        <v>1004</v>
      </c>
      <c r="C1588" t="s">
        <v>154</v>
      </c>
      <c r="D1588" t="s">
        <v>21</v>
      </c>
      <c r="E1588" t="s">
        <v>2127</v>
      </c>
      <c r="F1588" t="s">
        <v>168</v>
      </c>
      <c r="G1588" t="s">
        <v>2271</v>
      </c>
      <c r="H1588" s="20">
        <v>46254</v>
      </c>
      <c r="I1588">
        <v>1500</v>
      </c>
      <c r="J1588">
        <v>46</v>
      </c>
      <c r="K1588">
        <v>23</v>
      </c>
      <c r="L1588">
        <v>18</v>
      </c>
      <c r="P1588" t="s">
        <v>2272</v>
      </c>
      <c r="R1588" t="s">
        <v>2273</v>
      </c>
      <c r="S1588">
        <v>5</v>
      </c>
      <c r="T1588" t="s">
        <v>2319</v>
      </c>
      <c r="U1588" t="s">
        <v>2320</v>
      </c>
    </row>
    <row r="1589" spans="1:21" x14ac:dyDescent="0.25">
      <c r="A1589" t="s">
        <v>4019</v>
      </c>
      <c r="B1589" t="s">
        <v>1004</v>
      </c>
      <c r="C1589" t="s">
        <v>154</v>
      </c>
      <c r="D1589" t="s">
        <v>21</v>
      </c>
      <c r="E1589" t="s">
        <v>279</v>
      </c>
      <c r="F1589" t="s">
        <v>890</v>
      </c>
      <c r="G1589" t="s">
        <v>2271</v>
      </c>
      <c r="H1589" s="20">
        <v>46254</v>
      </c>
      <c r="I1589">
        <v>1500</v>
      </c>
      <c r="J1589">
        <v>46</v>
      </c>
      <c r="K1589">
        <v>23</v>
      </c>
      <c r="L1589">
        <v>18</v>
      </c>
      <c r="P1589" t="s">
        <v>2272</v>
      </c>
      <c r="R1589" t="s">
        <v>2273</v>
      </c>
      <c r="S1589">
        <v>5</v>
      </c>
      <c r="T1589" t="s">
        <v>2319</v>
      </c>
      <c r="U1589" t="s">
        <v>2320</v>
      </c>
    </row>
    <row r="1590" spans="1:21" x14ac:dyDescent="0.25">
      <c r="A1590" t="s">
        <v>4020</v>
      </c>
      <c r="B1590" t="s">
        <v>1004</v>
      </c>
      <c r="C1590" t="s">
        <v>154</v>
      </c>
      <c r="D1590" t="s">
        <v>21</v>
      </c>
      <c r="E1590" t="s">
        <v>465</v>
      </c>
      <c r="F1590" t="s">
        <v>1405</v>
      </c>
      <c r="G1590" t="s">
        <v>2271</v>
      </c>
      <c r="H1590" s="20">
        <v>46254</v>
      </c>
      <c r="I1590">
        <v>1500</v>
      </c>
      <c r="J1590">
        <v>46</v>
      </c>
      <c r="K1590">
        <v>23</v>
      </c>
      <c r="L1590">
        <v>18</v>
      </c>
      <c r="P1590" t="s">
        <v>2272</v>
      </c>
      <c r="R1590" t="s">
        <v>2273</v>
      </c>
      <c r="S1590">
        <v>5</v>
      </c>
      <c r="T1590" t="s">
        <v>2319</v>
      </c>
      <c r="U1590" t="s">
        <v>2320</v>
      </c>
    </row>
    <row r="1591" spans="1:21" x14ac:dyDescent="0.25">
      <c r="A1591" t="s">
        <v>4021</v>
      </c>
      <c r="B1591" t="s">
        <v>1004</v>
      </c>
      <c r="C1591" t="s">
        <v>154</v>
      </c>
      <c r="D1591" t="s">
        <v>21</v>
      </c>
      <c r="E1591" t="s">
        <v>2128</v>
      </c>
      <c r="F1591" t="s">
        <v>242</v>
      </c>
      <c r="G1591" t="s">
        <v>2271</v>
      </c>
      <c r="H1591" s="20">
        <v>46254</v>
      </c>
      <c r="I1591">
        <v>1500</v>
      </c>
      <c r="J1591">
        <v>46</v>
      </c>
      <c r="K1591">
        <v>23</v>
      </c>
      <c r="L1591">
        <v>18</v>
      </c>
      <c r="P1591" t="s">
        <v>2272</v>
      </c>
      <c r="R1591" t="s">
        <v>2273</v>
      </c>
      <c r="S1591">
        <v>5</v>
      </c>
      <c r="T1591" t="s">
        <v>2319</v>
      </c>
      <c r="U1591" t="s">
        <v>2320</v>
      </c>
    </row>
    <row r="1592" spans="1:21" x14ac:dyDescent="0.25">
      <c r="A1592" t="s">
        <v>4022</v>
      </c>
      <c r="B1592" t="s">
        <v>1004</v>
      </c>
      <c r="C1592" t="s">
        <v>154</v>
      </c>
      <c r="D1592" t="s">
        <v>21</v>
      </c>
      <c r="E1592" t="s">
        <v>2128</v>
      </c>
      <c r="F1592" t="s">
        <v>413</v>
      </c>
      <c r="G1592" t="s">
        <v>2271</v>
      </c>
      <c r="H1592" s="20">
        <v>46254</v>
      </c>
      <c r="I1592">
        <v>1500</v>
      </c>
      <c r="J1592">
        <v>46</v>
      </c>
      <c r="K1592">
        <v>23</v>
      </c>
      <c r="L1592">
        <v>18</v>
      </c>
      <c r="P1592" t="s">
        <v>2272</v>
      </c>
      <c r="R1592" t="s">
        <v>2273</v>
      </c>
      <c r="S1592">
        <v>5</v>
      </c>
      <c r="T1592" t="s">
        <v>2319</v>
      </c>
      <c r="U1592" t="s">
        <v>2320</v>
      </c>
    </row>
    <row r="1593" spans="1:21" x14ac:dyDescent="0.25">
      <c r="A1593" t="s">
        <v>4023</v>
      </c>
      <c r="B1593" t="s">
        <v>1004</v>
      </c>
      <c r="C1593" t="s">
        <v>154</v>
      </c>
      <c r="D1593" t="s">
        <v>21</v>
      </c>
      <c r="E1593" t="s">
        <v>2129</v>
      </c>
      <c r="F1593" t="s">
        <v>1923</v>
      </c>
      <c r="G1593" t="s">
        <v>2271</v>
      </c>
      <c r="H1593" s="20">
        <v>46254</v>
      </c>
      <c r="I1593">
        <v>1500</v>
      </c>
      <c r="J1593">
        <v>46</v>
      </c>
      <c r="K1593">
        <v>23</v>
      </c>
      <c r="L1593">
        <v>18</v>
      </c>
      <c r="P1593" t="s">
        <v>2272</v>
      </c>
      <c r="R1593" t="s">
        <v>2273</v>
      </c>
      <c r="S1593">
        <v>5</v>
      </c>
      <c r="T1593" t="s">
        <v>2319</v>
      </c>
      <c r="U1593" t="s">
        <v>2320</v>
      </c>
    </row>
    <row r="1594" spans="1:21" x14ac:dyDescent="0.25">
      <c r="A1594" t="s">
        <v>4024</v>
      </c>
      <c r="B1594" t="s">
        <v>1004</v>
      </c>
      <c r="C1594" t="s">
        <v>154</v>
      </c>
      <c r="D1594" t="s">
        <v>21</v>
      </c>
      <c r="E1594" t="s">
        <v>2129</v>
      </c>
      <c r="F1594" t="s">
        <v>744</v>
      </c>
      <c r="G1594" t="s">
        <v>2271</v>
      </c>
      <c r="H1594" s="20">
        <v>46254</v>
      </c>
      <c r="I1594">
        <v>1500</v>
      </c>
      <c r="J1594">
        <v>46</v>
      </c>
      <c r="K1594">
        <v>23</v>
      </c>
      <c r="L1594">
        <v>18</v>
      </c>
      <c r="P1594" t="s">
        <v>2272</v>
      </c>
      <c r="R1594" t="s">
        <v>2273</v>
      </c>
      <c r="S1594">
        <v>5</v>
      </c>
      <c r="T1594" t="s">
        <v>2319</v>
      </c>
      <c r="U1594" t="s">
        <v>2320</v>
      </c>
    </row>
    <row r="1595" spans="1:21" x14ac:dyDescent="0.25">
      <c r="A1595" t="s">
        <v>4025</v>
      </c>
      <c r="B1595" t="s">
        <v>1004</v>
      </c>
      <c r="C1595" t="s">
        <v>541</v>
      </c>
      <c r="D1595" t="s">
        <v>24</v>
      </c>
      <c r="E1595" t="s">
        <v>2131</v>
      </c>
      <c r="F1595" t="s">
        <v>630</v>
      </c>
      <c r="G1595" t="s">
        <v>2271</v>
      </c>
      <c r="H1595" s="20">
        <v>46250</v>
      </c>
      <c r="I1595">
        <v>1800</v>
      </c>
      <c r="J1595">
        <v>54</v>
      </c>
      <c r="K1595">
        <v>49</v>
      </c>
      <c r="L1595">
        <v>35</v>
      </c>
      <c r="P1595" t="s">
        <v>2272</v>
      </c>
      <c r="R1595" t="s">
        <v>2273</v>
      </c>
      <c r="S1595">
        <v>4</v>
      </c>
      <c r="T1595" t="s">
        <v>2274</v>
      </c>
      <c r="U1595" t="s">
        <v>2275</v>
      </c>
    </row>
    <row r="1596" spans="1:21" x14ac:dyDescent="0.25">
      <c r="A1596" t="s">
        <v>4026</v>
      </c>
      <c r="B1596" t="s">
        <v>1004</v>
      </c>
      <c r="C1596" t="s">
        <v>541</v>
      </c>
      <c r="D1596" t="s">
        <v>24</v>
      </c>
      <c r="E1596" t="s">
        <v>2132</v>
      </c>
      <c r="F1596" t="s">
        <v>240</v>
      </c>
      <c r="G1596" t="s">
        <v>2271</v>
      </c>
      <c r="H1596" s="20">
        <v>46250</v>
      </c>
      <c r="I1596">
        <v>1800</v>
      </c>
      <c r="J1596">
        <v>54</v>
      </c>
      <c r="K1596">
        <v>49</v>
      </c>
      <c r="L1596">
        <v>35</v>
      </c>
      <c r="P1596" t="s">
        <v>2272</v>
      </c>
      <c r="R1596" t="s">
        <v>2273</v>
      </c>
      <c r="S1596">
        <v>4</v>
      </c>
      <c r="T1596" t="s">
        <v>2274</v>
      </c>
      <c r="U1596" t="s">
        <v>2275</v>
      </c>
    </row>
    <row r="1597" spans="1:21" x14ac:dyDescent="0.25">
      <c r="A1597" t="s">
        <v>4027</v>
      </c>
      <c r="B1597" t="s">
        <v>1004</v>
      </c>
      <c r="C1597" t="s">
        <v>541</v>
      </c>
      <c r="D1597" t="s">
        <v>24</v>
      </c>
      <c r="E1597" t="s">
        <v>2133</v>
      </c>
      <c r="F1597" t="s">
        <v>235</v>
      </c>
      <c r="G1597" t="s">
        <v>2271</v>
      </c>
      <c r="H1597" s="20">
        <v>46250</v>
      </c>
      <c r="I1597">
        <v>1800</v>
      </c>
      <c r="J1597">
        <v>54</v>
      </c>
      <c r="K1597">
        <v>49</v>
      </c>
      <c r="L1597">
        <v>35</v>
      </c>
      <c r="P1597" t="s">
        <v>2272</v>
      </c>
      <c r="R1597" t="s">
        <v>2273</v>
      </c>
      <c r="S1597">
        <v>4</v>
      </c>
      <c r="T1597" t="s">
        <v>2274</v>
      </c>
      <c r="U1597" t="s">
        <v>2275</v>
      </c>
    </row>
    <row r="1598" spans="1:21" x14ac:dyDescent="0.25">
      <c r="A1598" t="s">
        <v>4028</v>
      </c>
      <c r="B1598" t="s">
        <v>1004</v>
      </c>
      <c r="C1598" t="s">
        <v>541</v>
      </c>
      <c r="D1598" t="s">
        <v>24</v>
      </c>
      <c r="E1598" t="s">
        <v>2134</v>
      </c>
      <c r="F1598" t="s">
        <v>589</v>
      </c>
      <c r="G1598" t="s">
        <v>2271</v>
      </c>
      <c r="H1598" s="20">
        <v>46250</v>
      </c>
      <c r="I1598">
        <v>1800</v>
      </c>
      <c r="J1598">
        <v>54</v>
      </c>
      <c r="K1598">
        <v>49</v>
      </c>
      <c r="L1598">
        <v>35</v>
      </c>
      <c r="P1598" t="s">
        <v>2272</v>
      </c>
      <c r="R1598" t="s">
        <v>2273</v>
      </c>
      <c r="S1598">
        <v>4</v>
      </c>
      <c r="T1598" t="s">
        <v>2274</v>
      </c>
      <c r="U1598" t="s">
        <v>2275</v>
      </c>
    </row>
    <row r="1599" spans="1:21" x14ac:dyDescent="0.25">
      <c r="A1599" t="s">
        <v>4029</v>
      </c>
      <c r="B1599" t="s">
        <v>1004</v>
      </c>
      <c r="C1599" t="s">
        <v>541</v>
      </c>
      <c r="D1599" t="s">
        <v>24</v>
      </c>
      <c r="E1599" t="s">
        <v>2135</v>
      </c>
      <c r="F1599" t="s">
        <v>760</v>
      </c>
      <c r="G1599" t="s">
        <v>2271</v>
      </c>
      <c r="H1599" s="20">
        <v>46250</v>
      </c>
      <c r="I1599">
        <v>1800</v>
      </c>
      <c r="J1599">
        <v>54</v>
      </c>
      <c r="K1599">
        <v>49</v>
      </c>
      <c r="L1599">
        <v>35</v>
      </c>
      <c r="P1599" t="s">
        <v>2272</v>
      </c>
      <c r="R1599" t="s">
        <v>2273</v>
      </c>
      <c r="S1599">
        <v>4</v>
      </c>
      <c r="T1599" t="s">
        <v>2274</v>
      </c>
      <c r="U1599" t="s">
        <v>2275</v>
      </c>
    </row>
    <row r="1600" spans="1:21" x14ac:dyDescent="0.25">
      <c r="A1600" t="s">
        <v>4030</v>
      </c>
      <c r="B1600" t="s">
        <v>1004</v>
      </c>
      <c r="C1600" t="s">
        <v>541</v>
      </c>
      <c r="D1600" t="s">
        <v>21</v>
      </c>
      <c r="E1600" t="s">
        <v>568</v>
      </c>
      <c r="F1600" t="s">
        <v>1861</v>
      </c>
      <c r="G1600" t="s">
        <v>2271</v>
      </c>
      <c r="H1600" s="20">
        <v>46254</v>
      </c>
      <c r="I1600">
        <v>1500</v>
      </c>
      <c r="J1600">
        <v>57</v>
      </c>
      <c r="K1600">
        <v>47</v>
      </c>
      <c r="L1600">
        <v>27</v>
      </c>
      <c r="P1600" t="s">
        <v>2272</v>
      </c>
      <c r="R1600" t="s">
        <v>2273</v>
      </c>
      <c r="S1600">
        <v>5</v>
      </c>
      <c r="T1600" t="s">
        <v>2319</v>
      </c>
      <c r="U1600" t="s">
        <v>2320</v>
      </c>
    </row>
    <row r="1601" spans="1:21" x14ac:dyDescent="0.25">
      <c r="A1601" t="s">
        <v>4031</v>
      </c>
      <c r="B1601" t="s">
        <v>1004</v>
      </c>
      <c r="C1601" t="s">
        <v>541</v>
      </c>
      <c r="D1601" t="s">
        <v>21</v>
      </c>
      <c r="E1601" t="s">
        <v>2136</v>
      </c>
      <c r="F1601" t="s">
        <v>693</v>
      </c>
      <c r="G1601" t="s">
        <v>2271</v>
      </c>
      <c r="H1601" s="20">
        <v>46254</v>
      </c>
      <c r="I1601">
        <v>1500</v>
      </c>
      <c r="J1601">
        <v>57</v>
      </c>
      <c r="K1601">
        <v>47</v>
      </c>
      <c r="L1601">
        <v>27</v>
      </c>
      <c r="P1601" t="s">
        <v>2272</v>
      </c>
      <c r="R1601" t="s">
        <v>2273</v>
      </c>
      <c r="S1601">
        <v>5</v>
      </c>
      <c r="T1601" t="s">
        <v>2319</v>
      </c>
      <c r="U1601" t="s">
        <v>2320</v>
      </c>
    </row>
    <row r="1602" spans="1:21" x14ac:dyDescent="0.25">
      <c r="A1602" t="s">
        <v>4032</v>
      </c>
      <c r="B1602" t="s">
        <v>1004</v>
      </c>
      <c r="C1602" t="s">
        <v>4</v>
      </c>
      <c r="D1602" t="s">
        <v>24</v>
      </c>
      <c r="E1602" t="s">
        <v>2138</v>
      </c>
      <c r="F1602" t="s">
        <v>515</v>
      </c>
      <c r="G1602" t="s">
        <v>2271</v>
      </c>
      <c r="H1602" s="20">
        <v>46250</v>
      </c>
      <c r="I1602">
        <v>1800</v>
      </c>
      <c r="J1602">
        <v>70</v>
      </c>
      <c r="K1602">
        <v>60</v>
      </c>
      <c r="L1602">
        <v>46</v>
      </c>
      <c r="P1602" t="s">
        <v>2272</v>
      </c>
      <c r="Q1602" t="s">
        <v>4033</v>
      </c>
      <c r="R1602" t="s">
        <v>2423</v>
      </c>
      <c r="S1602">
        <v>4</v>
      </c>
      <c r="T1602" t="s">
        <v>2274</v>
      </c>
      <c r="U1602" t="s">
        <v>2275</v>
      </c>
    </row>
    <row r="1603" spans="1:21" x14ac:dyDescent="0.25">
      <c r="A1603" t="s">
        <v>4034</v>
      </c>
      <c r="B1603" t="s">
        <v>1004</v>
      </c>
      <c r="C1603" t="s">
        <v>4</v>
      </c>
      <c r="D1603" t="s">
        <v>24</v>
      </c>
      <c r="E1603" t="s">
        <v>2139</v>
      </c>
      <c r="F1603" t="s">
        <v>476</v>
      </c>
      <c r="G1603" t="s">
        <v>2271</v>
      </c>
      <c r="H1603" s="20">
        <v>46250</v>
      </c>
      <c r="I1603">
        <v>1800</v>
      </c>
      <c r="J1603">
        <v>70</v>
      </c>
      <c r="K1603">
        <v>60</v>
      </c>
      <c r="L1603">
        <v>46</v>
      </c>
      <c r="P1603" t="s">
        <v>2272</v>
      </c>
      <c r="Q1603" t="s">
        <v>4033</v>
      </c>
      <c r="R1603" t="s">
        <v>2423</v>
      </c>
      <c r="S1603">
        <v>4</v>
      </c>
      <c r="T1603" t="s">
        <v>2274</v>
      </c>
      <c r="U1603" t="s">
        <v>2275</v>
      </c>
    </row>
    <row r="1604" spans="1:21" x14ac:dyDescent="0.25">
      <c r="A1604" t="s">
        <v>4035</v>
      </c>
      <c r="B1604" t="s">
        <v>1004</v>
      </c>
      <c r="C1604" t="s">
        <v>4</v>
      </c>
      <c r="D1604" t="s">
        <v>24</v>
      </c>
      <c r="E1604" t="s">
        <v>2140</v>
      </c>
      <c r="F1604" t="s">
        <v>112</v>
      </c>
      <c r="G1604" t="s">
        <v>2425</v>
      </c>
      <c r="H1604" s="20">
        <v>46250</v>
      </c>
      <c r="I1604">
        <v>1800</v>
      </c>
      <c r="J1604">
        <v>68</v>
      </c>
      <c r="K1604">
        <v>58</v>
      </c>
      <c r="L1604">
        <v>25</v>
      </c>
      <c r="P1604" t="s">
        <v>2272</v>
      </c>
      <c r="Q1604" t="s">
        <v>4036</v>
      </c>
      <c r="R1604" t="s">
        <v>2423</v>
      </c>
      <c r="S1604">
        <v>4</v>
      </c>
      <c r="T1604" t="s">
        <v>2274</v>
      </c>
      <c r="U1604" t="s">
        <v>2275</v>
      </c>
    </row>
    <row r="1605" spans="1:21" x14ac:dyDescent="0.25">
      <c r="A1605" t="s">
        <v>4037</v>
      </c>
      <c r="B1605" t="s">
        <v>1004</v>
      </c>
      <c r="C1605" t="s">
        <v>4</v>
      </c>
      <c r="D1605" t="s">
        <v>24</v>
      </c>
      <c r="E1605" t="s">
        <v>2141</v>
      </c>
      <c r="F1605" t="s">
        <v>1319</v>
      </c>
      <c r="G1605" t="s">
        <v>2425</v>
      </c>
      <c r="H1605" s="20">
        <v>46250</v>
      </c>
      <c r="I1605">
        <v>1800</v>
      </c>
      <c r="J1605">
        <v>68</v>
      </c>
      <c r="K1605">
        <v>58</v>
      </c>
      <c r="L1605">
        <v>25</v>
      </c>
      <c r="P1605" t="s">
        <v>2272</v>
      </c>
      <c r="Q1605" t="s">
        <v>4036</v>
      </c>
      <c r="R1605" t="s">
        <v>2423</v>
      </c>
      <c r="S1605">
        <v>4</v>
      </c>
      <c r="T1605" t="s">
        <v>2274</v>
      </c>
      <c r="U1605" t="s">
        <v>2275</v>
      </c>
    </row>
    <row r="1606" spans="1:21" x14ac:dyDescent="0.25">
      <c r="A1606" t="s">
        <v>4038</v>
      </c>
      <c r="B1606" t="s">
        <v>1004</v>
      </c>
      <c r="C1606" t="s">
        <v>4</v>
      </c>
      <c r="D1606" t="s">
        <v>24</v>
      </c>
      <c r="E1606" t="s">
        <v>2142</v>
      </c>
      <c r="F1606" t="s">
        <v>678</v>
      </c>
      <c r="G1606" t="s">
        <v>2425</v>
      </c>
      <c r="H1606" s="20">
        <v>46250</v>
      </c>
      <c r="I1606">
        <v>1800</v>
      </c>
      <c r="J1606">
        <v>68</v>
      </c>
      <c r="K1606">
        <v>58</v>
      </c>
      <c r="L1606">
        <v>25</v>
      </c>
      <c r="P1606" t="s">
        <v>2272</v>
      </c>
      <c r="Q1606" t="s">
        <v>4036</v>
      </c>
      <c r="R1606" t="s">
        <v>2423</v>
      </c>
      <c r="S1606">
        <v>4</v>
      </c>
      <c r="T1606" t="s">
        <v>2274</v>
      </c>
      <c r="U1606" t="s">
        <v>2275</v>
      </c>
    </row>
    <row r="1607" spans="1:21" x14ac:dyDescent="0.25">
      <c r="A1607" t="s">
        <v>4039</v>
      </c>
      <c r="B1607" t="s">
        <v>1004</v>
      </c>
      <c r="C1607" t="s">
        <v>4</v>
      </c>
      <c r="D1607" t="s">
        <v>24</v>
      </c>
      <c r="E1607" t="s">
        <v>2143</v>
      </c>
      <c r="F1607" t="s">
        <v>250</v>
      </c>
      <c r="G1607" t="s">
        <v>2425</v>
      </c>
      <c r="H1607" s="20">
        <v>46250</v>
      </c>
      <c r="I1607">
        <v>1800</v>
      </c>
      <c r="J1607">
        <v>68</v>
      </c>
      <c r="K1607">
        <v>58</v>
      </c>
      <c r="L1607">
        <v>25</v>
      </c>
      <c r="P1607" t="s">
        <v>2272</v>
      </c>
      <c r="Q1607" t="s">
        <v>4036</v>
      </c>
      <c r="R1607" t="s">
        <v>2423</v>
      </c>
      <c r="S1607">
        <v>4</v>
      </c>
      <c r="T1607" t="s">
        <v>2274</v>
      </c>
      <c r="U1607" t="s">
        <v>2275</v>
      </c>
    </row>
    <row r="1608" spans="1:21" x14ac:dyDescent="0.25">
      <c r="A1608" t="s">
        <v>4040</v>
      </c>
      <c r="B1608" t="s">
        <v>1004</v>
      </c>
      <c r="C1608" t="s">
        <v>4</v>
      </c>
      <c r="D1608" t="s">
        <v>24</v>
      </c>
      <c r="E1608" t="s">
        <v>2144</v>
      </c>
      <c r="F1608" t="s">
        <v>317</v>
      </c>
      <c r="G1608" t="s">
        <v>2425</v>
      </c>
      <c r="H1608" s="20">
        <v>46250</v>
      </c>
      <c r="I1608">
        <v>1800</v>
      </c>
      <c r="J1608">
        <v>68</v>
      </c>
      <c r="K1608">
        <v>58</v>
      </c>
      <c r="L1608">
        <v>25</v>
      </c>
      <c r="P1608" t="s">
        <v>2272</v>
      </c>
      <c r="Q1608" t="s">
        <v>4036</v>
      </c>
      <c r="R1608" t="s">
        <v>2423</v>
      </c>
      <c r="S1608">
        <v>4</v>
      </c>
      <c r="T1608" t="s">
        <v>2274</v>
      </c>
      <c r="U1608" t="s">
        <v>2275</v>
      </c>
    </row>
    <row r="1609" spans="1:21" x14ac:dyDescent="0.25">
      <c r="A1609" t="s">
        <v>4041</v>
      </c>
      <c r="B1609" t="s">
        <v>1004</v>
      </c>
      <c r="C1609" t="s">
        <v>4</v>
      </c>
      <c r="D1609" t="s">
        <v>24</v>
      </c>
      <c r="E1609" t="s">
        <v>2145</v>
      </c>
      <c r="F1609" t="s">
        <v>974</v>
      </c>
      <c r="G1609" t="s">
        <v>2425</v>
      </c>
      <c r="H1609" s="20">
        <v>46250</v>
      </c>
      <c r="I1609">
        <v>1800</v>
      </c>
      <c r="J1609">
        <v>68</v>
      </c>
      <c r="K1609">
        <v>58</v>
      </c>
      <c r="L1609">
        <v>25</v>
      </c>
      <c r="P1609" t="s">
        <v>2272</v>
      </c>
      <c r="Q1609" t="s">
        <v>4036</v>
      </c>
      <c r="R1609" t="s">
        <v>2423</v>
      </c>
      <c r="S1609">
        <v>4</v>
      </c>
      <c r="T1609" t="s">
        <v>2274</v>
      </c>
      <c r="U1609" t="s">
        <v>2275</v>
      </c>
    </row>
    <row r="1610" spans="1:21" x14ac:dyDescent="0.25">
      <c r="A1610" t="s">
        <v>4042</v>
      </c>
      <c r="B1610" t="s">
        <v>1004</v>
      </c>
      <c r="C1610" t="s">
        <v>4</v>
      </c>
      <c r="D1610" t="s">
        <v>24</v>
      </c>
      <c r="E1610" t="s">
        <v>2146</v>
      </c>
      <c r="F1610" t="s">
        <v>1334</v>
      </c>
      <c r="G1610" t="s">
        <v>2425</v>
      </c>
      <c r="H1610" s="20">
        <v>46250</v>
      </c>
      <c r="I1610">
        <v>1800</v>
      </c>
      <c r="J1610">
        <v>68</v>
      </c>
      <c r="K1610">
        <v>58</v>
      </c>
      <c r="L1610">
        <v>25</v>
      </c>
      <c r="P1610" t="s">
        <v>2272</v>
      </c>
      <c r="Q1610" t="s">
        <v>4036</v>
      </c>
      <c r="R1610" t="s">
        <v>2423</v>
      </c>
      <c r="S1610">
        <v>4</v>
      </c>
      <c r="T1610" t="s">
        <v>2274</v>
      </c>
      <c r="U1610" t="s">
        <v>2275</v>
      </c>
    </row>
    <row r="1611" spans="1:21" x14ac:dyDescent="0.25">
      <c r="A1611" t="s">
        <v>4043</v>
      </c>
      <c r="B1611" t="s">
        <v>1004</v>
      </c>
      <c r="C1611" t="s">
        <v>4</v>
      </c>
      <c r="D1611" t="s">
        <v>21</v>
      </c>
      <c r="E1611" t="s">
        <v>2147</v>
      </c>
      <c r="F1611" t="s">
        <v>70</v>
      </c>
      <c r="G1611" t="s">
        <v>2444</v>
      </c>
      <c r="H1611" s="20">
        <v>46254</v>
      </c>
      <c r="I1611">
        <v>1500</v>
      </c>
      <c r="J1611">
        <v>73</v>
      </c>
      <c r="K1611">
        <v>63</v>
      </c>
      <c r="L1611">
        <v>46</v>
      </c>
      <c r="P1611" t="s">
        <v>2272</v>
      </c>
      <c r="Q1611" t="s">
        <v>4044</v>
      </c>
      <c r="R1611" t="s">
        <v>2446</v>
      </c>
      <c r="S1611">
        <v>8</v>
      </c>
      <c r="T1611" t="s">
        <v>2660</v>
      </c>
      <c r="U1611" t="s">
        <v>2661</v>
      </c>
    </row>
    <row r="1612" spans="1:21" x14ac:dyDescent="0.25">
      <c r="A1612" t="s">
        <v>4045</v>
      </c>
      <c r="B1612" t="s">
        <v>1004</v>
      </c>
      <c r="C1612" t="s">
        <v>4</v>
      </c>
      <c r="D1612" t="s">
        <v>21</v>
      </c>
      <c r="E1612" t="s">
        <v>2148</v>
      </c>
      <c r="F1612" t="s">
        <v>285</v>
      </c>
      <c r="G1612" t="s">
        <v>2271</v>
      </c>
      <c r="H1612" s="20">
        <v>46254</v>
      </c>
      <c r="I1612">
        <v>1500</v>
      </c>
      <c r="J1612">
        <v>73</v>
      </c>
      <c r="K1612">
        <v>58</v>
      </c>
      <c r="L1612">
        <v>46</v>
      </c>
      <c r="P1612" t="s">
        <v>2272</v>
      </c>
      <c r="Q1612" t="s">
        <v>4046</v>
      </c>
      <c r="R1612" t="s">
        <v>2446</v>
      </c>
      <c r="S1612">
        <v>8</v>
      </c>
      <c r="T1612" t="s">
        <v>2660</v>
      </c>
      <c r="U1612" t="s">
        <v>2661</v>
      </c>
    </row>
    <row r="1613" spans="1:21" x14ac:dyDescent="0.25">
      <c r="A1613" t="s">
        <v>4047</v>
      </c>
      <c r="B1613" t="s">
        <v>1004</v>
      </c>
      <c r="C1613" t="s">
        <v>4</v>
      </c>
      <c r="D1613" t="s">
        <v>21</v>
      </c>
      <c r="E1613" t="s">
        <v>2149</v>
      </c>
      <c r="F1613" t="s">
        <v>252</v>
      </c>
      <c r="G1613" t="s">
        <v>2271</v>
      </c>
      <c r="H1613" s="20">
        <v>46254</v>
      </c>
      <c r="I1613">
        <v>1500</v>
      </c>
      <c r="J1613">
        <v>73</v>
      </c>
      <c r="K1613">
        <v>58</v>
      </c>
      <c r="L1613">
        <v>27</v>
      </c>
      <c r="P1613" t="s">
        <v>2272</v>
      </c>
      <c r="R1613" t="s">
        <v>2273</v>
      </c>
      <c r="S1613">
        <v>8</v>
      </c>
      <c r="T1613" t="s">
        <v>2663</v>
      </c>
      <c r="U1613" t="s">
        <v>2664</v>
      </c>
    </row>
    <row r="1614" spans="1:21" x14ac:dyDescent="0.25">
      <c r="A1614" t="s">
        <v>4048</v>
      </c>
      <c r="B1614" t="s">
        <v>1004</v>
      </c>
      <c r="C1614" t="s">
        <v>4</v>
      </c>
      <c r="D1614" t="s">
        <v>21</v>
      </c>
      <c r="E1614" t="s">
        <v>2150</v>
      </c>
      <c r="F1614" t="s">
        <v>832</v>
      </c>
      <c r="G1614" t="s">
        <v>2271</v>
      </c>
      <c r="H1614" s="20">
        <v>46254</v>
      </c>
      <c r="I1614">
        <v>1500</v>
      </c>
      <c r="J1614">
        <v>73</v>
      </c>
      <c r="K1614">
        <v>58</v>
      </c>
      <c r="L1614">
        <v>27</v>
      </c>
      <c r="P1614" t="s">
        <v>2272</v>
      </c>
      <c r="R1614" t="s">
        <v>2273</v>
      </c>
      <c r="S1614">
        <v>8</v>
      </c>
      <c r="T1614" t="s">
        <v>2663</v>
      </c>
      <c r="U1614" t="s">
        <v>2664</v>
      </c>
    </row>
    <row r="1615" spans="1:21" x14ac:dyDescent="0.25">
      <c r="A1615" t="s">
        <v>4049</v>
      </c>
      <c r="B1615" t="s">
        <v>1004</v>
      </c>
      <c r="C1615" t="s">
        <v>4</v>
      </c>
      <c r="D1615" t="s">
        <v>21</v>
      </c>
      <c r="E1615" t="s">
        <v>2151</v>
      </c>
      <c r="F1615" t="s">
        <v>801</v>
      </c>
      <c r="G1615" t="s">
        <v>2271</v>
      </c>
      <c r="H1615" s="20">
        <v>46254</v>
      </c>
      <c r="I1615">
        <v>1500</v>
      </c>
      <c r="J1615">
        <v>73</v>
      </c>
      <c r="K1615">
        <v>58</v>
      </c>
      <c r="L1615">
        <v>27</v>
      </c>
      <c r="P1615" t="s">
        <v>2272</v>
      </c>
      <c r="R1615" t="s">
        <v>2273</v>
      </c>
      <c r="S1615">
        <v>8</v>
      </c>
      <c r="T1615" t="s">
        <v>2663</v>
      </c>
      <c r="U1615" t="s">
        <v>2664</v>
      </c>
    </row>
    <row r="1616" spans="1:21" x14ac:dyDescent="0.25">
      <c r="A1616" t="s">
        <v>4050</v>
      </c>
      <c r="B1616" t="s">
        <v>1004</v>
      </c>
      <c r="C1616" t="s">
        <v>4</v>
      </c>
      <c r="D1616" t="s">
        <v>21</v>
      </c>
      <c r="E1616" t="s">
        <v>2152</v>
      </c>
      <c r="F1616" t="s">
        <v>72</v>
      </c>
      <c r="G1616" t="s">
        <v>2271</v>
      </c>
      <c r="H1616" s="20">
        <v>46254</v>
      </c>
      <c r="I1616">
        <v>1500</v>
      </c>
      <c r="J1616">
        <v>73</v>
      </c>
      <c r="K1616">
        <v>58</v>
      </c>
      <c r="L1616">
        <v>27</v>
      </c>
      <c r="P1616" t="s">
        <v>2272</v>
      </c>
      <c r="R1616" t="s">
        <v>2273</v>
      </c>
      <c r="S1616">
        <v>8</v>
      </c>
      <c r="T1616" t="s">
        <v>2663</v>
      </c>
      <c r="U1616" t="s">
        <v>2664</v>
      </c>
    </row>
    <row r="1617" spans="1:21" x14ac:dyDescent="0.25">
      <c r="A1617" t="s">
        <v>4051</v>
      </c>
      <c r="B1617" t="s">
        <v>1004</v>
      </c>
      <c r="C1617" t="s">
        <v>904</v>
      </c>
      <c r="D1617" t="s">
        <v>24</v>
      </c>
      <c r="E1617" t="s">
        <v>2154</v>
      </c>
      <c r="F1617" t="s">
        <v>215</v>
      </c>
      <c r="G1617" t="s">
        <v>2271</v>
      </c>
      <c r="H1617" s="20">
        <v>46250</v>
      </c>
      <c r="I1617">
        <v>1800</v>
      </c>
      <c r="J1617">
        <v>50</v>
      </c>
      <c r="K1617">
        <v>41</v>
      </c>
      <c r="L1617">
        <v>25</v>
      </c>
      <c r="M1617">
        <v>13</v>
      </c>
      <c r="P1617" t="s">
        <v>2272</v>
      </c>
      <c r="R1617" t="s">
        <v>2273</v>
      </c>
      <c r="S1617">
        <v>4</v>
      </c>
      <c r="T1617" t="s">
        <v>2274</v>
      </c>
      <c r="U1617" t="s">
        <v>2275</v>
      </c>
    </row>
    <row r="1618" spans="1:21" x14ac:dyDescent="0.25">
      <c r="A1618" t="s">
        <v>4052</v>
      </c>
      <c r="B1618" t="s">
        <v>1004</v>
      </c>
      <c r="C1618" t="s">
        <v>904</v>
      </c>
      <c r="D1618" t="s">
        <v>24</v>
      </c>
      <c r="E1618" t="s">
        <v>2155</v>
      </c>
      <c r="F1618" t="s">
        <v>330</v>
      </c>
      <c r="G1618" t="s">
        <v>2271</v>
      </c>
      <c r="H1618" s="20">
        <v>46250</v>
      </c>
      <c r="I1618">
        <v>1800</v>
      </c>
      <c r="J1618">
        <v>50</v>
      </c>
      <c r="K1618">
        <v>41</v>
      </c>
      <c r="L1618">
        <v>25</v>
      </c>
      <c r="M1618">
        <v>13</v>
      </c>
      <c r="P1618" t="s">
        <v>2272</v>
      </c>
      <c r="R1618" t="s">
        <v>2273</v>
      </c>
      <c r="S1618">
        <v>4</v>
      </c>
      <c r="T1618" t="s">
        <v>2274</v>
      </c>
      <c r="U1618" t="s">
        <v>2275</v>
      </c>
    </row>
    <row r="1619" spans="1:21" x14ac:dyDescent="0.25">
      <c r="A1619" t="s">
        <v>4053</v>
      </c>
      <c r="B1619" t="s">
        <v>1004</v>
      </c>
      <c r="C1619" t="s">
        <v>904</v>
      </c>
      <c r="D1619" t="s">
        <v>24</v>
      </c>
      <c r="E1619" t="s">
        <v>2156</v>
      </c>
      <c r="F1619" t="s">
        <v>212</v>
      </c>
      <c r="G1619" t="s">
        <v>2271</v>
      </c>
      <c r="H1619" s="20">
        <v>46250</v>
      </c>
      <c r="I1619">
        <v>1800</v>
      </c>
      <c r="J1619">
        <v>50</v>
      </c>
      <c r="K1619">
        <v>41</v>
      </c>
      <c r="L1619">
        <v>25</v>
      </c>
      <c r="M1619">
        <v>13</v>
      </c>
      <c r="P1619" t="s">
        <v>2272</v>
      </c>
      <c r="R1619" t="s">
        <v>2273</v>
      </c>
      <c r="S1619">
        <v>4</v>
      </c>
      <c r="T1619" t="s">
        <v>2274</v>
      </c>
      <c r="U1619" t="s">
        <v>2275</v>
      </c>
    </row>
    <row r="1620" spans="1:21" x14ac:dyDescent="0.25">
      <c r="A1620" t="s">
        <v>4054</v>
      </c>
      <c r="B1620" t="s">
        <v>1004</v>
      </c>
      <c r="C1620" t="s">
        <v>904</v>
      </c>
      <c r="D1620" t="s">
        <v>24</v>
      </c>
      <c r="E1620" t="s">
        <v>2157</v>
      </c>
      <c r="F1620" t="s">
        <v>846</v>
      </c>
      <c r="G1620" t="s">
        <v>2271</v>
      </c>
      <c r="H1620" s="20">
        <v>46250</v>
      </c>
      <c r="I1620">
        <v>1800</v>
      </c>
      <c r="J1620">
        <v>50</v>
      </c>
      <c r="K1620">
        <v>41</v>
      </c>
      <c r="L1620">
        <v>25</v>
      </c>
      <c r="M1620">
        <v>13</v>
      </c>
      <c r="P1620" t="s">
        <v>2272</v>
      </c>
      <c r="R1620" t="s">
        <v>2273</v>
      </c>
      <c r="S1620">
        <v>4</v>
      </c>
      <c r="T1620" t="s">
        <v>2274</v>
      </c>
      <c r="U1620" t="s">
        <v>2275</v>
      </c>
    </row>
    <row r="1621" spans="1:21" x14ac:dyDescent="0.25">
      <c r="A1621" t="s">
        <v>4055</v>
      </c>
      <c r="B1621" t="s">
        <v>1004</v>
      </c>
      <c r="C1621" t="s">
        <v>904</v>
      </c>
      <c r="D1621" t="s">
        <v>24</v>
      </c>
      <c r="E1621" t="s">
        <v>2158</v>
      </c>
      <c r="F1621" t="s">
        <v>221</v>
      </c>
      <c r="G1621" t="s">
        <v>2271</v>
      </c>
      <c r="H1621" s="20">
        <v>46250</v>
      </c>
      <c r="I1621">
        <v>1800</v>
      </c>
      <c r="J1621">
        <v>50</v>
      </c>
      <c r="K1621">
        <v>41</v>
      </c>
      <c r="L1621">
        <v>25</v>
      </c>
      <c r="M1621">
        <v>13</v>
      </c>
      <c r="P1621" t="s">
        <v>2272</v>
      </c>
      <c r="R1621" t="s">
        <v>2273</v>
      </c>
      <c r="S1621">
        <v>4</v>
      </c>
      <c r="T1621" t="s">
        <v>2274</v>
      </c>
      <c r="U1621" t="s">
        <v>2275</v>
      </c>
    </row>
    <row r="1622" spans="1:21" x14ac:dyDescent="0.25">
      <c r="A1622" t="s">
        <v>4056</v>
      </c>
      <c r="B1622" t="s">
        <v>1004</v>
      </c>
      <c r="C1622" t="s">
        <v>904</v>
      </c>
      <c r="D1622" t="s">
        <v>24</v>
      </c>
      <c r="E1622" t="s">
        <v>2159</v>
      </c>
      <c r="F1622" t="s">
        <v>674</v>
      </c>
      <c r="G1622" t="s">
        <v>2271</v>
      </c>
      <c r="H1622" s="20">
        <v>46250</v>
      </c>
      <c r="I1622">
        <v>1800</v>
      </c>
      <c r="J1622">
        <v>50</v>
      </c>
      <c r="K1622">
        <v>41</v>
      </c>
      <c r="L1622">
        <v>25</v>
      </c>
      <c r="M1622">
        <v>13</v>
      </c>
      <c r="P1622" t="s">
        <v>2272</v>
      </c>
      <c r="R1622" t="s">
        <v>2273</v>
      </c>
      <c r="S1622">
        <v>4</v>
      </c>
      <c r="T1622" t="s">
        <v>2274</v>
      </c>
      <c r="U1622" t="s">
        <v>2275</v>
      </c>
    </row>
    <row r="1623" spans="1:21" x14ac:dyDescent="0.25">
      <c r="A1623" t="s">
        <v>4057</v>
      </c>
      <c r="B1623" t="s">
        <v>1004</v>
      </c>
      <c r="C1623" t="s">
        <v>904</v>
      </c>
      <c r="D1623" t="s">
        <v>24</v>
      </c>
      <c r="E1623" t="s">
        <v>2160</v>
      </c>
      <c r="F1623" t="s">
        <v>744</v>
      </c>
      <c r="G1623" t="s">
        <v>2271</v>
      </c>
      <c r="H1623" s="20">
        <v>46250</v>
      </c>
      <c r="I1623">
        <v>1800</v>
      </c>
      <c r="J1623">
        <v>50</v>
      </c>
      <c r="K1623">
        <v>41</v>
      </c>
      <c r="L1623">
        <v>25</v>
      </c>
      <c r="M1623">
        <v>13</v>
      </c>
      <c r="P1623" t="s">
        <v>2272</v>
      </c>
      <c r="R1623" t="s">
        <v>2273</v>
      </c>
      <c r="S1623">
        <v>4</v>
      </c>
      <c r="T1623" t="s">
        <v>2274</v>
      </c>
      <c r="U1623" t="s">
        <v>2275</v>
      </c>
    </row>
    <row r="1624" spans="1:21" x14ac:dyDescent="0.25">
      <c r="A1624" t="s">
        <v>4058</v>
      </c>
      <c r="B1624" t="s">
        <v>1004</v>
      </c>
      <c r="C1624" t="s">
        <v>904</v>
      </c>
      <c r="D1624" t="s">
        <v>21</v>
      </c>
      <c r="E1624" t="s">
        <v>2161</v>
      </c>
      <c r="F1624" t="s">
        <v>300</v>
      </c>
      <c r="G1624" t="s">
        <v>2271</v>
      </c>
      <c r="H1624" s="20">
        <v>46254</v>
      </c>
      <c r="I1624">
        <v>1500</v>
      </c>
      <c r="J1624">
        <v>55</v>
      </c>
      <c r="K1624">
        <v>22</v>
      </c>
      <c r="L1624">
        <v>17</v>
      </c>
      <c r="M1624">
        <v>12</v>
      </c>
      <c r="P1624" t="s">
        <v>2272</v>
      </c>
      <c r="R1624" t="s">
        <v>2273</v>
      </c>
      <c r="S1624">
        <v>5</v>
      </c>
      <c r="T1624" t="s">
        <v>2319</v>
      </c>
      <c r="U1624" t="s">
        <v>2320</v>
      </c>
    </row>
    <row r="1625" spans="1:21" x14ac:dyDescent="0.25">
      <c r="A1625" t="s">
        <v>4059</v>
      </c>
      <c r="B1625" t="s">
        <v>1004</v>
      </c>
      <c r="C1625" t="s">
        <v>1079</v>
      </c>
      <c r="D1625" t="s">
        <v>24</v>
      </c>
      <c r="E1625" t="s">
        <v>2163</v>
      </c>
      <c r="F1625" t="s">
        <v>2164</v>
      </c>
      <c r="G1625" t="s">
        <v>2271</v>
      </c>
      <c r="H1625" s="20">
        <v>46250</v>
      </c>
      <c r="I1625">
        <v>1800</v>
      </c>
      <c r="J1625">
        <v>61</v>
      </c>
      <c r="K1625">
        <v>52</v>
      </c>
      <c r="L1625">
        <v>32</v>
      </c>
      <c r="P1625" t="s">
        <v>2272</v>
      </c>
      <c r="R1625" t="s">
        <v>2273</v>
      </c>
      <c r="S1625">
        <v>6</v>
      </c>
      <c r="T1625" t="s">
        <v>3982</v>
      </c>
      <c r="U1625" t="s">
        <v>3983</v>
      </c>
    </row>
    <row r="1626" spans="1:21" x14ac:dyDescent="0.25">
      <c r="A1626" t="s">
        <v>4060</v>
      </c>
      <c r="B1626" t="s">
        <v>1004</v>
      </c>
      <c r="C1626" t="s">
        <v>1079</v>
      </c>
      <c r="D1626" t="s">
        <v>24</v>
      </c>
      <c r="E1626" t="s">
        <v>2165</v>
      </c>
      <c r="F1626" t="s">
        <v>100</v>
      </c>
      <c r="G1626" t="s">
        <v>2271</v>
      </c>
      <c r="H1626" s="20">
        <v>46250</v>
      </c>
      <c r="I1626">
        <v>1800</v>
      </c>
      <c r="J1626">
        <v>61</v>
      </c>
      <c r="K1626">
        <v>52</v>
      </c>
      <c r="L1626">
        <v>32</v>
      </c>
      <c r="P1626" t="s">
        <v>2272</v>
      </c>
      <c r="R1626" t="s">
        <v>2273</v>
      </c>
      <c r="S1626">
        <v>6</v>
      </c>
      <c r="T1626" t="s">
        <v>3982</v>
      </c>
      <c r="U1626" t="s">
        <v>3983</v>
      </c>
    </row>
    <row r="1627" spans="1:21" x14ac:dyDescent="0.25">
      <c r="A1627" t="s">
        <v>4061</v>
      </c>
      <c r="B1627" t="s">
        <v>1004</v>
      </c>
      <c r="C1627" t="s">
        <v>1079</v>
      </c>
      <c r="D1627" t="s">
        <v>24</v>
      </c>
      <c r="E1627" t="s">
        <v>2165</v>
      </c>
      <c r="F1627" t="s">
        <v>716</v>
      </c>
      <c r="G1627" t="s">
        <v>2271</v>
      </c>
      <c r="H1627" s="20">
        <v>46250</v>
      </c>
      <c r="I1627">
        <v>1800</v>
      </c>
      <c r="J1627">
        <v>61</v>
      </c>
      <c r="K1627">
        <v>52</v>
      </c>
      <c r="L1627">
        <v>32</v>
      </c>
      <c r="P1627" t="s">
        <v>2272</v>
      </c>
      <c r="R1627" t="s">
        <v>2273</v>
      </c>
      <c r="S1627">
        <v>6</v>
      </c>
      <c r="T1627" t="s">
        <v>3982</v>
      </c>
      <c r="U1627" t="s">
        <v>3983</v>
      </c>
    </row>
    <row r="1628" spans="1:21" x14ac:dyDescent="0.25">
      <c r="A1628" t="s">
        <v>4062</v>
      </c>
      <c r="B1628" t="s">
        <v>1004</v>
      </c>
      <c r="C1628" t="s">
        <v>1079</v>
      </c>
      <c r="D1628" t="s">
        <v>24</v>
      </c>
      <c r="E1628" t="s">
        <v>2166</v>
      </c>
      <c r="F1628" t="s">
        <v>112</v>
      </c>
      <c r="G1628" t="s">
        <v>2271</v>
      </c>
      <c r="H1628" s="20">
        <v>46250</v>
      </c>
      <c r="I1628">
        <v>1800</v>
      </c>
      <c r="J1628">
        <v>61</v>
      </c>
      <c r="K1628">
        <v>52</v>
      </c>
      <c r="L1628">
        <v>32</v>
      </c>
      <c r="P1628" t="s">
        <v>2272</v>
      </c>
      <c r="R1628" t="s">
        <v>2273</v>
      </c>
      <c r="S1628">
        <v>6</v>
      </c>
      <c r="T1628" t="s">
        <v>3982</v>
      </c>
      <c r="U1628" t="s">
        <v>3983</v>
      </c>
    </row>
    <row r="1629" spans="1:21" x14ac:dyDescent="0.25">
      <c r="A1629" t="s">
        <v>4063</v>
      </c>
      <c r="B1629" t="s">
        <v>1004</v>
      </c>
      <c r="C1629" t="s">
        <v>1079</v>
      </c>
      <c r="D1629" t="s">
        <v>24</v>
      </c>
      <c r="E1629" t="s">
        <v>2167</v>
      </c>
      <c r="F1629" t="s">
        <v>738</v>
      </c>
      <c r="G1629" t="s">
        <v>2271</v>
      </c>
      <c r="H1629" s="20">
        <v>46250</v>
      </c>
      <c r="I1629">
        <v>1800</v>
      </c>
      <c r="J1629">
        <v>61</v>
      </c>
      <c r="K1629">
        <v>52</v>
      </c>
      <c r="L1629">
        <v>32</v>
      </c>
      <c r="P1629" t="s">
        <v>2272</v>
      </c>
      <c r="R1629" t="s">
        <v>2273</v>
      </c>
      <c r="S1629">
        <v>6</v>
      </c>
      <c r="T1629" t="s">
        <v>3982</v>
      </c>
      <c r="U1629" t="s">
        <v>3983</v>
      </c>
    </row>
    <row r="1630" spans="1:21" x14ac:dyDescent="0.25">
      <c r="A1630" t="s">
        <v>4064</v>
      </c>
      <c r="B1630" t="s">
        <v>1004</v>
      </c>
      <c r="C1630" t="s">
        <v>1079</v>
      </c>
      <c r="D1630" t="s">
        <v>24</v>
      </c>
      <c r="E1630" t="s">
        <v>2168</v>
      </c>
      <c r="F1630" t="s">
        <v>1265</v>
      </c>
      <c r="G1630" t="s">
        <v>2271</v>
      </c>
      <c r="H1630" s="20">
        <v>46250</v>
      </c>
      <c r="I1630">
        <v>1800</v>
      </c>
      <c r="J1630">
        <v>61</v>
      </c>
      <c r="K1630">
        <v>52</v>
      </c>
      <c r="L1630">
        <v>32</v>
      </c>
      <c r="P1630" t="s">
        <v>2272</v>
      </c>
      <c r="R1630" t="s">
        <v>2273</v>
      </c>
      <c r="S1630">
        <v>6</v>
      </c>
      <c r="T1630" t="s">
        <v>3982</v>
      </c>
      <c r="U1630" t="s">
        <v>3983</v>
      </c>
    </row>
    <row r="1631" spans="1:21" x14ac:dyDescent="0.25">
      <c r="A1631" t="s">
        <v>4065</v>
      </c>
      <c r="B1631" t="s">
        <v>1004</v>
      </c>
      <c r="C1631" t="s">
        <v>1079</v>
      </c>
      <c r="D1631" t="s">
        <v>21</v>
      </c>
      <c r="E1631" t="s">
        <v>2169</v>
      </c>
      <c r="F1631" t="s">
        <v>1939</v>
      </c>
      <c r="G1631" t="s">
        <v>2271</v>
      </c>
      <c r="H1631" s="20">
        <v>46254</v>
      </c>
      <c r="I1631">
        <v>1500</v>
      </c>
      <c r="J1631">
        <v>56</v>
      </c>
      <c r="K1631">
        <v>46</v>
      </c>
      <c r="L1631">
        <v>30</v>
      </c>
      <c r="P1631" t="s">
        <v>2272</v>
      </c>
      <c r="R1631" t="s">
        <v>2273</v>
      </c>
      <c r="S1631">
        <v>5</v>
      </c>
      <c r="T1631" t="s">
        <v>2319</v>
      </c>
      <c r="U1631" t="s">
        <v>2320</v>
      </c>
    </row>
  </sheetData>
  <autoFilter ref="A1:U163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3" width="11" customWidth="1"/>
    <col min="4" max="4" width="10" customWidth="1"/>
    <col min="5" max="5" width="9" customWidth="1"/>
    <col min="6" max="6" width="10" customWidth="1"/>
    <col min="7" max="8" width="60" customWidth="1"/>
  </cols>
  <sheetData>
    <row r="1" spans="1:8" x14ac:dyDescent="0.25">
      <c r="A1" s="22" t="s">
        <v>32</v>
      </c>
      <c r="B1" s="22" t="s">
        <v>33</v>
      </c>
      <c r="C1" s="22" t="s">
        <v>18</v>
      </c>
      <c r="D1" s="22" t="s">
        <v>35</v>
      </c>
      <c r="E1" s="22" t="s">
        <v>36</v>
      </c>
      <c r="F1" s="22" t="s">
        <v>2263</v>
      </c>
      <c r="G1" s="22" t="s">
        <v>4066</v>
      </c>
      <c r="H1" s="22" t="s">
        <v>2264</v>
      </c>
    </row>
    <row r="2" spans="1:8" x14ac:dyDescent="0.25">
      <c r="A2" t="s">
        <v>2</v>
      </c>
      <c r="B2" t="s">
        <v>4</v>
      </c>
      <c r="C2" t="s">
        <v>24</v>
      </c>
      <c r="D2" t="s">
        <v>1190</v>
      </c>
      <c r="E2" t="s">
        <v>1191</v>
      </c>
      <c r="F2" t="s">
        <v>3033</v>
      </c>
      <c r="G2" t="s">
        <v>3034</v>
      </c>
      <c r="H2" t="s">
        <v>3028</v>
      </c>
    </row>
  </sheetData>
  <autoFilter ref="A1:H2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Dashboard</vt:lpstr>
      <vt:lpstr>Add-on Rates</vt:lpstr>
      <vt:lpstr>Raw Data</vt:lpstr>
      <vt:lpstr>OD Pair Summary</vt:lpstr>
      <vt:lpstr>Progress</vt:lpstr>
      <vt:lpstr>Lists</vt:lpstr>
      <vt:lpstr>Network Surcharges</vt:lpstr>
      <vt:lpstr>Flight Rates</vt:lpstr>
      <vt:lpstr>Rate Exceptions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Ashita Serrao</cp:lastModifiedBy>
  <cp:revision>0</cp:revision>
  <dcterms:created xsi:type="dcterms:W3CDTF">2026-08-23T12:50:15Z</dcterms:created>
  <dcterms:modified xsi:type="dcterms:W3CDTF">2026-10-12T09:59:22Z</dcterms:modified>
  <dc:language>en-US</dc:language>
</cp:coreProperties>
</file>